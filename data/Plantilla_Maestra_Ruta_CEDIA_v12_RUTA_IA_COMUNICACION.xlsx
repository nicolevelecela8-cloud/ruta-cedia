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2016e8ed6c46ba" /></Relationships>
</file>

<file path=xl/workbook.xml><?xml version="1.0" encoding="utf-8"?>
<x:workbook xmlns:x="http://schemas.openxmlformats.org/spreadsheetml/2006/main">
  <x:sheets>
    <x:sheet xmlns:r="http://schemas.openxmlformats.org/officeDocument/2006/relationships" name="00_GUIA" sheetId="1" r:id="R49b7b6c4677f4a17"/>
    <x:sheet xmlns:r="http://schemas.openxmlformats.org/officeDocument/2006/relationships" name="01_HERRAMIENTAS" sheetId="2" r:id="R66e7677317c74415"/>
    <x:sheet xmlns:r="http://schemas.openxmlformats.org/officeDocument/2006/relationships" name="02_BRECHAS" sheetId="3" r:id="R65169a8e66cf4f99"/>
    <x:sheet xmlns:r="http://schemas.openxmlformats.org/officeDocument/2006/relationships" name="03_TRL_CRL" sheetId="4" r:id="R627f6c27a7be40eb"/>
    <x:sheet xmlns:r="http://schemas.openxmlformats.org/officeDocument/2006/relationships" name="04_EVIDENCIAS" sheetId="5" r:id="Raa52b3d4a3894b58"/>
    <x:sheet xmlns:r="http://schemas.openxmlformats.org/officeDocument/2006/relationships" name="05_REGLAS_RUTA" sheetId="6" r:id="Rd6dde2d913ce4fac"/>
    <x:sheet xmlns:r="http://schemas.openxmlformats.org/officeDocument/2006/relationships" name="06_PREGUNTAS" sheetId="7" r:id="Rd9b6b579e0e14344"/>
    <x:sheet xmlns:r="http://schemas.openxmlformats.org/officeDocument/2006/relationships" name="07_DEPENDENCIAS" sheetId="8" r:id="Rc0ec8869295c4ce7"/>
    <x:sheet xmlns:r="http://schemas.openxmlformats.org/officeDocument/2006/relationships" name="08_SERVICIOS_CEDIA" sheetId="9" r:id="Re604ea9e745a476a"/>
    <x:sheet xmlns:r="http://schemas.openxmlformats.org/officeDocument/2006/relationships" name="09_CASOS_PRUEBA" sheetId="10" r:id="R6383226d92db427c"/>
    <x:sheet xmlns:r="http://schemas.openxmlformats.org/officeDocument/2006/relationships" name="10_LISTAS" sheetId="11" r:id="R4f5e0a8aaca24b3b"/>
    <x:sheet xmlns:r="http://schemas.openxmlformats.org/officeDocument/2006/relationships" name="11_TRL_DETALLE" sheetId="12" r:id="Rf7118a3698d64bf8"/>
    <x:sheet xmlns:r="http://schemas.openxmlformats.org/officeDocument/2006/relationships" name="12_CRL_DETALLE" sheetId="13" r:id="Rae65dee00e0c4587"/>
    <x:sheet xmlns:r="http://schemas.openxmlformats.org/officeDocument/2006/relationships" name="13_CADENA_VALOR" sheetId="14" r:id="R8f49c748036b4264"/>
    <x:sheet xmlns:r="http://schemas.openxmlformats.org/officeDocument/2006/relationships" name="14_FUENTES_TRAZABILIDAD" sheetId="15" r:id="R5c7ab2afb846434a"/>
    <x:sheet xmlns:r="http://schemas.openxmlformats.org/officeDocument/2006/relationships" name="15_VALIDACION_EXTERNA" sheetId="16" r:id="R257ea4c4aefa48de"/>
    <x:sheet xmlns:r="http://schemas.openxmlformats.org/officeDocument/2006/relationships" name="16_COMO_LLENAR_PENDIENTES" sheetId="17" r:id="R056b546e436d4a86"/>
    <x:sheet xmlns:r="http://schemas.openxmlformats.org/officeDocument/2006/relationships" name="17_MAPEO_TRL_CRL_REF" sheetId="18" r:id="R8be0529dd5924ce6"/>
    <x:sheet xmlns:r="http://schemas.openxmlformats.org/officeDocument/2006/relationships" name="18_MOTOR_DECISION" sheetId="19" r:id="R4c22404edbea4bae"/>
    <x:sheet xmlns:r="http://schemas.openxmlformats.org/officeDocument/2006/relationships" name="19_QA_REGLAS" sheetId="20" r:id="R25c88d54f4b44737"/>
    <x:sheet xmlns:r="http://schemas.openxmlformats.org/officeDocument/2006/relationships" name="20_PRERREQUISITOS_EVIDENCIA" sheetId="21" r:id="Rc9e3d9ae83994466"/>
    <x:sheet xmlns:r="http://schemas.openxmlformats.org/officeDocument/2006/relationships" name="21_SIMULADOR_AUX" sheetId="22" r:id="R456dc46b2c9f4722"/>
    <x:sheet xmlns:r="http://schemas.openxmlformats.org/officeDocument/2006/relationships" name="22_BENCHMARK_TRL_MUNDIAL" sheetId="23" r:id="R89c1e0a1d9fe429b"/>
    <x:sheet xmlns:r="http://schemas.openxmlformats.org/officeDocument/2006/relationships" name="23_AUDITORIA_TRL_CEDIA" sheetId="24" r:id="R9ec3dc18a35f4012"/>
    <x:sheet xmlns:r="http://schemas.openxmlformats.org/officeDocument/2006/relationships" name="24_PORTAFOLIO_FINAL_PROPUESTA" sheetId="25" r:id="Re2c7fc4ec42f4745"/>
    <x:sheet xmlns:r="http://schemas.openxmlformats.org/officeDocument/2006/relationships" name="25_RUTA_VISUAL_PROPUESTA" sheetId="26" r:id="R562703a8c49a494a"/>
    <x:sheet xmlns:r="http://schemas.openxmlformats.org/officeDocument/2006/relationships" name="26_PROPUESTA_TRL_FINAL" sheetId="27" r:id="Ree1caa3679544bf9"/>
    <x:sheet xmlns:r="http://schemas.openxmlformats.org/officeDocument/2006/relationships" name="27_RESULTADO_VISUAL_SIMULADOR" sheetId="28" r:id="R7e171f3649ed4001"/>
    <x:sheet xmlns:r="http://schemas.openxmlformats.org/officeDocument/2006/relationships" name="28_RUTA_METODOLOGICA_FINAL" sheetId="29" r:id="R68672a1a4d854495"/>
    <x:sheet xmlns:r="http://schemas.openxmlformats.org/officeDocument/2006/relationships" name="29_ARQUITECTURA_IA_FINAL" sheetId="30" r:id="R289930631b054c44"/>
    <x:sheet xmlns:r="http://schemas.openxmlformats.org/officeDocument/2006/relationships" name="30_PLAN_COMUNICACION_PROPUESTA" sheetId="31" r:id="Rf52af410255145cd"/>
    <x:sheet xmlns:r="http://schemas.openxmlformats.org/officeDocument/2006/relationships" name="31_BRIEF_COMUNICACION" sheetId="32" r:id="R8248b474b82d4a9d"/>
    <x:sheet xmlns:r="http://schemas.openxmlformats.org/officeDocument/2006/relationships" name="32_PASAPORTE_PROYECTO" sheetId="33" r:id="R693345e0070241f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26">
    <x:font>
      <x:sz val="11"/>
      <x:name val="Carlito"/>
    </x:font>
    <x:font>
      <x:b/>
      <x:sz val="15"/>
      <x:color rgb="FFFFFFFF"/>
      <x:name val="Carlito"/>
    </x:font>
    <x:font>
      <x:i/>
      <x:sz val="10"/>
      <x:color rgb="FF1F2937"/>
      <x:name val="Carlito"/>
    </x:font>
    <x:font>
      <x:b/>
      <x:sz val="10"/>
      <x:color rgb="FFFFFFFF"/>
      <x:name val="Carlito"/>
    </x:font>
    <x:font>
      <x:sz val="9"/>
      <x:color rgb="FF1F2937"/>
      <x:name val="Carlito"/>
    </x:font>
    <x:font>
      <x:b/>
      <x:sz val="11"/>
      <x:color rgb="FF1F2937"/>
      <x:name val="Carlito"/>
    </x:font>
    <x:font>
      <x:b/>
      <x:sz val="10"/>
      <x:color rgb="FF1F2937"/>
      <x:name val="Carlito"/>
    </x:font>
    <x:font>
      <x:b/>
      <x:sz val="9"/>
      <x:color rgb="FF1F2937"/>
      <x:name val="Carlito"/>
    </x:font>
    <x:font>
      <x:b/>
      <x:sz val="9"/>
      <x:color rgb="FFFFFFFF"/>
      <x:name val="Carlito"/>
    </x:font>
    <x:font>
      <x:b/>
      <x:sz val="14"/>
      <x:color rgb="FFFFFFFF"/>
      <x:name val="Carlito"/>
    </x:font>
    <x:font>
      <x:i/>
      <x:sz val="9"/>
      <x:color rgb="FF1F2937"/>
      <x:name val="Carlito"/>
    </x:font>
    <x:font>
      <x:b/>
      <x:sz val="11"/>
      <x:color rgb="FFFFFFFF"/>
      <x:name val="Carlito"/>
    </x:font>
    <x:font>
      <x:i/>
      <x:sz val="9"/>
      <x:name val="Carlito"/>
    </x:font>
    <x:font>
      <x:sz val="9"/>
      <x:name val="Carlito"/>
    </x:font>
    <x:font>
      <x:sz val="10"/>
      <x:name val="Carlito"/>
    </x:font>
    <x:font>
      <x:b/>
      <x:sz val="12"/>
      <x:color rgb="FFFFFFFF"/>
      <x:name val="Carlito"/>
    </x:font>
    <x:font>
      <x:sz val="8"/>
      <x:name val="Carlito"/>
    </x:font>
    <x:font>
      <x:b/>
      <x:sz val="10"/>
      <x:name val="Carlito"/>
    </x:font>
    <x:font>
      <x:b/>
      <x:sz val="9"/>
      <x:name val="Carlito"/>
    </x:font>
    <x:font>
      <x:sz val="8"/>
      <x:color rgb="FF1F2937"/>
      <x:name val="Carlito"/>
    </x:font>
    <x:font>
      <x:b/>
      <x:sz val="8"/>
      <x:color rgb="FF7F6000"/>
      <x:name val="Carlito"/>
    </x:font>
    <x:font>
      <x:i/>
      <x:sz val="8"/>
      <x:color rgb="FF1F2937"/>
      <x:name val="Carlito"/>
    </x:font>
    <x:font>
      <x:i/>
      <x:sz val="8"/>
      <x:name val="Carlito"/>
    </x:font>
    <x:font>
      <x:b/>
      <x:sz val="8"/>
      <x:name val="Carlito"/>
    </x:font>
    <x:font>
      <x:b/>
      <x:sz val="11"/>
      <x:name val="Carlito"/>
    </x:font>
    <x:font>
      <x:b/>
      <x:sz val="12"/>
      <x:name val="Carlito"/>
    </x:font>
  </x:fonts>
  <x:fills count="8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F3F6F9"/>
      </x:patternFill>
    </x:fill>
    <x:fill>
      <x:patternFill patternType="solid">
        <x:fgColor rgb="FFFFFDF5"/>
      </x:patternFill>
    </x:fill>
    <x:fill>
      <x:patternFill patternType="solid">
        <x:fgColor rgb="FFF7FBFF"/>
      </x:patternFill>
    </x:fill>
    <x:fill>
      <x:patternFill patternType="solid">
        <x:fgColor rgb="FF1F4E78"/>
      </x:patternFill>
    </x:fill>
    <x:fill>
      <x:patternFill patternType="solid">
        <x:fgColor rgb="FFF7FBFF"/>
      </x:patternFill>
    </x:fill>
    <x:fill>
      <x:patternFill patternType="solid">
        <x:fgColor rgb="FF17365D"/>
      </x:patternFill>
    </x:fill>
    <x:fill>
      <x:patternFill patternType="solid">
        <x:fgColor rgb="FFD9EAF7"/>
      </x:patternFill>
    </x:fill>
    <x:fill>
      <x:patternFill patternType="solid">
        <x:fgColor rgb="FF0F6B78"/>
      </x:patternFill>
    </x:fill>
    <x:fill>
      <x:patternFill patternType="solid">
        <x:fgColor rgb="FFF2FBFB"/>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6B78"/>
      </x:patternFill>
    </x:fill>
    <x:fill>
      <x:patternFill patternType="solid">
        <x:fgColor rgb="FF17365D"/>
      </x:patternFill>
    </x:fill>
    <x:fill>
      <x:patternFill patternType="solid">
        <x:fgColor rgb="FF6B4F86"/>
      </x:patternFill>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6B78"/>
      </x:patternFill>
    </x:fill>
    <x:fill>
      <x:patternFill patternType="solid">
        <x:fgColor rgb="FFF7FBFF"/>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6B78"/>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DDEBF7"/>
      </x:patternFill>
    </x:fill>
    <x:fill>
      <x:patternFill patternType="solid">
        <x:fgColor rgb="FF0F6B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6B78"/>
      </x:patternFill>
    </x:fill>
    <x:fill>
      <x:patternFill patternType="solid">
        <x:fgColor rgb="FFD9EAD3"/>
      </x:patternFill>
    </x:fill>
    <x:fill>
      <x:patternFill patternType="solid">
        <x:fgColor rgb="FFEAF2F8"/>
      </x:patternFill>
    </x:fill>
    <x:fill>
      <x:patternFill patternType="solid">
        <x:fgColor rgb="FF7F6000"/>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1F4E78"/>
      </x:patternFill>
    </x:fill>
    <x:fill>
      <x:patternFill patternType="solid">
        <x:fgColor rgb="FFDDEBF7"/>
      </x:patternFill>
    </x:fill>
    <x:fill>
      <x:patternFill patternType="solid">
        <x:fgColor rgb="FFFCE4D6"/>
      </x:patternFill>
    </x:fill>
    <x:fill>
      <x:patternFill patternType="solid">
        <x:fgColor rgb="FFE4DFEC"/>
      </x:patternFill>
    </x:fill>
    <x:fill>
      <x:patternFill patternType="solid">
        <x:fgColor rgb="FFD9EAD3"/>
      </x:patternFill>
    </x:fill>
    <x:fill>
      <x:patternFill patternType="solid">
        <x:fgColor rgb="FFF4CCCC"/>
      </x:patternFill>
    </x:fill>
    <x:fill>
      <x:patternFill patternType="solid">
        <x:fgColor rgb="FFD9D2E9"/>
      </x:patternFill>
    </x:fill>
    <x:fill>
      <x:patternFill patternType="solid">
        <x:fgColor rgb="FFCFE2F3"/>
      </x:patternFill>
    </x:fill>
    <x:fill>
      <x:patternFill patternType="solid">
        <x:fgColor rgb="FF0F6B78"/>
      </x:patternFill>
    </x:fill>
    <x:fill>
      <x:patternFill patternType="solid">
        <x:fgColor rgb="FFEAF2F8"/>
      </x:patternFill>
    </x:fill>
    <x:fill>
      <x:patternFill patternType="solid">
        <x:fgColor rgb="FF8064A2"/>
      </x:patternFill>
    </x:fill>
    <x:fill>
      <x:patternFill patternType="solid">
        <x:fgColor rgb="FFC65911"/>
      </x:patternFill>
    </x:fill>
    <x:fill>
      <x:patternFill patternType="solid">
        <x:fgColor rgb="FFF8F9FA"/>
      </x:patternFill>
    </x:fill>
    <x:fill>
      <x:patternFill patternType="solid">
        <x:fgColor rgb="FFEDEDED"/>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E4DFEC"/>
      </x:patternFill>
    </x:fill>
    <x:fill>
      <x:patternFill patternType="solid">
        <x:fgColor rgb="FFD9EAD3"/>
      </x:patternFill>
    </x:fill>
    <x:fill>
      <x:patternFill patternType="solid">
        <x:fgColor rgb="FFCFE2F3"/>
      </x:patternFill>
    </x:fill>
    <x:fill>
      <x:patternFill patternType="solid">
        <x:fgColor rgb="FF0F6B78"/>
      </x:patternFill>
    </x:fill>
    <x:fill>
      <x:patternFill patternType="solid">
        <x:fgColor rgb="FFF8F9FA"/>
      </x:patternFill>
    </x:fill>
    <x:fill>
      <x:patternFill patternType="solid">
        <x:fgColor rgb="FFEEF4F8"/>
      </x:patternFill>
    </x:fill>
    <x:fill>
      <x:patternFill patternType="solid">
        <x:fgColor rgb="FF7F6000"/>
      </x:patternFill>
    </x:fill>
  </x:fills>
  <x:borders count="27">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6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4" fillId="0" borderId="0" xfId="0" applyNumberFormat="1" applyFont="1" applyFill="1" applyBorder="1"/>
    <x:xf numFmtId="0" fontId="4" fillId="0" borderId="6" xfId="0" applyNumberFormat="1" applyFont="1" applyFill="1" applyBorder="1"/>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1" xfId="0" applyNumberFormat="1" applyFont="1" applyFill="1" applyBorder="1"/>
    <x:xf numFmtId="0" fontId="4" fillId="0" borderId="7" xfId="0" applyNumberFormat="1" applyFont="1" applyFill="1" applyBorder="1"/>
    <x:xf numFmtId="0" fontId="4" fillId="0" borderId="1"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3" fillId="4" borderId="8" xfId="0" applyNumberFormat="1" applyFont="1" applyFill="1" applyBorder="1"/>
    <x:xf numFmtId="0" fontId="3" fillId="4" borderId="8" xfId="0" applyNumberFormat="1" applyFont="1" applyFill="1" applyBorder="1" applyAlignment="1">
      <x:alignment wrapText="1"/>
    </x:xf>
    <x:xf numFmtId="0" fontId="3" fillId="4" borderId="8" xfId="0" applyNumberFormat="1" applyFont="1" applyFill="1" applyBorder="1" applyAlignment="1">
      <x:alignment horizontal="center" wrapText="1"/>
    </x:xf>
    <x:xf numFmtId="0" fontId="3" fillId="4" borderId="8" xfId="0" applyNumberFormat="1" applyFont="1" applyFill="1" applyBorder="1" applyAlignment="1">
      <x:alignment horizontal="center" vertical="center"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horizontal="center" wrapText="1"/>
    </x:xf>
    <x:xf numFmtId="0" fontId="3" fillId="4" borderId="9" xfId="0" applyNumberFormat="1" applyFont="1" applyFill="1" applyBorder="1" applyAlignment="1">
      <x:alignment horizontal="center" vertical="center" wrapText="1"/>
    </x:xf>
    <x:xf numFmtId="0" fontId="4" fillId="5" borderId="0"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5" fillId="5" borderId="0" xfId="0" applyNumberFormat="1" applyFont="1" applyFill="1" applyBorder="1" applyAlignment="1">
      <x:alignment horizontal="center" vertical="top" wrapText="1"/>
    </x:xf>
    <x:xf numFmtId="0" fontId="5" fillId="5" borderId="6" xfId="0" applyNumberFormat="1" applyFont="1" applyFill="1" applyBorder="1" applyAlignment="1">
      <x:alignment horizontal="center" vertical="top" wrapText="1"/>
    </x:xf>
    <x:xf numFmtId="0" fontId="4" fillId="5" borderId="1"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1" xfId="0" applyNumberFormat="1" applyFont="1" applyFill="1" applyBorder="1" applyAlignment="1">
      <x:alignment horizontal="center" vertical="top" wrapText="1"/>
    </x:xf>
    <x:xf numFmtId="0" fontId="5" fillId="5" borderId="7" xfId="0" applyNumberFormat="1" applyFont="1" applyFill="1" applyBorder="1" applyAlignment="1">
      <x:alignment horizontal="center"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4" fillId="3" borderId="0"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7" fillId="3" borderId="6"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7" fillId="3" borderId="1" xfId="0" applyNumberFormat="1" applyFont="1" applyFill="1" applyBorder="1" applyAlignment="1">
      <x:alignment vertical="top" wrapText="1"/>
    </x:xf>
    <x:xf numFmtId="0" fontId="7" fillId="3" borderId="7"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4" fillId="0" borderId="0" xfId="0" applyNumberFormat="1" applyFont="1" applyFill="1" applyBorder="1"/>
    <x:xf numFmtId="200" fontId="4" fillId="0" borderId="6" xfId="0" applyNumberFormat="1" applyFont="1" applyFill="1" applyBorder="1"/>
    <x:xf numFmtId="200" fontId="4" fillId="0" borderId="0" xfId="0" applyNumberFormat="1" applyFont="1" applyFill="1" applyBorder="1" applyAlignment="1">
      <x:alignment wrapText="1"/>
    </x:xf>
    <x:xf numFmtId="200" fontId="4" fillId="0" borderId="6" xfId="0" applyNumberFormat="1" applyFont="1" applyFill="1" applyBorder="1" applyAlignment="1">
      <x:alignment wrapText="1"/>
    </x:xf>
    <x:xf numFmtId="200" fontId="4" fillId="0" borderId="0"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0" borderId="1" xfId="0" applyNumberFormat="1" applyFont="1" applyFill="1" applyBorder="1"/>
    <x:xf numFmtId="200" fontId="4" fillId="0" borderId="7" xfId="0" applyNumberFormat="1" applyFont="1" applyFill="1" applyBorder="1"/>
    <x:xf numFmtId="200" fontId="4" fillId="0" borderId="1" xfId="0" applyNumberFormat="1" applyFont="1" applyFill="1" applyBorder="1" applyAlignment="1">
      <x:alignment wrapText="1"/>
    </x:xf>
    <x:xf numFmtId="200" fontId="4" fillId="0" borderId="7" xfId="0" applyNumberFormat="1" applyFont="1" applyFill="1" applyBorder="1" applyAlignment="1">
      <x:alignment wrapText="1"/>
    </x:xf>
    <x:xf numFmtId="200" fontId="4" fillId="0" borderId="1" xfId="0" applyNumberFormat="1" applyFont="1" applyFill="1" applyBorder="1" applyAlignment="1">
      <x:alignment vertical="top" wrapText="1"/>
    </x:xf>
    <x:xf numFmtId="200" fontId="4" fillId="0" borderId="7"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6"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7"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6"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4" fillId="8" borderId="7"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6" xfId="0" applyNumberFormat="1" applyFont="1" applyFill="1" applyBorder="1" applyAlignment="1">
      <x:alignment vertical="top" wrapText="1"/>
    </x:xf>
    <x:xf numFmtId="0" fontId="0" fillId="0"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10" borderId="0" xfId="0" applyNumberFormat="1" applyFont="1" applyFill="1" applyBorder="1"/>
    <x:xf numFmtId="0" fontId="8" fillId="10" borderId="0" xfId="0" applyNumberFormat="1" applyFont="1" applyFill="1" applyBorder="1"/>
    <x:xf numFmtId="0" fontId="8" fillId="10" borderId="10" xfId="0" applyNumberFormat="1" applyFont="1" applyFill="1" applyBorder="1"/>
    <x:xf numFmtId="0" fontId="8" fillId="10" borderId="11" xfId="0" applyNumberFormat="1" applyFont="1" applyFill="1" applyBorder="1"/>
    <x:xf numFmtId="0" fontId="8" fillId="10" borderId="12" xfId="0" applyNumberFormat="1" applyFont="1" applyFill="1" applyBorder="1"/>
    <x:xf numFmtId="0" fontId="8" fillId="10" borderId="10" xfId="0" applyNumberFormat="1" applyFont="1" applyFill="1" applyBorder="1" applyAlignment="1">
      <x:alignment wrapText="1"/>
    </x:xf>
    <x:xf numFmtId="0" fontId="8" fillId="10" borderId="11" xfId="0" applyNumberFormat="1" applyFont="1" applyFill="1" applyBorder="1" applyAlignment="1">
      <x:alignment wrapText="1"/>
    </x:xf>
    <x:xf numFmtId="0" fontId="8" fillId="10" borderId="12" xfId="0" applyNumberFormat="1" applyFont="1" applyFill="1" applyBorder="1" applyAlignment="1">
      <x:alignment wrapText="1"/>
    </x:xf>
    <x:xf numFmtId="0" fontId="8" fillId="10" borderId="10" xfId="0" applyNumberFormat="1" applyFont="1" applyFill="1" applyBorder="1" applyAlignment="1">
      <x:alignment horizontal="center" wrapText="1"/>
    </x:xf>
    <x:xf numFmtId="0" fontId="8" fillId="10" borderId="11" xfId="0" applyNumberFormat="1" applyFont="1" applyFill="1" applyBorder="1" applyAlignment="1">
      <x:alignment horizontal="center" wrapText="1"/>
    </x:xf>
    <x:xf numFmtId="0" fontId="8" fillId="10" borderId="12" xfId="0" applyNumberFormat="1" applyFont="1" applyFill="1" applyBorder="1" applyAlignment="1">
      <x:alignment horizontal="center" wrapText="1"/>
    </x:xf>
    <x:xf numFmtId="0" fontId="8" fillId="10" borderId="10" xfId="0" applyNumberFormat="1" applyFont="1" applyFill="1" applyBorder="1" applyAlignment="1">
      <x:alignment horizontal="center" vertical="center" wrapText="1"/>
    </x:xf>
    <x:xf numFmtId="0" fontId="8" fillId="10" borderId="11" xfId="0" applyNumberFormat="1" applyFont="1" applyFill="1" applyBorder="1" applyAlignment="1">
      <x:alignment horizontal="center" vertical="center" wrapText="1"/>
    </x:xf>
    <x:xf numFmtId="0" fontId="8" fillId="10" borderId="12" xfId="0" applyNumberFormat="1" applyFont="1" applyFill="1" applyBorder="1" applyAlignment="1">
      <x:alignment horizontal="center" vertical="center" wrapText="1"/>
    </x:xf>
    <x:xf numFmtId="0" fontId="4" fillId="0" xfId="0" applyNumberFormat="1" applyFont="1" applyFill="1" applyBorder="0"/>
    <x:xf numFmtId="0" fontId="4" fillId="0" borderId="13" xfId="0" applyNumberFormat="1" applyFont="1" applyFill="1" applyBorder="1"/>
    <x:xf numFmtId="0" fontId="4" fillId="0" xfId="0" applyNumberFormat="1" applyFont="1" applyFill="1" applyBorder="0" applyAlignment="1">
      <x:alignment wrapText="1"/>
    </x:xf>
    <x:xf numFmtId="0" fontId="4" fillId="0" borderId="13" xfId="0" applyNumberFormat="1" applyFont="1" applyFill="1" applyBorder="1" applyAlignment="1">
      <x:alignment wrapText="1"/>
    </x:xf>
    <x:xf numFmtId="0" fontId="4" fillId="0" xfId="0" applyNumberFormat="1" applyFont="1" applyFill="1" applyBorder="0" applyAlignment="1">
      <x:alignment vertical="top" wrapText="1"/>
    </x:xf>
    <x:xf numFmtId="0" fontId="4" fillId="0" borderId="13" xfId="0" applyNumberFormat="1" applyFont="1" applyFill="1" applyBorder="1" applyAlignment="1">
      <x:alignment vertical="top" wrapText="1"/>
    </x:xf>
    <x:xf numFmtId="0" fontId="4" fillId="11" xfId="0" applyNumberFormat="1" applyFont="1" applyFill="1" applyBorder="0" applyAlignment="1">
      <x:alignment vertical="top" wrapText="1"/>
    </x:xf>
    <x:xf numFmtId="0" fontId="4" fillId="11" borderId="13"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9" fillId="12" borderId="0" xfId="0" applyNumberFormat="1" applyFont="1" applyFill="1" applyBorder="1" applyAlignment="1">
      <x:alignment horizontal="left" vertical="center" wrapText="1"/>
    </x:xf>
    <x:xf numFmtId="0" fontId="2" fillId="13" borderId="0" xfId="0" applyNumberFormat="1" applyFont="1" applyFill="1" applyBorder="1" applyAlignment="1">
      <x:alignment vertical="center" wrapText="1"/>
    </x:xf>
    <x:xf numFmtId="0" fontId="10" fillId="13" borderId="0" xfId="0" applyNumberFormat="1" applyFont="1" applyFill="1" applyBorder="1" applyAlignment="1">
      <x:alignment vertical="center" wrapText="1"/>
    </x:xf>
    <x:xf numFmtId="0" fontId="3" fillId="10" borderId="2" xfId="0" applyNumberFormat="1" applyFont="1" applyFill="1" applyBorder="1" applyAlignment="1">
      <x:alignment horizontal="center" vertical="center" wrapText="1"/>
    </x:xf>
    <x:xf numFmtId="0" fontId="3" fillId="10" borderId="8" xfId="0" applyNumberFormat="1" applyFont="1" applyFill="1" applyBorder="1" applyAlignment="1">
      <x:alignment horizontal="center" vertical="center" wrapText="1"/>
    </x:xf>
    <x:xf numFmtId="0" fontId="3" fillId="10" borderId="3" xfId="0" applyNumberFormat="1" applyFont="1" applyFill="1" applyBorder="1" applyAlignment="1">
      <x:alignment horizontal="center" vertical="center" wrapText="1"/>
    </x:xf>
    <x:xf numFmtId="0" fontId="8" fillId="10" borderId="2" xfId="0" applyNumberFormat="1" applyFont="1" applyFill="1" applyBorder="1" applyAlignment="1">
      <x:alignment horizontal="center" vertical="center" wrapText="1"/>
    </x:xf>
    <x:xf numFmtId="0" fontId="8" fillId="10" borderId="8" xfId="0" applyNumberFormat="1" applyFont="1" applyFill="1" applyBorder="1" applyAlignment="1">
      <x:alignment horizontal="center" vertical="center" wrapText="1"/>
    </x:xf>
    <x:xf numFmtId="0" fontId="8" fillId="10" borderId="3" xfId="0" applyNumberFormat="1" applyFont="1" applyFill="1" applyBorder="1" applyAlignment="1">
      <x:alignment horizontal="center" vertical="center" wrapText="1"/>
    </x:xf>
    <x:xf numFmtId="0" fontId="3" fillId="10" borderId="0" xfId="0" applyNumberFormat="1" applyFont="1" applyFill="1" applyBorder="1" applyAlignment="1">
      <x:alignment horizontal="center" vertical="center" wrapText="1"/>
    </x:xf>
    <x:xf numFmtId="0" fontId="8" fillId="10" borderId="0" xfId="0" applyNumberFormat="1" applyFont="1" applyFill="1" applyBorder="1" applyAlignment="1">
      <x:alignment horizontal="center" vertical="center" wrapText="1"/>
    </x:xf>
    <x:xf numFmtId="200" fontId="4" fillId="0" xfId="0" applyNumberFormat="1" applyFont="1" applyFill="1" applyBorder="0" applyAlignment="1">
      <x:alignment vertical="top" wrapText="1"/>
    </x:xf>
    <x:xf numFmtId="200" fontId="4" fillId="0" borderId="13" xfId="0" applyNumberFormat="1" applyFont="1" applyFill="1" applyBorder="1" applyAlignment="1">
      <x:alignment vertical="top"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9" fillId="12" borderId="0" xfId="0" applyNumberFormat="1" applyFont="1" applyFill="1" applyBorder="1" applyAlignment="1">
      <x:alignment vertical="center"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200" fontId="4" fillId="0" xfId="0" applyNumberFormat="1" applyFont="1" applyFill="1" applyBorder="0"/>
    <x:xf numFmtId="200" fontId="4" fillId="0" borderId="13" xfId="0" applyNumberFormat="1" applyFont="1" applyFill="1" applyBorder="1"/>
    <x:xf numFmtId="200" fontId="4" fillId="0" xfId="0" applyNumberFormat="1" applyFont="1" applyFill="1" applyBorder="0" applyAlignment="1">
      <x:alignment wrapText="1"/>
    </x:xf>
    <x:xf numFmtId="200" fontId="4" fillId="0" borderId="13" xfId="0" applyNumberFormat="1" applyFont="1" applyFill="1" applyBorder="1" applyAlignment="1">
      <x:alignment wrapText="1"/>
    </x:xf>
    <x:xf numFmtId="0" fontId="8" fillId="10" borderId="14" xfId="0" applyNumberFormat="1" applyFont="1" applyFill="1" applyBorder="1" applyAlignment="1">
      <x:alignment horizontal="center" vertical="center" wrapText="1"/>
    </x:xf>
    <x:xf numFmtId="0" fontId="11" fillId="10" borderId="0" xfId="0" applyNumberFormat="1" applyFont="1" applyFill="1" applyBorder="1"/>
    <x:xf numFmtId="0" fontId="11" fillId="10" borderId="0" xfId="0" applyNumberFormat="1" applyFont="1" applyFill="1" applyBorder="1" applyAlignment="1">
      <x:alignment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4" fillId="9" xfId="0" applyNumberFormat="1" applyFont="1" applyFill="1" applyBorder="0" applyAlignment="1">
      <x:alignment vertical="top" wrapText="1"/>
    </x:xf>
    <x:xf numFmtId="0" fontId="9" fillId="2" borderId="0" xfId="0" applyNumberFormat="1" applyFont="1" applyFill="1" applyBorder="1" applyAlignment="1">
      <x:alignment horizontal="left" vertical="center" wrapText="1"/>
    </x:xf>
    <x:xf numFmtId="0" fontId="10" fillId="3" borderId="0" xfId="0" applyNumberFormat="1" applyFont="1" applyFill="1" applyBorder="1" applyAlignment="1">
      <x:alignment vertical="center" wrapText="1"/>
    </x:xf>
    <x:xf numFmtId="0" fontId="9"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vertical="center" wrapText="1"/>
    </x:xf>
    <x:xf numFmtId="0" fontId="10" fillId="3" borderId="0" xfId="0" applyNumberFormat="1" applyFont="1" applyFill="1" applyBorder="1"/>
    <x:xf numFmtId="0" fontId="10" fillId="3" borderId="0" xfId="0" applyNumberFormat="1" applyFont="1" applyFill="1" applyBorder="1" applyAlignment="1">
      <x:alignment wrapText="1"/>
    </x:xf>
    <x:xf numFmtId="0" fontId="11" fillId="4" borderId="0" xfId="0" applyNumberFormat="1" applyFont="1" applyFill="1" applyBorder="1"/>
    <x:xf numFmtId="0" fontId="11" fillId="4" borderId="0" xfId="0" applyNumberFormat="1" applyFont="1" applyFill="1" applyBorder="1" applyAlignment="1">
      <x:alignment wrapText="1"/>
    </x:xf>
    <x:xf numFmtId="0" fontId="4" fillId="0" borderId="15" xfId="0" applyNumberFormat="1" applyFont="1" applyFill="1" applyBorder="1" applyAlignment="1">
      <x:alignment vertical="top" wrapText="1"/>
    </x:xf>
    <x:xf numFmtId="0" fontId="4" fillId="0" borderId="15" xfId="0" applyNumberFormat="1" applyFont="1" applyFill="1" applyBorder="1"/>
    <x:xf numFmtId="0" fontId="4" fillId="0" borderId="15" xfId="0" applyNumberFormat="1" applyFont="1" applyFill="1" applyBorder="1" applyAlignment="1">
      <x:alignment wrapText="1"/>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wrapText="1"/>
    </x:xf>
    <x:xf numFmtId="0" fontId="8" fillId="14" borderId="0" xfId="0" applyNumberFormat="1" applyFont="1" applyFill="1" applyBorder="1" applyAlignment="1">
      <x:alignment horizontal="center" wrapText="1"/>
    </x:xf>
    <x:xf numFmtId="0" fontId="8" fillId="14" borderId="0" xfId="0" applyNumberFormat="1" applyFont="1" applyFill="1" applyBorder="1" applyAlignment="1">
      <x:alignment horizontal="center" vertical="center" wrapText="1"/>
    </x:xf>
    <x:xf numFmtId="0" fontId="4" fillId="0" borderId="16" xfId="0" applyNumberFormat="1" applyFont="1" applyFill="1" applyBorder="1"/>
    <x:xf numFmtId="0" fontId="4" fillId="0" borderId="16" xfId="0" applyNumberFormat="1" applyFont="1" applyFill="1" applyBorder="1" applyAlignment="1">
      <x:alignment wrapText="1"/>
    </x:xf>
    <x:xf numFmtId="0" fontId="4" fillId="0" borderId="16" xfId="0" applyNumberFormat="1" applyFont="1" applyFill="1" applyBorder="1" applyAlignment="1">
      <x:alignment vertical="top" wrapText="1"/>
    </x:xf>
    <x:xf numFmtId="0" fontId="4" fillId="15" xfId="0" applyNumberFormat="1" applyFont="1" applyFill="1" applyBorder="0" applyAlignment="1">
      <x:alignment vertical="top" wrapText="1"/>
    </x:xf>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wrapText="1"/>
    </x:xf>
    <x:xf numFmtId="0" fontId="0" fillId="17" borderId="0" xfId="0" applyNumberFormat="1" applyFont="1" applyFill="1" applyBorder="1"/>
    <x:xf numFmtId="0" fontId="12" fillId="17" borderId="0" xfId="0" applyNumberFormat="1" applyFont="1" applyFill="1" applyBorder="1"/>
    <x:xf numFmtId="0" fontId="12" fillId="17" borderId="0" xfId="0" applyNumberFormat="1" applyFont="1" applyFill="1" applyBorder="1" applyAlignment="1">
      <x:alignment wrapText="1"/>
    </x:xf>
    <x:xf numFmtId="0" fontId="0" fillId="18" borderId="0" xfId="0" applyNumberFormat="1" applyFont="1" applyFill="1" applyBorder="1"/>
    <x:xf numFmtId="0" fontId="8" fillId="18" borderId="0" xfId="0" applyNumberFormat="1" applyFont="1" applyFill="1" applyBorder="1"/>
    <x:xf numFmtId="0" fontId="8" fillId="18" borderId="0" xfId="0" applyNumberFormat="1" applyFont="1" applyFill="1" applyBorder="1" applyAlignment="1">
      <x:alignment wrapText="1"/>
    </x:xf>
    <x:xf numFmtId="0" fontId="8" fillId="18" borderId="0" xfId="0" applyNumberFormat="1" applyFont="1" applyFill="1" applyBorder="1" applyAlignment="1">
      <x:alignment horizontal="center" wrapText="1"/>
    </x:xf>
    <x:xf numFmtId="0" fontId="8" fillId="18" borderId="0" xfId="0" applyNumberFormat="1" applyFont="1" applyFill="1" applyBorder="1" applyAlignment="1">
      <x:alignment horizontal="center" vertical="center"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12" fillId="3" borderId="0" xfId="0" applyNumberFormat="1" applyFont="1" applyFill="1" applyBorder="1"/>
    <x:xf numFmtId="0" fontId="12" fillId="3" borderId="0" xfId="0" applyNumberFormat="1" applyFont="1" applyFill="1" applyBorder="1" applyAlignment="1">
      <x:alignment wrapText="1"/>
    </x:xf>
    <x:xf numFmtId="0" fontId="0" fillId="19" borderId="0" xfId="0" applyNumberFormat="1" applyFont="1" applyFill="1" applyBorder="1"/>
    <x:xf numFmtId="0" fontId="8" fillId="19" borderId="0" xfId="0" applyNumberFormat="1" applyFont="1" applyFill="1" applyBorder="1"/>
    <x:xf numFmtId="0" fontId="8" fillId="19" borderId="0" xfId="0" applyNumberFormat="1" applyFont="1" applyFill="1" applyBorder="1" applyAlignment="1">
      <x:alignment wrapText="1"/>
    </x:xf>
    <x:xf numFmtId="0" fontId="8" fillId="19" borderId="0" xfId="0" applyNumberFormat="1" applyFont="1" applyFill="1" applyBorder="1" applyAlignment="1">
      <x:alignment horizontal="center" wrapText="1"/>
    </x:xf>
    <x:xf numFmtId="0" fontId="8" fillId="19" borderId="0" xfId="0" applyNumberFormat="1" applyFont="1" applyFill="1" applyBorder="1" applyAlignment="1">
      <x:alignment horizontal="center" vertical="center" wrapText="1"/>
    </x:xf>
    <x:xf numFmtId="0" fontId="4" fillId="0" borderId="17" xfId="0" applyNumberFormat="1" applyFont="1" applyFill="1" applyBorder="1" applyAlignment="1">
      <x:alignment vertical="top" wrapText="1"/>
    </x:xf>
    <x:xf numFmtId="0" fontId="4" fillId="0" borderId="17" xfId="0" applyNumberFormat="1" applyFont="1" applyFill="1" applyBorder="1"/>
    <x:xf numFmtId="0" fontId="4" fillId="0" borderId="17" xfId="0" applyNumberFormat="1" applyFont="1" applyFill="1" applyBorder="1" applyAlignment="1">
      <x:alignment wrapText="1"/>
    </x:xf>
    <x:xf numFmtId="0" fontId="0" fillId="20" borderId="0" xfId="0" applyNumberFormat="1" applyFont="1" applyFill="1" applyBorder="1"/>
    <x:xf numFmtId="0" fontId="11" fillId="20" borderId="0" xfId="0" applyNumberFormat="1" applyFont="1" applyFill="1" applyBorder="1"/>
    <x:xf numFmtId="0" fontId="11" fillId="20" borderId="0" xfId="0" applyNumberFormat="1" applyFont="1" applyFill="1" applyBorder="1" applyAlignment="1">
      <x:alignment wrapText="1"/>
    </x:xf>
    <x:xf numFmtId="0" fontId="11" fillId="2" borderId="0" xfId="0" applyNumberFormat="1" applyFont="1" applyFill="1" applyBorder="1"/>
    <x:xf numFmtId="0" fontId="11" fillId="2" borderId="0" xfId="0" applyNumberFormat="1" applyFont="1" applyFill="1" applyBorder="1" applyAlignment="1">
      <x:alignment wrapText="1"/>
    </x:xf>
    <x:xf numFmtId="0" fontId="0" fillId="21" borderId="0" xfId="0" applyNumberFormat="1" applyFont="1" applyFill="1" applyBorder="1"/>
    <x:xf numFmtId="0" fontId="11" fillId="21" borderId="0" xfId="0" applyNumberFormat="1" applyFont="1" applyFill="1" applyBorder="1" applyAlignment="1">
      <x:alignment wrapText="1"/>
    </x:xf>
    <x:xf numFmtId="0" fontId="8" fillId="21" borderId="0" xfId="0" applyNumberFormat="1" applyFont="1" applyFill="1" applyBorder="1"/>
    <x:xf numFmtId="0" fontId="8" fillId="21" borderId="0" xfId="0" applyNumberFormat="1" applyFont="1" applyFill="1" applyBorder="1" applyAlignment="1">
      <x:alignment wrapText="1"/>
    </x:xf>
    <x:xf numFmtId="0" fontId="8" fillId="21" borderId="0" xfId="0" applyNumberFormat="1" applyFont="1" applyFill="1" applyBorder="1" applyAlignment="1">
      <x:alignment horizontal="center" wrapText="1"/>
    </x:xf>
    <x:xf numFmtId="0" fontId="8" fillId="21" borderId="0" xfId="0" applyNumberFormat="1" applyFont="1" applyFill="1" applyBorder="1" applyAlignment="1">
      <x:alignment horizontal="center" vertical="center" wrapText="1"/>
    </x:xf>
    <x:xf numFmtId="0" fontId="4" fillId="0" borderId="18" xfId="0" applyNumberFormat="1" applyFont="1" applyFill="1" applyBorder="1" applyAlignment="1">
      <x:alignment vertical="top" wrapText="1"/>
    </x:xf>
    <x:xf numFmtId="0" fontId="4" fillId="0" borderId="18" xfId="0" applyNumberFormat="1" applyFont="1" applyFill="1" applyBorder="1"/>
    <x:xf numFmtId="0" fontId="4" fillId="0" borderId="18" xfId="0" applyNumberFormat="1" applyFont="1" applyFill="1" applyBorder="1" applyAlignment="1">
      <x:alignment wrapText="1"/>
    </x:xf>
    <x:xf numFmtId="0" fontId="8" fillId="22" borderId="0" xfId="0" applyNumberFormat="1" applyFont="1" applyFill="1" applyBorder="1" applyAlignment="1">
      <x:alignment horizontal="center" vertical="center" wrapText="1"/>
    </x:xf>
    <x:xf numFmtId="0" fontId="11" fillId="22" borderId="0" xfId="0" applyNumberFormat="1" applyFont="1" applyFill="1" applyBorder="1" applyAlignment="1">
      <x:alignment wrapText="1"/>
    </x:xf>
    <x:xf numFmtId="0" fontId="0" fillId="22" borderId="0" xfId="0" applyNumberFormat="1" applyFont="1" applyFill="1" applyBorder="1"/>
    <x:xf numFmtId="0" fontId="9" fillId="22" borderId="0" xfId="0" applyNumberFormat="1" applyFont="1" applyFill="1" applyBorder="1"/>
    <x:xf numFmtId="0" fontId="9" fillId="22" borderId="0" xfId="0" applyNumberFormat="1" applyFont="1" applyFill="1" applyBorder="1" applyAlignment="1">
      <x:alignment wrapText="1"/>
    </x:xf>
    <x:xf numFmtId="0" fontId="0" fillId="23" borderId="0" xfId="0" applyNumberFormat="1" applyFont="1" applyFill="1" applyBorder="1"/>
    <x:xf numFmtId="0" fontId="12" fillId="23" borderId="0" xfId="0" applyNumberFormat="1" applyFont="1" applyFill="1" applyBorder="1"/>
    <x:xf numFmtId="0" fontId="12" fillId="23" borderId="0" xfId="0" applyNumberFormat="1" applyFont="1" applyFill="1" applyBorder="1" applyAlignment="1">
      <x:alignment wrapText="1"/>
    </x:xf>
    <x:xf numFmtId="0" fontId="0" fillId="24" borderId="0" xfId="0" applyNumberFormat="1" applyFont="1" applyFill="1" applyBorder="1"/>
    <x:xf numFmtId="0" fontId="8" fillId="24" borderId="0" xfId="0" applyNumberFormat="1" applyFont="1" applyFill="1" applyBorder="1"/>
    <x:xf numFmtId="0" fontId="8" fillId="24" borderId="0" xfId="0" applyNumberFormat="1" applyFont="1" applyFill="1" applyBorder="1" applyAlignment="1">
      <x:alignment wrapText="1"/>
    </x:xf>
    <x:xf numFmtId="0" fontId="8" fillId="2" borderId="0" xfId="0" applyNumberFormat="1" applyFont="1" applyFill="1" applyBorder="1" applyAlignment="1">
      <x:alignment horizontal="center" vertical="center" wrapText="1"/>
    </x:xf>
    <x:xf numFmtId="0" fontId="12" fillId="6" borderId="0" xfId="0" applyNumberFormat="1" applyFont="1" applyFill="1" applyBorder="1"/>
    <x:xf numFmtId="0" fontId="12" fillId="6" borderId="0" xfId="0" applyNumberFormat="1" applyFont="1" applyFill="1" applyBorder="1" applyAlignment="1">
      <x:alignment wrapText="1"/>
    </x:xf>
    <x:xf numFmtId="0" fontId="1" fillId="25" borderId="0" xfId="0" applyNumberFormat="1" applyFont="1" applyFill="1" applyBorder="1" applyAlignment="1">
      <x:alignment horizontal="left" vertical="center" wrapText="1"/>
    </x:xf>
    <x:xf numFmtId="0" fontId="0" fillId="25" borderId="0" xfId="0" applyNumberFormat="1" applyFont="1" applyFill="1" applyBorder="1"/>
    <x:xf numFmtId="0" fontId="9" fillId="25" borderId="0" xfId="0" applyNumberFormat="1" applyFont="1" applyFill="1" applyBorder="1" applyAlignment="1">
      <x:alignment horizontal="left" vertical="center" wrapText="1"/>
    </x:xf>
    <x:xf numFmtId="0" fontId="9" fillId="25" borderId="0" xfId="0" applyNumberFormat="1" applyFont="1" applyFill="1" applyBorder="1"/>
    <x:xf numFmtId="0" fontId="9" fillId="25" borderId="0" xfId="0" applyNumberFormat="1" applyFont="1" applyFill="1" applyBorder="1" applyAlignment="1">
      <x:alignment wrapText="1"/>
    </x:xf>
    <x:xf numFmtId="0" fontId="9" fillId="25" borderId="0" xfId="0" applyNumberFormat="1" applyFont="1" applyFill="1" applyBorder="1" applyAlignment="1">
      <x:alignment vertical="center" wrapText="1"/>
    </x:xf>
    <x:xf numFmtId="0" fontId="2" fillId="26" borderId="0" xfId="0" applyNumberFormat="1" applyFont="1" applyFill="1" applyBorder="1" applyAlignment="1">
      <x:alignment vertical="center" wrapText="1"/>
    </x:xf>
    <x:xf numFmtId="0" fontId="0" fillId="26" borderId="0" xfId="0" applyNumberFormat="1" applyFont="1" applyFill="1" applyBorder="1"/>
    <x:xf numFmtId="0" fontId="10" fillId="26" borderId="0" xfId="0" applyNumberFormat="1" applyFont="1" applyFill="1" applyBorder="1" applyAlignment="1">
      <x:alignment vertical="center" wrapText="1"/>
    </x:xf>
    <x:xf numFmtId="0" fontId="10" fillId="26" borderId="0" xfId="0" applyNumberFormat="1" applyFont="1" applyFill="1" applyBorder="1"/>
    <x:xf numFmtId="0" fontId="10" fillId="26" borderId="0" xfId="0" applyNumberFormat="1" applyFont="1" applyFill="1" applyBorder="1" applyAlignment="1">
      <x:alignment wrapText="1"/>
    </x:xf>
    <x:xf numFmtId="0" fontId="3" fillId="27" borderId="0" xfId="0" applyNumberFormat="1" applyFont="1" applyFill="1" applyBorder="1" applyAlignment="1">
      <x:alignment horizontal="center" vertical="center" wrapText="1"/>
    </x:xf>
    <x:xf numFmtId="0" fontId="0" fillId="27" borderId="0" xfId="0" applyNumberFormat="1" applyFont="1" applyFill="1" applyBorder="1"/>
    <x:xf numFmtId="0" fontId="8" fillId="27" borderId="0" xfId="0" applyNumberFormat="1" applyFont="1" applyFill="1" applyBorder="1" applyAlignment="1">
      <x:alignment horizontal="center" vertical="center" wrapText="1"/>
    </x:xf>
    <x:xf numFmtId="0" fontId="8" fillId="27" borderId="0" xfId="0" applyNumberFormat="1" applyFont="1" applyFill="1" applyBorder="1"/>
    <x:xf numFmtId="0" fontId="8" fillId="27" borderId="19" xfId="0" applyNumberFormat="1" applyFont="1" applyFill="1" applyBorder="1" applyAlignment="1">
      <x:alignment horizontal="center" vertical="center" wrapText="1"/>
    </x:xf>
    <x:xf numFmtId="0" fontId="8" fillId="27" borderId="20" xfId="0" applyNumberFormat="1" applyFont="1" applyFill="1" applyBorder="1" applyAlignment="1">
      <x:alignment horizontal="center" vertical="center" wrapText="1"/>
    </x:xf>
    <x:xf numFmtId="0" fontId="8" fillId="27" borderId="20" xfId="0" applyNumberFormat="1" applyFont="1" applyFill="1" applyBorder="1"/>
    <x:xf numFmtId="0" fontId="8" fillId="27" borderId="21" xfId="0" applyNumberFormat="1" applyFont="1" applyFill="1" applyBorder="1"/>
    <x:xf numFmtId="0" fontId="8" fillId="27" borderId="20" xfId="0" applyNumberFormat="1" applyFont="1" applyFill="1" applyBorder="1" applyAlignment="1">
      <x:alignment wrapText="1"/>
    </x:xf>
    <x:xf numFmtId="0" fontId="8" fillId="27" borderId="21" xfId="0" applyNumberFormat="1" applyFont="1" applyFill="1" applyBorder="1" applyAlignment="1">
      <x:alignment wrapText="1"/>
    </x:xf>
    <x:xf numFmtId="0" fontId="8" fillId="27" borderId="20" xfId="0" applyNumberFormat="1" applyFont="1" applyFill="1" applyBorder="1" applyAlignment="1">
      <x:alignment horizontal="center" wrapText="1"/>
    </x:xf>
    <x:xf numFmtId="0" fontId="8" fillId="27" borderId="21" xfId="0" applyNumberFormat="1" applyFont="1" applyFill="1" applyBorder="1" applyAlignment="1">
      <x:alignment horizontal="center" wrapText="1"/>
    </x:xf>
    <x:xf numFmtId="0" fontId="8" fillId="27" borderId="21" xfId="0" applyNumberFormat="1" applyFont="1" applyFill="1" applyBorder="1" applyAlignment="1">
      <x:alignment horizontal="center" vertical="center" wrapText="1"/>
    </x:xf>
    <x:xf numFmtId="0" fontId="4" fillId="0" borderId="22" xfId="0" applyNumberFormat="1" applyFont="1" applyFill="1" applyBorder="1" applyAlignment="1">
      <x:alignment vertical="top" wrapText="1"/>
    </x:xf>
    <x:xf numFmtId="0" fontId="4" fillId="0" borderId="22" xfId="0" applyNumberFormat="1" applyFont="1" applyFill="1" applyBorder="1"/>
    <x:xf numFmtId="0" fontId="4" fillId="0" borderId="22" xfId="0" applyNumberFormat="1" applyFont="1" applyFill="1" applyBorder="1" applyAlignment="1">
      <x:alignment wrapText="1"/>
    </x:xf>
    <x:xf numFmtId="201" fontId="4" fillId="0" xfId="0" applyNumberFormat="1" applyFont="1" applyFill="1" applyBorder="0" applyAlignment="1">
      <x:alignment vertical="top" wrapText="1"/>
    </x:xf>
    <x:xf numFmtId="201" fontId="4" fillId="0" borderId="22"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0" fontId="12" fillId="26" borderId="0" xfId="0" applyNumberFormat="1" applyFont="1" applyFill="1" applyBorder="1"/>
    <x:xf numFmtId="0" fontId="12" fillId="26" borderId="0" xfId="0" applyNumberFormat="1" applyFont="1" applyFill="1" applyBorder="1" applyAlignment="1">
      <x:alignment wrapText="1"/>
    </x:xf>
    <x:xf numFmtId="0" fontId="8" fillId="27" borderId="0" xfId="0" applyNumberFormat="1" applyFont="1" applyFill="1" applyBorder="1" applyAlignment="1">
      <x:alignment wrapText="1"/>
    </x:xf>
    <x:xf numFmtId="0" fontId="0" fillId="28" borderId="0" xfId="0" applyNumberFormat="1" applyFont="1" applyFill="1" applyBorder="1"/>
    <x:xf numFmtId="0" fontId="11" fillId="28" borderId="0" xfId="0" applyNumberFormat="1" applyFont="1" applyFill="1" applyBorder="1"/>
    <x:xf numFmtId="0" fontId="0" fillId="29" borderId="0" xfId="0" applyNumberFormat="1" applyFont="1" applyFill="1" applyBorder="1"/>
    <x:xf numFmtId="0" fontId="14" fillId="29" borderId="0" xfId="0" applyNumberFormat="1" applyFont="1" applyFill="1" applyBorder="1"/>
    <x:xf numFmtId="0" fontId="14" fillId="29" borderId="0" xfId="0" applyNumberFormat="1" applyFont="1" applyFill="1" applyBorder="1" applyAlignment="1">
      <x:alignment wrapText="1"/>
    </x:xf>
    <x:xf numFmtId="0" fontId="14" fillId="29" borderId="0" xfId="0" applyNumberFormat="1" applyFont="1" applyFill="1" applyBorder="1" applyAlignment="1">
      <x:alignment vertical="top" wrapText="1"/>
    </x:xf>
    <x:xf numFmtId="0" fontId="11" fillId="14" borderId="0" xfId="0" applyNumberFormat="1" applyFont="1" applyFill="1" applyBorder="1"/>
    <x:xf numFmtId="0" fontId="0" fillId="9" borderId="0" xfId="0" applyNumberFormat="1" applyFont="1" applyFill="1" applyBorder="1"/>
    <x:xf numFmtId="0" fontId="14" fillId="9" borderId="0" xfId="0" applyNumberFormat="1" applyFont="1" applyFill="1" applyBorder="1"/>
    <x:xf numFmtId="0" fontId="14" fillId="9" borderId="0" xfId="0" applyNumberFormat="1" applyFont="1" applyFill="1" applyBorder="1" applyAlignment="1">
      <x:alignment wrapText="1"/>
    </x:xf>
    <x:xf numFmtId="0" fontId="14" fillId="9" borderId="0" xfId="0" applyNumberFormat="1" applyFont="1" applyFill="1" applyBorder="1" applyAlignment="1">
      <x:alignment vertical="top" wrapText="1"/>
    </x:xf>
    <x:xf numFmtId="0" fontId="0" fillId="30" borderId="0" xfId="0" applyNumberFormat="1" applyFont="1" applyFill="1" applyBorder="1"/>
    <x:xf numFmtId="0" fontId="9" fillId="30" borderId="0" xfId="0" applyNumberFormat="1" applyFont="1" applyFill="1" applyBorder="1"/>
    <x:xf numFmtId="0" fontId="9" fillId="30" borderId="0" xfId="0" applyNumberFormat="1" applyFont="1" applyFill="1" applyBorder="1" applyAlignment="1">
      <x:alignment wrapText="1"/>
    </x:xf>
    <x:xf numFmtId="0" fontId="9" fillId="30" borderId="0" xfId="0" applyNumberFormat="1" applyFont="1" applyFill="1" applyBorder="1" applyAlignment="1">
      <x:alignment vertical="center" wrapText="1"/>
    </x:xf>
    <x:xf numFmtId="0" fontId="0" fillId="31" borderId="0" xfId="0" applyNumberFormat="1" applyFont="1" applyFill="1" applyBorder="1"/>
    <x:xf numFmtId="0" fontId="10" fillId="31" borderId="0" xfId="0" applyNumberFormat="1" applyFont="1" applyFill="1" applyBorder="1"/>
    <x:xf numFmtId="0" fontId="10" fillId="31" borderId="0" xfId="0" applyNumberFormat="1" applyFont="1" applyFill="1" applyBorder="1" applyAlignment="1">
      <x:alignment wrapText="1"/>
    </x:xf>
    <x:xf numFmtId="0" fontId="10" fillId="31" borderId="0" xfId="0" applyNumberFormat="1" applyFont="1" applyFill="1" applyBorder="1" applyAlignment="1">
      <x:alignment vertical="center" wrapText="1"/>
    </x:xf>
    <x:xf numFmtId="0" fontId="0" fillId="32" borderId="0" xfId="0" applyNumberFormat="1" applyFont="1" applyFill="1" applyBorder="1"/>
    <x:xf numFmtId="0" fontId="8" fillId="32" borderId="0" xfId="0" applyNumberFormat="1" applyFont="1" applyFill="1" applyBorder="1"/>
    <x:xf numFmtId="0" fontId="8" fillId="32" borderId="23" xfId="0" applyNumberFormat="1" applyFont="1" applyFill="1" applyBorder="1"/>
    <x:xf numFmtId="0" fontId="8" fillId="32" borderId="24" xfId="0" applyNumberFormat="1" applyFont="1" applyFill="1" applyBorder="1"/>
    <x:xf numFmtId="0" fontId="8" fillId="32" borderId="25" xfId="0" applyNumberFormat="1" applyFont="1" applyFill="1" applyBorder="1"/>
    <x:xf numFmtId="0" fontId="8" fillId="32" borderId="23" xfId="0" applyNumberFormat="1" applyFont="1" applyFill="1" applyBorder="1" applyAlignment="1">
      <x:alignment wrapText="1"/>
    </x:xf>
    <x:xf numFmtId="0" fontId="8" fillId="32" borderId="24" xfId="0" applyNumberFormat="1" applyFont="1" applyFill="1" applyBorder="1" applyAlignment="1">
      <x:alignment wrapText="1"/>
    </x:xf>
    <x:xf numFmtId="0" fontId="8" fillId="32" borderId="25" xfId="0" applyNumberFormat="1" applyFont="1" applyFill="1" applyBorder="1" applyAlignment="1">
      <x:alignment wrapText="1"/>
    </x:xf>
    <x:xf numFmtId="0" fontId="8" fillId="32" borderId="23" xfId="0" applyNumberFormat="1" applyFont="1" applyFill="1" applyBorder="1" applyAlignment="1">
      <x:alignment horizontal="center" wrapText="1"/>
    </x:xf>
    <x:xf numFmtId="0" fontId="8" fillId="32" borderId="24" xfId="0" applyNumberFormat="1" applyFont="1" applyFill="1" applyBorder="1" applyAlignment="1">
      <x:alignment horizontal="center" wrapText="1"/>
    </x:xf>
    <x:xf numFmtId="0" fontId="8" fillId="32" borderId="25" xfId="0" applyNumberFormat="1" applyFont="1" applyFill="1" applyBorder="1" applyAlignment="1">
      <x:alignment horizontal="center" wrapText="1"/>
    </x:xf>
    <x:xf numFmtId="0" fontId="8" fillId="32" borderId="23" xfId="0" applyNumberFormat="1" applyFont="1" applyFill="1" applyBorder="1" applyAlignment="1">
      <x:alignment horizontal="center" vertical="center" wrapText="1"/>
    </x:xf>
    <x:xf numFmtId="0" fontId="8" fillId="32" borderId="24" xfId="0" applyNumberFormat="1" applyFont="1" applyFill="1" applyBorder="1" applyAlignment="1">
      <x:alignment horizontal="center" vertical="center" wrapText="1"/>
    </x:xf>
    <x:xf numFmtId="0" fontId="8" fillId="32" borderId="25" xfId="0" applyNumberFormat="1" applyFont="1" applyFill="1" applyBorder="1" applyAlignment="1">
      <x:alignment horizontal="center" vertical="center" wrapText="1"/>
    </x:xf>
    <x:xf numFmtId="0" fontId="4" fillId="0" borderId="26" xfId="0" applyNumberFormat="1" applyFont="1" applyFill="1" applyBorder="1"/>
    <x:xf numFmtId="0" fontId="4" fillId="0" borderId="26" xfId="0" applyNumberFormat="1" applyFont="1" applyFill="1" applyBorder="1" applyAlignment="1">
      <x:alignment wrapText="1"/>
    </x:xf>
    <x:xf numFmtId="0" fontId="4" fillId="0" borderId="26" xfId="0" applyNumberFormat="1" applyFont="1" applyFill="1" applyBorder="1" applyAlignment="1">
      <x:alignment vertical="top" wrapText="1"/>
    </x:xf>
    <x:xf numFmtId="0" fontId="0" fillId="33" borderId="0" xfId="0" applyNumberFormat="1" applyFont="1" applyFill="1" applyBorder="1"/>
    <x:xf numFmtId="0" fontId="11" fillId="33" borderId="0" xfId="0" applyNumberFormat="1" applyFont="1" applyFill="1" applyBorder="1"/>
    <x:xf numFmtId="0" fontId="11" fillId="33" borderId="0" xfId="0" applyNumberFormat="1" applyFont="1" applyFill="1" applyBorder="1" applyAlignment="1">
      <x:alignment wrapText="1"/>
    </x:xf>
    <x:xf numFmtId="0" fontId="2" fillId="31" borderId="0" xfId="0" applyNumberFormat="1" applyFont="1" applyFill="1" applyBorder="1" applyAlignment="1">
      <x:alignment vertical="center" wrapText="1"/>
    </x:xf>
    <x:xf numFmtId="0" fontId="8" fillId="33" borderId="0" xfId="0" applyNumberFormat="1" applyFont="1" applyFill="1" applyBorder="1"/>
    <x:xf numFmtId="0" fontId="8" fillId="33" borderId="0" xfId="0" applyNumberFormat="1" applyFont="1" applyFill="1" applyBorder="1" applyAlignment="1">
      <x:alignment wrapText="1"/>
    </x:xf>
    <x:xf numFmtId="0" fontId="8" fillId="33" borderId="0" xfId="0" applyNumberFormat="1" applyFont="1" applyFill="1" applyBorder="1" applyAlignment="1">
      <x:alignment horizontal="center" wrapText="1"/>
    </x:xf>
    <x:xf numFmtId="0" fontId="8" fillId="33" borderId="0" xfId="0" applyNumberFormat="1" applyFont="1" applyFill="1" applyBorder="1" applyAlignment="1">
      <x:alignment horizontal="center" vertical="center" wrapText="1"/>
    </x:xf>
    <x:xf numFmtId="0" fontId="11" fillId="14" borderId="0" xfId="0" applyNumberFormat="1" applyFont="1" applyFill="1" applyBorder="1" applyAlignment="1">
      <x:alignment wrapText="1"/>
    </x:xf>
    <x:xf numFmtId="0" fontId="0" fillId="34" borderId="0" xfId="0" applyNumberFormat="1" applyFont="1" applyFill="1" applyBorder="1"/>
    <x:xf numFmtId="0" fontId="15" fillId="34" borderId="0" xfId="0" applyNumberFormat="1" applyFont="1" applyFill="1" applyBorder="1"/>
    <x:xf numFmtId="0" fontId="0" fillId="35" borderId="0" xfId="0" applyNumberFormat="1" applyFont="1" applyFill="1" applyBorder="1"/>
    <x:xf numFmtId="0" fontId="12" fillId="35" borderId="0" xfId="0" applyNumberFormat="1" applyFont="1" applyFill="1" applyBorder="1"/>
    <x:xf numFmtId="0" fontId="12" fillId="35" borderId="0" xfId="0" applyNumberFormat="1" applyFont="1" applyFill="1" applyBorder="1" applyAlignment="1">
      <x:alignment wrapText="1"/>
    </x:xf>
    <x:xf numFmtId="0" fontId="0" fillId="36" borderId="0" xfId="0" applyNumberFormat="1" applyFont="1" applyFill="1" applyBorder="1"/>
    <x:xf numFmtId="0" fontId="8" fillId="36" borderId="0" xfId="0" applyNumberFormat="1" applyFont="1" applyFill="1" applyBorder="1"/>
    <x:xf numFmtId="0" fontId="8" fillId="36" borderId="0" xfId="0" applyNumberFormat="1" applyFont="1" applyFill="1" applyBorder="1" applyAlignment="1">
      <x:alignment wrapText="1"/>
    </x:xf>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vertical="top" wrapText="1"/>
    </x:xf>
    <x:xf numFmtId="0" fontId="2" fillId="37" borderId="0" xfId="0" applyNumberFormat="1" applyFont="1" applyFill="1" applyBorder="1" applyAlignment="1">
      <x:alignment vertical="center" wrapText="1"/>
    </x:xf>
    <x:xf numFmtId="0" fontId="10" fillId="37" borderId="0" xfId="0" applyNumberFormat="1" applyFont="1" applyFill="1" applyBorder="1" applyAlignment="1">
      <x:alignment vertical="center" wrapText="1"/>
    </x:xf>
    <x:xf numFmtId="0" fontId="0" fillId="38" borderId="0" xfId="0" applyNumberFormat="1" applyFont="1" applyFill="1" applyBorder="1"/>
    <x:xf numFmtId="0" fontId="16" fillId="38" borderId="0" xfId="0" applyNumberFormat="1" applyFont="1" applyFill="1" applyBorder="1"/>
    <x:xf numFmtId="0" fontId="16" fillId="38" borderId="0" xfId="0" applyNumberFormat="1" applyFont="1" applyFill="1" applyBorder="1" applyAlignment="1">
      <x:alignment wrapText="1"/>
    </x:xf>
    <x:xf numFmtId="0" fontId="16" fillId="38" borderId="0" xfId="0" applyNumberFormat="1" applyFont="1" applyFill="1" applyBorder="1" applyAlignment="1">
      <x:alignment vertical="center" wrapText="1"/>
    </x:xf>
    <x:xf numFmtId="0" fontId="3" fillId="34" borderId="0" xfId="0" applyNumberFormat="1" applyFont="1" applyFill="1" applyBorder="1" applyAlignment="1">
      <x:alignment horizontal="center" vertical="center" wrapText="1"/>
    </x:xf>
    <x:xf numFmtId="0" fontId="8" fillId="34" borderId="0" xfId="0" applyNumberFormat="1" applyFont="1" applyFill="1" applyBorder="1" applyAlignment="1">
      <x:alignment horizontal="center" vertical="center" wrapText="1"/>
    </x:xf>
    <x:xf numFmtId="0" fontId="4" fillId="38" borderId="0" xfId="0" applyNumberFormat="1" applyFont="1" applyFill="1" applyBorder="1" applyAlignment="1">
      <x:alignment vertical="top" wrapText="1"/>
    </x:xf>
    <x:xf numFmtId="0" fontId="4" fillId="39" borderId="0" xfId="0" applyNumberFormat="1" applyFont="1" applyFill="1" applyBorder="1" applyAlignment="1">
      <x:alignment vertical="top" wrapText="1"/>
    </x:xf>
    <x:xf numFmtId="0" fontId="4" fillId="40" borderId="0" xfId="0" applyNumberFormat="1" applyFont="1" applyFill="1" applyBorder="1" applyAlignment="1">
      <x:alignment vertical="top" wrapText="1"/>
    </x:xf>
    <x:xf numFmtId="0" fontId="4" fillId="35" borderId="0" xfId="0" applyNumberFormat="1" applyFont="1" applyFill="1" applyBorder="1" applyAlignment="1">
      <x:alignment vertical="top" wrapText="1"/>
    </x:xf>
    <x:xf numFmtId="0" fontId="0" fillId="41" borderId="0" xfId="0" applyNumberFormat="1" applyFont="1" applyFill="1" applyBorder="1"/>
    <x:xf numFmtId="0" fontId="11" fillId="41" borderId="0" xfId="0" applyNumberFormat="1" applyFont="1" applyFill="1" applyBorder="1"/>
    <x:xf numFmtId="0" fontId="11" fillId="41" borderId="0" xfId="0" applyNumberFormat="1" applyFont="1" applyFill="1" applyBorder="1" applyAlignment="1">
      <x:alignment wrapText="1"/>
    </x:xf>
    <x:xf numFmtId="0" fontId="15" fillId="2" borderId="0" xfId="0" applyNumberFormat="1" applyFont="1" applyFill="1" applyBorder="1"/>
    <x:xf numFmtId="0" fontId="16" fillId="6" borderId="0" xfId="0" applyNumberFormat="1" applyFont="1" applyFill="1" applyBorder="1"/>
    <x:xf numFmtId="0" fontId="16" fillId="6" borderId="0" xfId="0" applyNumberFormat="1" applyFont="1" applyFill="1" applyBorder="1" applyAlignment="1">
      <x:alignment wrapText="1"/>
    </x:xf>
    <x:xf numFmtId="0" fontId="16" fillId="6"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4" fillId="6" borderId="0" xfId="0" applyNumberFormat="1" applyFont="1" applyFill="1" applyBorder="1" applyAlignment="1">
      <x:alignment vertical="top" wrapText="1"/>
    </x:xf>
    <x:xf numFmtId="0" fontId="0" fillId="42" borderId="0" xfId="0" applyNumberFormat="1" applyFont="1" applyFill="1" applyBorder="1"/>
    <x:xf numFmtId="0" fontId="9" fillId="42" borderId="0" xfId="0" applyNumberFormat="1" applyFont="1" applyFill="1" applyBorder="1"/>
    <x:xf numFmtId="0" fontId="9" fillId="42" borderId="0" xfId="0" applyNumberFormat="1" applyFont="1" applyFill="1" applyBorder="1" applyAlignment="1">
      <x:alignment wrapText="1"/>
    </x:xf>
    <x:xf numFmtId="0" fontId="9" fillId="42" borderId="0" xfId="0" applyNumberFormat="1" applyFont="1" applyFill="1" applyBorder="1" applyAlignment="1">
      <x:alignment vertical="center" wrapText="1"/>
    </x:xf>
    <x:xf numFmtId="0" fontId="0" fillId="43" borderId="0" xfId="0" applyNumberFormat="1" applyFont="1" applyFill="1" applyBorder="1"/>
    <x:xf numFmtId="0" fontId="10" fillId="43" borderId="0" xfId="0" applyNumberFormat="1" applyFont="1" applyFill="1" applyBorder="1"/>
    <x:xf numFmtId="0" fontId="10" fillId="43" borderId="0" xfId="0" applyNumberFormat="1" applyFont="1" applyFill="1" applyBorder="1" applyAlignment="1">
      <x:alignment wrapText="1"/>
    </x:xf>
    <x:xf numFmtId="0" fontId="10" fillId="43" borderId="0" xfId="0" applyNumberFormat="1" applyFont="1" applyFill="1" applyBorder="1" applyAlignment="1">
      <x:alignment vertical="center" wrapText="1"/>
    </x:xf>
    <x:xf numFmtId="0" fontId="0" fillId="44" borderId="0" xfId="0" applyNumberFormat="1" applyFont="1" applyFill="1" applyBorder="1"/>
    <x:xf numFmtId="0" fontId="8" fillId="44" borderId="0" xfId="0" applyNumberFormat="1" applyFont="1" applyFill="1" applyBorder="1"/>
    <x:xf numFmtId="0" fontId="8" fillId="44" borderId="0" xfId="0" applyNumberFormat="1" applyFont="1" applyFill="1" applyBorder="1" applyAlignment="1">
      <x:alignment wrapText="1"/>
    </x:xf>
    <x:xf numFmtId="0" fontId="8" fillId="44" borderId="0" xfId="0" applyNumberFormat="1" applyFont="1" applyFill="1" applyBorder="1" applyAlignment="1">
      <x:alignment horizontal="center" wrapText="1"/>
    </x:xf>
    <x:xf numFmtId="0" fontId="8" fillId="44" borderId="0" xfId="0" applyNumberFormat="1" applyFont="1" applyFill="1" applyBorder="1" applyAlignment="1">
      <x:alignment horizontal="center" vertical="center" wrapText="1"/>
    </x:xf>
    <x:xf numFmtId="0" fontId="0" fillId="45" borderId="0" xfId="0" applyNumberFormat="1" applyFont="1" applyFill="1" applyBorder="1"/>
    <x:xf numFmtId="0" fontId="11" fillId="45" borderId="0" xfId="0" applyNumberFormat="1" applyFont="1" applyFill="1" applyBorder="1"/>
    <x:xf numFmtId="0" fontId="0" fillId="46" borderId="0" xfId="0" applyNumberFormat="1" applyFont="1" applyFill="1" applyBorder="1"/>
    <x:xf numFmtId="0" fontId="7" fillId="46" borderId="0" xfId="0" applyNumberFormat="1" applyFont="1" applyFill="1" applyBorder="1"/>
    <x:xf numFmtId="0" fontId="7" fillId="46" borderId="0" xfId="0" applyNumberFormat="1" applyFont="1" applyFill="1" applyBorder="1" applyAlignment="1">
      <x:alignment wrapText="1"/>
    </x:xf>
    <x:xf numFmtId="0" fontId="7" fillId="46" borderId="0" xfId="0" applyNumberFormat="1" applyFont="1" applyFill="1" applyBorder="1" applyAlignment="1">
      <x:alignment horizontal="center" wrapText="1"/>
    </x:xf>
    <x:xf numFmtId="0" fontId="13" fillId="47" borderId="0" xfId="0" applyNumberFormat="1" applyFont="1" applyFill="1" applyBorder="1" applyAlignment="1">
      <x:alignment vertical="top" wrapText="1"/>
    </x:xf>
    <x:xf numFmtId="0" fontId="17" fillId="47" borderId="0" xfId="0" applyNumberFormat="1" applyFont="1" applyFill="1" applyBorder="1" applyAlignment="1">
      <x:alignment vertical="top" wrapText="1"/>
    </x:xf>
    <x:xf numFmtId="0" fontId="17" fillId="47" borderId="0" xfId="0" applyNumberFormat="1" applyFont="1" applyFill="1" applyBorder="1" applyAlignment="1">
      <x:alignment horizontal="center" vertical="top" wrapText="1"/>
    </x:xf>
    <x:xf numFmtId="0" fontId="17" fillId="47" borderId="0" xfId="0" applyNumberFormat="1" applyFont="1" applyFill="1" applyBorder="1" applyAlignment="1">
      <x:alignment horizontal="center" vertical="center" wrapText="1"/>
    </x:xf>
    <x:xf numFmtId="0" fontId="0" fillId="48" borderId="0" xfId="0" applyNumberFormat="1" applyFont="1" applyFill="1" applyBorder="1"/>
    <x:xf numFmtId="0" fontId="11" fillId="48" borderId="0" xfId="0" applyNumberFormat="1" applyFont="1" applyFill="1" applyBorder="1"/>
    <x:xf numFmtId="0" fontId="11" fillId="48" borderId="0" xfId="0" applyNumberFormat="1" applyFont="1" applyFill="1" applyBorder="1" applyAlignment="1">
      <x:alignment wrapText="1"/>
    </x:xf>
    <x:xf numFmtId="0" fontId="12" fillId="43" borderId="0" xfId="0" applyNumberFormat="1" applyFont="1" applyFill="1" applyBorder="1"/>
    <x:xf numFmtId="0" fontId="12" fillId="43" borderId="0" xfId="0" applyNumberFormat="1" applyFont="1" applyFill="1" applyBorder="1" applyAlignment="1">
      <x:alignment wrapText="1"/>
    </x:xf>
    <x:xf numFmtId="0" fontId="18" fillId="46" borderId="0" xfId="0" applyNumberFormat="1" applyFont="1" applyFill="1" applyBorder="1"/>
    <x:xf numFmtId="0" fontId="18" fillId="46" borderId="0" xfId="0" applyNumberFormat="1" applyFont="1" applyFill="1" applyBorder="1" applyAlignment="1">
      <x:alignment wrapText="1"/>
    </x:xf>
    <x:xf numFmtId="0" fontId="18" fillId="46" borderId="0" xfId="0" applyNumberFormat="1" applyFont="1" applyFill="1" applyBorder="1" applyAlignment="1">
      <x:alignment horizontal="center" wrapText="1"/>
    </x:xf>
    <x:xf numFmtId="0" fontId="18" fillId="47" borderId="0" xfId="0" applyNumberFormat="1" applyFont="1" applyFill="1" applyBorder="1" applyAlignment="1">
      <x:alignment vertical="top" wrapText="1"/>
    </x:xf>
    <x:xf numFmtId="0" fontId="18" fillId="47" borderId="0" xfId="0" applyNumberFormat="1" applyFont="1" applyFill="1" applyBorder="1" applyAlignment="1">
      <x:alignment horizontal="center" vertical="top" wrapText="1"/>
    </x:xf>
    <x:xf numFmtId="0" fontId="8" fillId="45" borderId="0" xfId="0" applyNumberFormat="1" applyFont="1" applyFill="1" applyBorder="1"/>
    <x:xf numFmtId="0" fontId="8" fillId="45" borderId="0" xfId="0" applyNumberFormat="1" applyFont="1" applyFill="1" applyBorder="1" applyAlignment="1">
      <x:alignment wrapText="1"/>
    </x:xf>
    <x:xf numFmtId="0" fontId="8" fillId="45" borderId="0" xfId="0" applyNumberFormat="1" applyFont="1" applyFill="1" applyBorder="1" applyAlignment="1">
      <x:alignment horizontal="center" wrapText="1"/>
    </x:xf>
    <x:xf numFmtId="0" fontId="8" fillId="45" borderId="0" xfId="0" applyNumberFormat="1" applyFont="1" applyFill="1" applyBorder="1" applyAlignment="1">
      <x:alignment horizontal="center" vertical="center" wrapText="1"/>
    </x:xf>
    <x:xf numFmtId="0" fontId="12" fillId="43" borderId="0" xfId="0" applyNumberFormat="1" applyFont="1" applyFill="1" applyBorder="1" applyAlignment="1">
      <x:alignment vertical="center" wrapText="1"/>
    </x:xf>
    <x:xf numFmtId="0" fontId="13" fillId="35" borderId="0" xfId="0" applyNumberFormat="1" applyFont="1" applyFill="1" applyBorder="1" applyAlignment="1">
      <x:alignment vertical="top" wrapText="1"/>
    </x:xf>
    <x:xf numFmtId="0" fontId="17" fillId="35" borderId="0" xfId="0" applyNumberFormat="1" applyFont="1" applyFill="1" applyBorder="1" applyAlignment="1">
      <x:alignment vertical="top" wrapText="1"/>
    </x:xf>
    <x:xf numFmtId="0" fontId="17" fillId="35" borderId="0" xfId="0" applyNumberFormat="1" applyFont="1" applyFill="1" applyBorder="1" applyAlignment="1">
      <x:alignment horizontal="center" vertical="top" wrapText="1"/>
    </x:xf>
    <x:xf numFmtId="0" fontId="17" fillId="35" borderId="0" xfId="0" applyNumberFormat="1" applyFont="1" applyFill="1" applyBorder="1" applyAlignment="1">
      <x:alignment horizontal="center" vertical="center" wrapText="1"/>
    </x:xf>
    <x:xf numFmtId="0" fontId="18" fillId="35" borderId="0" xfId="0" applyNumberFormat="1" applyFont="1" applyFill="1" applyBorder="1" applyAlignment="1">
      <x:alignment vertical="top" wrapText="1"/>
    </x:xf>
    <x:xf numFmtId="0" fontId="18" fillId="35" borderId="0" xfId="0" applyNumberFormat="1" applyFont="1" applyFill="1" applyBorder="1" applyAlignment="1">
      <x:alignment horizontal="center" vertical="top" wrapText="1"/>
    </x:xf>
    <x:xf numFmtId="0" fontId="12" fillId="3" borderId="0" xfId="0" applyNumberFormat="1" applyFont="1" applyFill="1" applyBorder="1" applyAlignment="1">
      <x:alignment vertical="center" wrapText="1"/>
    </x:xf>
    <x:xf numFmtId="0" fontId="19" fillId="7" borderId="0" xfId="0" applyNumberFormat="1" applyFont="1" applyFill="1" applyBorder="1" applyAlignment="1">
      <x:alignment vertical="top" wrapText="1"/>
    </x:xf>
    <x:xf numFmtId="0" fontId="19" fillId="8" borderId="0" xfId="0" applyNumberFormat="1" applyFont="1" applyFill="1" applyBorder="1" applyAlignment="1">
      <x:alignment vertical="top" wrapText="1"/>
    </x:xf>
    <x:xf numFmtId="0" fontId="19" fillId="0" borderId="0" xfId="0" applyNumberFormat="1" applyFont="1" applyFill="1" applyBorder="1" applyAlignment="1">
      <x:alignment vertical="top" wrapText="1"/>
    </x:xf>
    <x:xf numFmtId="0" fontId="19" fillId="9" borderId="0" xfId="0" applyNumberFormat="1" applyFont="1" applyFill="1" applyBorder="1" applyAlignment="1">
      <x:alignment vertical="top" wrapText="1"/>
    </x:xf>
    <x:xf numFmtId="200" fontId="19" fillId="0" borderId="0" xfId="0" applyNumberFormat="1" applyFont="1" applyFill="1" applyBorder="1" applyAlignment="1">
      <x:alignment vertical="top" wrapText="1"/>
    </x:xf>
    <x:xf numFmtId="0" fontId="19" fillId="0" xfId="0" applyNumberFormat="1" applyFont="1" applyFill="1" applyBorder="0" applyAlignment="1">
      <x:alignment vertical="top" wrapText="1"/>
    </x:xf>
    <x:xf numFmtId="0" fontId="19" fillId="9" xfId="0" applyNumberFormat="1" applyFont="1" applyFill="1" applyBorder="0" applyAlignment="1">
      <x:alignment vertical="top" wrapText="1"/>
    </x:xf>
    <x:xf numFmtId="0" fontId="19" fillId="49" borderId="0" xfId="0" applyNumberFormat="1" applyFont="1" applyFill="1" applyBorder="1" applyAlignment="1">
      <x:alignment vertical="top" wrapText="1"/>
    </x:xf>
    <x:xf numFmtId="200" fontId="19" fillId="49" borderId="0" xfId="0" applyNumberFormat="1" applyFont="1" applyFill="1" applyBorder="1" applyAlignment="1">
      <x:alignment vertical="top" wrapText="1"/>
    </x:xf>
    <x:xf numFmtId="0" fontId="19" fillId="49" xfId="0" applyNumberFormat="1" applyFont="1" applyFill="1" applyBorder="0" applyAlignment="1">
      <x:alignment vertical="top" wrapText="1"/>
    </x:xf>
    <x:xf numFmtId="0" fontId="20" fillId="49" borderId="0" xfId="0" applyNumberFormat="1" applyFont="1" applyFill="1" applyBorder="1" applyAlignment="1">
      <x:alignment vertical="top" wrapText="1"/>
    </x:xf>
    <x:xf numFmtId="0" fontId="4" fillId="49" borderId="0" xfId="0" applyNumberFormat="1" applyFont="1" applyFill="1" applyBorder="1" applyAlignment="1">
      <x:alignment vertical="top" wrapText="1"/>
    </x:xf>
    <x:xf numFmtId="0" fontId="0" fillId="49" borderId="0" xfId="0" applyNumberFormat="1" applyFont="1" applyFill="1" applyBorder="1"/>
    <x:xf numFmtId="0" fontId="16" fillId="49" borderId="0" xfId="0" applyNumberFormat="1" applyFont="1" applyFill="1" applyBorder="1"/>
    <x:xf numFmtId="0" fontId="16" fillId="49" borderId="0" xfId="0" applyNumberFormat="1" applyFont="1" applyFill="1" applyBorder="1" applyAlignment="1">
      <x:alignment wrapText="1"/>
    </x:xf>
    <x:xf numFmtId="0" fontId="16" fillId="49" borderId="0" xfId="0" applyNumberFormat="1" applyFont="1" applyFill="1" applyBorder="1" applyAlignment="1">
      <x:alignment vertical="top" wrapText="1"/>
    </x:xf>
    <x:xf numFmtId="201" fontId="4" fillId="49" borderId="0" xfId="0" applyNumberFormat="1" applyFont="1" applyFill="1" applyBorder="1" applyAlignment="1">
      <x:alignment vertical="top" wrapText="1"/>
    </x:xf>
    <x:xf numFmtId="201" fontId="19" fillId="49" borderId="0" xfId="0" applyNumberFormat="1" applyFont="1" applyFill="1" applyBorder="1" applyAlignment="1">
      <x:alignment vertical="top" wrapText="1"/>
    </x:xf>
    <x:xf numFmtId="0" fontId="19" fillId="6" borderId="0" xfId="0" applyNumberFormat="1" applyFont="1" applyFill="1" applyBorder="1" applyAlignment="1">
      <x:alignment vertical="top" wrapText="1"/>
    </x:xf>
    <x:xf numFmtId="0" fontId="19" fillId="5" borderId="0" xfId="0" applyNumberFormat="1" applyFont="1" applyFill="1" applyBorder="1" applyAlignment="1">
      <x:alignment vertical="top" wrapText="1"/>
    </x:xf>
    <x:xf numFmtId="0" fontId="19" fillId="40" borderId="0" xfId="0" applyNumberFormat="1" applyFont="1" applyFill="1" applyBorder="1" applyAlignment="1">
      <x:alignment vertical="top" wrapText="1"/>
    </x:xf>
    <x:xf numFmtId="0" fontId="19" fillId="35" borderId="0" xfId="0" applyNumberFormat="1" applyFont="1" applyFill="1" applyBorder="1" applyAlignment="1">
      <x:alignment vertical="top" wrapText="1"/>
    </x:xf>
    <x:xf numFmtId="0" fontId="2" fillId="50" borderId="0" xfId="0" applyNumberFormat="1" applyFont="1" applyFill="1" applyBorder="1" applyAlignment="1">
      <x:alignment vertical="center" wrapText="1"/>
    </x:xf>
    <x:xf numFmtId="0" fontId="0" fillId="50" borderId="0" xfId="0" applyNumberFormat="1" applyFont="1" applyFill="1" applyBorder="1"/>
    <x:xf numFmtId="0" fontId="21" fillId="50" borderId="0" xfId="0" applyNumberFormat="1" applyFont="1" applyFill="1" applyBorder="1" applyAlignment="1">
      <x:alignment vertical="center" wrapText="1"/>
    </x:xf>
    <x:xf numFmtId="0" fontId="22" fillId="50" borderId="0" xfId="0" applyNumberFormat="1" applyFont="1" applyFill="1" applyBorder="1"/>
    <x:xf numFmtId="0" fontId="22" fillId="50" borderId="0" xfId="0" applyNumberFormat="1" applyFont="1" applyFill="1" applyBorder="1" applyAlignment="1">
      <x:alignment wrapText="1"/>
    </x:xf>
    <x:xf numFmtId="0" fontId="12" fillId="50" borderId="0" xfId="0" applyNumberFormat="1" applyFont="1" applyFill="1" applyBorder="1" applyAlignment="1">
      <x:alignment wrapText="1"/>
    </x:xf>
    <x:xf numFmtId="0" fontId="0" fillId="51" borderId="0" xfId="0" applyNumberFormat="1" applyFont="1" applyFill="1" applyBorder="1"/>
    <x:xf numFmtId="0" fontId="13" fillId="51" borderId="0" xfId="0" applyNumberFormat="1" applyFont="1" applyFill="1" applyBorder="1"/>
    <x:xf numFmtId="0" fontId="13" fillId="51" borderId="0" xfId="0" applyNumberFormat="1" applyFont="1" applyFill="1" applyBorder="1" applyAlignment="1">
      <x:alignment wrapText="1"/>
    </x:xf>
    <x:xf numFmtId="0" fontId="13" fillId="51" borderId="0" xfId="0" applyNumberFormat="1" applyFont="1" applyFill="1" applyBorder="1" applyAlignment="1">
      <x:alignment vertical="top" wrapText="1"/>
    </x:xf>
    <x:xf numFmtId="0" fontId="0" fillId="52" borderId="0" xfId="0" applyNumberFormat="1" applyFont="1" applyFill="1" applyBorder="1"/>
    <x:xf numFmtId="0" fontId="9" fillId="52" borderId="0" xfId="0" applyNumberFormat="1" applyFont="1" applyFill="1" applyBorder="1"/>
    <x:xf numFmtId="0" fontId="9" fillId="52" borderId="0" xfId="0" applyNumberFormat="1" applyFont="1" applyFill="1" applyBorder="1" applyAlignment="1">
      <x:alignment horizontal="center"/>
    </x:xf>
    <x:xf numFmtId="0" fontId="9" fillId="52" borderId="0" xfId="0" applyNumberFormat="1" applyFont="1" applyFill="1" applyBorder="1" applyAlignment="1">
      <x:alignment horizontal="center" vertical="center"/>
    </x:xf>
    <x:xf numFmtId="0" fontId="12" fillId="50" borderId="0" xfId="0" applyNumberFormat="1" applyFont="1" applyFill="1" applyBorder="1"/>
    <x:xf numFmtId="0" fontId="18" fillId="51" borderId="0" xfId="0" applyNumberFormat="1" applyFont="1" applyFill="1" applyBorder="1"/>
    <x:xf numFmtId="0" fontId="18" fillId="51" borderId="0" xfId="0" applyNumberFormat="1" applyFont="1" applyFill="1" applyBorder="1" applyAlignment="1">
      <x:alignment wrapText="1"/>
    </x:xf>
    <x:xf numFmtId="0" fontId="18" fillId="51" borderId="0" xfId="0" applyNumberFormat="1" applyFont="1" applyFill="1" applyBorder="1" applyAlignment="1">
      <x:alignment horizontal="center" wrapText="1"/>
    </x:xf>
    <x:xf numFmtId="0" fontId="0" fillId="53" borderId="0" xfId="0" applyNumberFormat="1" applyFont="1" applyFill="1" applyBorder="1"/>
    <x:xf numFmtId="0" fontId="8" fillId="53" borderId="0" xfId="0" applyNumberFormat="1" applyFont="1" applyFill="1" applyBorder="1"/>
    <x:xf numFmtId="0" fontId="8" fillId="53" borderId="0" xfId="0" applyNumberFormat="1" applyFont="1" applyFill="1" applyBorder="1" applyAlignment="1">
      <x:alignment wrapText="1"/>
    </x:xf>
    <x:xf numFmtId="0" fontId="8" fillId="53" borderId="0" xfId="0" applyNumberFormat="1" applyFont="1" applyFill="1" applyBorder="1" applyAlignment="1">
      <x:alignment horizontal="center" wrapText="1"/>
    </x:xf>
    <x:xf numFmtId="0" fontId="8" fillId="53" borderId="0" xfId="0" applyNumberFormat="1" applyFont="1" applyFill="1" applyBorder="1" applyAlignment="1">
      <x:alignment horizontal="center" vertical="center" wrapText="1"/>
    </x:xf>
    <x:xf numFmtId="0" fontId="0" fillId="54" borderId="0" xfId="0" applyNumberFormat="1" applyFont="1" applyFill="1" applyBorder="1"/>
    <x:xf numFmtId="0" fontId="18" fillId="54" borderId="0" xfId="0" applyNumberFormat="1" applyFont="1" applyFill="1" applyBorder="1"/>
    <x:xf numFmtId="0" fontId="18" fillId="54" borderId="0" xfId="0" applyNumberFormat="1" applyFont="1" applyFill="1" applyBorder="1" applyAlignment="1">
      <x:alignment wrapText="1"/>
    </x:xf>
    <x:xf numFmtId="0" fontId="18" fillId="54" borderId="0" xfId="0" applyNumberFormat="1" applyFont="1" applyFill="1" applyBorder="1" applyAlignment="1">
      <x:alignment horizontal="center" wrapText="1"/>
    </x:xf>
    <x:xf numFmtId="0" fontId="18" fillId="54" borderId="0" xfId="0" applyNumberFormat="1" applyFont="1" applyFill="1" applyBorder="1" applyAlignment="1">
      <x:alignment horizontal="center" vertical="center" wrapText="1"/>
    </x:xf>
    <x:xf numFmtId="0" fontId="18" fillId="51" borderId="0" xfId="0" applyNumberFormat="1" applyFont="1" applyFill="1" applyBorder="1" applyAlignment="1">
      <x:alignment horizontal="center" vertical="center" wrapText="1"/>
    </x:xf>
    <x:xf numFmtId="0" fontId="0" fillId="55" borderId="0" xfId="0" applyNumberFormat="1" applyFont="1" applyFill="1" applyBorder="1"/>
    <x:xf numFmtId="0" fontId="18" fillId="55" borderId="0" xfId="0" applyNumberFormat="1" applyFont="1" applyFill="1" applyBorder="1"/>
    <x:xf numFmtId="0" fontId="18" fillId="55" borderId="0" xfId="0" applyNumberFormat="1" applyFont="1" applyFill="1" applyBorder="1" applyAlignment="1">
      <x:alignment wrapText="1"/>
    </x:xf>
    <x:xf numFmtId="0" fontId="18" fillId="55" borderId="0" xfId="0" applyNumberFormat="1" applyFont="1" applyFill="1" applyBorder="1" applyAlignment="1">
      <x:alignment horizontal="center" wrapText="1"/>
    </x:xf>
    <x:xf numFmtId="0" fontId="18" fillId="55" borderId="0" xfId="0" applyNumberFormat="1" applyFont="1" applyFill="1" applyBorder="1" applyAlignment="1">
      <x:alignment horizontal="center" vertical="center" wrapText="1"/>
    </x:xf>
    <x:xf numFmtId="0" fontId="0" fillId="56" borderId="0" xfId="0" applyNumberFormat="1" applyFont="1" applyFill="1" applyBorder="1"/>
    <x:xf numFmtId="0" fontId="18" fillId="56" borderId="0" xfId="0" applyNumberFormat="1" applyFont="1" applyFill="1" applyBorder="1"/>
    <x:xf numFmtId="0" fontId="18" fillId="56" borderId="0" xfId="0" applyNumberFormat="1" applyFont="1" applyFill="1" applyBorder="1" applyAlignment="1">
      <x:alignment wrapText="1"/>
    </x:xf>
    <x:xf numFmtId="0" fontId="18" fillId="56" borderId="0" xfId="0" applyNumberFormat="1" applyFont="1" applyFill="1" applyBorder="1" applyAlignment="1">
      <x:alignment horizontal="center" wrapText="1"/>
    </x:xf>
    <x:xf numFmtId="0" fontId="18" fillId="56" borderId="0" xfId="0" applyNumberFormat="1" applyFont="1" applyFill="1" applyBorder="1" applyAlignment="1">
      <x:alignment horizontal="center" vertical="center" wrapText="1"/>
    </x:xf>
    <x:xf numFmtId="0" fontId="18" fillId="49" borderId="0" xfId="0" applyNumberFormat="1" applyFont="1" applyFill="1" applyBorder="1"/>
    <x:xf numFmtId="0" fontId="18" fillId="49" borderId="0" xfId="0" applyNumberFormat="1" applyFont="1" applyFill="1" applyBorder="1" applyAlignment="1">
      <x:alignment wrapText="1"/>
    </x:xf>
    <x:xf numFmtId="0" fontId="18" fillId="49" borderId="0" xfId="0" applyNumberFormat="1" applyFont="1" applyFill="1" applyBorder="1" applyAlignment="1">
      <x:alignment horizontal="center" wrapText="1"/>
    </x:xf>
    <x:xf numFmtId="0" fontId="18" fillId="49" borderId="0" xfId="0" applyNumberFormat="1" applyFont="1" applyFill="1" applyBorder="1" applyAlignment="1">
      <x:alignment horizontal="center" vertical="center" wrapText="1"/>
    </x:xf>
    <x:xf numFmtId="0" fontId="0" fillId="57" borderId="0" xfId="0" applyNumberFormat="1" applyFont="1" applyFill="1" applyBorder="1"/>
    <x:xf numFmtId="0" fontId="18" fillId="57" borderId="0" xfId="0" applyNumberFormat="1" applyFont="1" applyFill="1" applyBorder="1"/>
    <x:xf numFmtId="0" fontId="18" fillId="57" borderId="0" xfId="0" applyNumberFormat="1" applyFont="1" applyFill="1" applyBorder="1" applyAlignment="1">
      <x:alignment wrapText="1"/>
    </x:xf>
    <x:xf numFmtId="0" fontId="18" fillId="57" borderId="0" xfId="0" applyNumberFormat="1" applyFont="1" applyFill="1" applyBorder="1" applyAlignment="1">
      <x:alignment horizontal="center" wrapText="1"/>
    </x:xf>
    <x:xf numFmtId="0" fontId="18" fillId="57" borderId="0" xfId="0" applyNumberFormat="1" applyFont="1" applyFill="1" applyBorder="1" applyAlignment="1">
      <x:alignment horizontal="center" vertical="center" wrapText="1"/>
    </x:xf>
    <x:xf numFmtId="0" fontId="0" fillId="58" borderId="0" xfId="0" applyNumberFormat="1" applyFont="1" applyFill="1" applyBorder="1"/>
    <x:xf numFmtId="0" fontId="18" fillId="58" borderId="0" xfId="0" applyNumberFormat="1" applyFont="1" applyFill="1" applyBorder="1"/>
    <x:xf numFmtId="0" fontId="18" fillId="58" borderId="0" xfId="0" applyNumberFormat="1" applyFont="1" applyFill="1" applyBorder="1" applyAlignment="1">
      <x:alignment wrapText="1"/>
    </x:xf>
    <x:xf numFmtId="0" fontId="18" fillId="58" borderId="0" xfId="0" applyNumberFormat="1" applyFont="1" applyFill="1" applyBorder="1" applyAlignment="1">
      <x:alignment horizontal="center" wrapText="1"/>
    </x:xf>
    <x:xf numFmtId="0" fontId="18" fillId="58" borderId="0" xfId="0" applyNumberFormat="1" applyFont="1" applyFill="1" applyBorder="1" applyAlignment="1">
      <x:alignment horizontal="center" vertical="center" wrapText="1"/>
    </x:xf>
    <x:xf numFmtId="0" fontId="0" fillId="59" borderId="0" xfId="0" applyNumberFormat="1" applyFont="1" applyFill="1" applyBorder="1"/>
    <x:xf numFmtId="0" fontId="18" fillId="59" borderId="0" xfId="0" applyNumberFormat="1" applyFont="1" applyFill="1" applyBorder="1"/>
    <x:xf numFmtId="0" fontId="18" fillId="59" borderId="0" xfId="0" applyNumberFormat="1" applyFont="1" applyFill="1" applyBorder="1" applyAlignment="1">
      <x:alignment wrapText="1"/>
    </x:xf>
    <x:xf numFmtId="0" fontId="18" fillId="59" borderId="0" xfId="0" applyNumberFormat="1" applyFont="1" applyFill="1" applyBorder="1" applyAlignment="1">
      <x:alignment horizontal="center" wrapText="1"/>
    </x:xf>
    <x:xf numFmtId="0" fontId="18" fillId="59" borderId="0" xfId="0" applyNumberFormat="1" applyFont="1" applyFill="1" applyBorder="1" applyAlignment="1">
      <x:alignment horizontal="center" vertical="center" wrapText="1"/>
    </x:xf>
    <x:xf numFmtId="0" fontId="0" fillId="60" borderId="0" xfId="0" applyNumberFormat="1" applyFont="1" applyFill="1" applyBorder="1"/>
    <x:xf numFmtId="0" fontId="18" fillId="60" borderId="0" xfId="0" applyNumberFormat="1" applyFont="1" applyFill="1" applyBorder="1"/>
    <x:xf numFmtId="0" fontId="18" fillId="60" borderId="0" xfId="0" applyNumberFormat="1" applyFont="1" applyFill="1" applyBorder="1" applyAlignment="1">
      <x:alignment wrapText="1"/>
    </x:xf>
    <x:xf numFmtId="0" fontId="18" fillId="60" borderId="0" xfId="0" applyNumberFormat="1" applyFont="1" applyFill="1" applyBorder="1" applyAlignment="1">
      <x:alignment horizontal="center" wrapText="1"/>
    </x:xf>
    <x:xf numFmtId="0" fontId="18" fillId="60" borderId="0" xfId="0" applyNumberFormat="1" applyFont="1" applyFill="1" applyBorder="1" applyAlignment="1">
      <x:alignment horizontal="center" vertical="center" wrapText="1"/>
    </x:xf>
    <x:xf numFmtId="0" fontId="16" fillId="54" borderId="0" xfId="0" applyNumberFormat="1" applyFont="1" applyFill="1" applyBorder="1" applyAlignment="1">
      <x:alignment vertical="top" wrapText="1"/>
    </x:xf>
    <x:xf numFmtId="0" fontId="16" fillId="51" borderId="0" xfId="0" applyNumberFormat="1" applyFont="1" applyFill="1" applyBorder="1" applyAlignment="1">
      <x:alignment vertical="top" wrapText="1"/>
    </x:xf>
    <x:xf numFmtId="0" fontId="16" fillId="55" borderId="0" xfId="0" applyNumberFormat="1" applyFont="1" applyFill="1" applyBorder="1" applyAlignment="1">
      <x:alignment vertical="top" wrapText="1"/>
    </x:xf>
    <x:xf numFmtId="0" fontId="16" fillId="56" borderId="0" xfId="0" applyNumberFormat="1" applyFont="1" applyFill="1" applyBorder="1" applyAlignment="1">
      <x:alignment vertical="top" wrapText="1"/>
    </x:xf>
    <x:xf numFmtId="0" fontId="16" fillId="57" borderId="0" xfId="0" applyNumberFormat="1" applyFont="1" applyFill="1" applyBorder="1" applyAlignment="1">
      <x:alignment vertical="top" wrapText="1"/>
    </x:xf>
    <x:xf numFmtId="0" fontId="16" fillId="58" borderId="0" xfId="0" applyNumberFormat="1" applyFont="1" applyFill="1" applyBorder="1" applyAlignment="1">
      <x:alignment vertical="top" wrapText="1"/>
    </x:xf>
    <x:xf numFmtId="0" fontId="16" fillId="59" borderId="0" xfId="0" applyNumberFormat="1" applyFont="1" applyFill="1" applyBorder="1" applyAlignment="1">
      <x:alignment vertical="top" wrapText="1"/>
    </x:xf>
    <x:xf numFmtId="0" fontId="16" fillId="60" borderId="0" xfId="0" applyNumberFormat="1" applyFont="1" applyFill="1" applyBorder="1" applyAlignment="1">
      <x:alignment vertical="top" wrapText="1"/>
    </x:xf>
    <x:xf numFmtId="0" fontId="11" fillId="53" borderId="0" xfId="0" applyNumberFormat="1" applyFont="1" applyFill="1" applyBorder="1"/>
    <x:xf numFmtId="0" fontId="0" fillId="61" borderId="0" xfId="0" applyNumberFormat="1" applyFont="1" applyFill="1" applyBorder="1"/>
    <x:xf numFmtId="0" fontId="11" fillId="61" borderId="0" xfId="0" applyNumberFormat="1" applyFont="1" applyFill="1" applyBorder="1"/>
    <x:xf numFmtId="0" fontId="16" fillId="62" borderId="0" xfId="0" applyNumberFormat="1" applyFont="1" applyFill="1" applyBorder="1" applyAlignment="1">
      <x:alignment vertical="top" wrapText="1"/>
    </x:xf>
    <x:xf numFmtId="0" fontId="23" fillId="62" borderId="0" xfId="0" applyNumberFormat="1" applyFont="1" applyFill="1" applyBorder="1" applyAlignment="1">
      <x:alignment vertical="top" wrapText="1"/>
    </x:xf>
    <x:xf numFmtId="0" fontId="23" fillId="62" borderId="0" xfId="0" applyNumberFormat="1" applyFont="1" applyFill="1" applyBorder="1" applyAlignment="1">
      <x:alignment horizontal="center" vertical="top" wrapText="1"/>
    </x:xf>
    <x:xf numFmtId="0" fontId="0" fillId="63" borderId="0" xfId="0" applyNumberFormat="1" applyFont="1" applyFill="1" applyBorder="1"/>
    <x:xf numFmtId="0" fontId="11"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24" fillId="49" borderId="0" xfId="0" applyNumberFormat="1" applyFont="1" applyFill="1" applyBorder="1"/>
    <x:xf numFmtId="0" fontId="0" fillId="65" borderId="0" xfId="0" applyNumberFormat="1" applyFont="1" applyFill="1" applyBorder="1"/>
    <x:xf numFmtId="0" fontId="14" fillId="65" borderId="0" xfId="0" applyNumberFormat="1" applyFont="1" applyFill="1" applyBorder="1"/>
    <x:xf numFmtId="0" fontId="14" fillId="65" borderId="0" xfId="0" applyNumberFormat="1" applyFont="1" applyFill="1" applyBorder="1" applyAlignment="1">
      <x:alignment wrapText="1"/>
    </x:xf>
    <x:xf numFmtId="0" fontId="14" fillId="65" borderId="0" xfId="0" applyNumberFormat="1" applyFont="1" applyFill="1" applyBorder="1" applyAlignment="1">
      <x:alignment vertical="center" wrapText="1"/>
    </x:xf>
    <x:xf numFmtId="0" fontId="14" fillId="49" borderId="0" xfId="0" applyNumberFormat="1" applyFont="1" applyFill="1" applyBorder="1" applyAlignment="1">
      <x:alignment vertical="center" wrapText="1"/>
    </x:xf>
    <x:xf numFmtId="0" fontId="14" fillId="51" borderId="0" xfId="0" applyNumberFormat="1" applyFont="1" applyFill="1" applyBorder="1" applyAlignment="1">
      <x:alignment vertical="center" wrapText="1"/>
    </x:xf>
    <x:xf numFmtId="0" fontId="14" fillId="54" borderId="0" xfId="0" applyNumberFormat="1" applyFont="1" applyFill="1" applyBorder="1" applyAlignment="1">
      <x:alignment vertical="center" wrapText="1"/>
    </x:xf>
    <x:xf numFmtId="0" fontId="14" fillId="66" borderId="0" xfId="0" applyNumberFormat="1" applyFont="1" applyFill="1" applyBorder="1" applyAlignment="1">
      <x:alignment vertical="center" wrapText="1"/>
    </x:xf>
    <x:xf numFmtId="0" fontId="25" fillId="0" borderId="0" xfId="0" applyNumberFormat="1" applyFont="1" applyFill="1" applyBorder="1"/>
    <x:xf numFmtId="0" fontId="25" fillId="57" borderId="0" xfId="0" applyNumberFormat="1" applyFont="1" applyFill="1" applyBorder="1" applyAlignment="1">
      <x:alignment wrapText="1"/>
    </x:xf>
    <x:xf numFmtId="0" fontId="25" fillId="0" borderId="0" xfId="0" applyNumberFormat="1" applyFont="1" applyFill="1" applyBorder="1" applyAlignment="1">
      <x:alignment horizontal="center"/>
    </x:xf>
    <x:xf numFmtId="0" fontId="25" fillId="57" borderId="0" xfId="0" applyNumberFormat="1" applyFont="1" applyFill="1" applyBorder="1" applyAlignment="1">
      <x:alignment horizontal="center" wrapText="1"/>
    </x:xf>
    <x:xf numFmtId="0" fontId="10" fillId="50" borderId="0" xfId="0" applyNumberFormat="1" applyFont="1" applyFill="1" applyBorder="1" applyAlignment="1">
      <x:alignment vertical="center" wrapText="1"/>
    </x:xf>
    <x:xf numFmtId="0" fontId="12" fillId="50" borderId="0" xfId="0" applyNumberFormat="1" applyFont="1" applyFill="1" applyBorder="1" applyAlignment="1">
      <x:alignment vertical="center" wrapText="1"/>
    </x:xf>
    <x:xf numFmtId="200" fontId="19" fillId="6" borderId="0" xfId="0" applyNumberFormat="1" applyFont="1" applyFill="1" applyBorder="1" applyAlignment="1">
      <x:alignment vertical="top" wrapText="1"/>
    </x:xf>
    <x:xf numFmtId="0" fontId="19" fillId="6" xfId="0" applyNumberFormat="1" applyFont="1" applyFill="1" applyBorder="0" applyAlignment="1">
      <x:alignment vertical="top" wrapText="1"/>
    </x:xf>
    <x:xf numFmtId="0" fontId="20" fillId="6" borderId="0" xfId="0" applyNumberFormat="1" applyFont="1" applyFill="1" applyBorder="1" applyAlignment="1">
      <x:alignment vertical="top" wrapText="1"/>
    </x:xf>
    <x:xf numFmtId="0" fontId="16" fillId="6" borderId="0" xfId="0" applyNumberFormat="1" applyFont="1" applyFill="1" applyBorder="1" applyAlignment="1">
      <x:alignment vertical="top" wrapText="1"/>
    </x:xf>
    <x:xf numFmtId="201" fontId="4" fillId="6" borderId="0" xfId="0" applyNumberFormat="1" applyFont="1" applyFill="1" applyBorder="1" applyAlignment="1">
      <x:alignment vertical="top" wrapText="1"/>
    </x:xf>
    <x:xf numFmtId="201" fontId="19" fillId="6" borderId="0" xfId="0" applyNumberFormat="1" applyFont="1" applyFill="1" applyBorder="1" applyAlignment="1">
      <x:alignment vertical="top" wrapText="1"/>
    </x:xf>
    <x:xf numFmtId="0" fontId="21" fillId="3" borderId="0" xfId="0" applyNumberFormat="1" applyFont="1" applyFill="1" applyBorder="1" applyAlignment="1">
      <x:alignment vertical="center" wrapText="1"/>
    </x:xf>
    <x:xf numFmtId="0" fontId="22" fillId="3" borderId="0" xfId="0" applyNumberFormat="1" applyFont="1" applyFill="1" applyBorder="1"/>
    <x:xf numFmtId="0" fontId="22" fillId="3" borderId="0" xfId="0" applyNumberFormat="1" applyFont="1" applyFill="1" applyBorder="1" applyAlignment="1">
      <x:alignment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wrapText="1"/>
    </x:xf>
    <x:xf numFmtId="0" fontId="13" fillId="5" borderId="0" xfId="0" applyNumberFormat="1" applyFont="1" applyFill="1" applyBorder="1" applyAlignment="1">
      <x:alignment vertical="top" wrapText="1"/>
    </x:xf>
    <x:xf numFmtId="0" fontId="9" fillId="2" borderId="0" xfId="0" applyNumberFormat="1" applyFont="1" applyFill="1" applyBorder="1" applyAlignment="1">
      <x:alignment horizontal="center"/>
    </x:xf>
    <x:xf numFmtId="0" fontId="9" fillId="2" borderId="0" xfId="0" applyNumberFormat="1" applyFont="1" applyFill="1" applyBorder="1" applyAlignment="1">
      <x:alignment horizontal="center" vertical="center"/>
    </x:xf>
    <x:xf numFmtId="0" fontId="18" fillId="5" borderId="0" xfId="0" applyNumberFormat="1" applyFont="1" applyFill="1" applyBorder="1"/>
    <x:xf numFmtId="0" fontId="18" fillId="5" borderId="0" xfId="0" applyNumberFormat="1" applyFont="1" applyFill="1" applyBorder="1" applyAlignment="1">
      <x:alignment wrapText="1"/>
    </x:xf>
    <x:xf numFmtId="0" fontId="18" fillId="5" borderId="0" xfId="0" applyNumberFormat="1" applyFont="1" applyFill="1" applyBorder="1" applyAlignment="1">
      <x:alignment horizontal="center" wrapText="1"/>
    </x:xf>
    <x:xf numFmtId="0" fontId="0" fillId="40" borderId="0" xfId="0" applyNumberFormat="1" applyFont="1" applyFill="1" applyBorder="1"/>
    <x:xf numFmtId="0" fontId="18" fillId="40" borderId="0" xfId="0" applyNumberFormat="1" applyFont="1" applyFill="1" applyBorder="1"/>
    <x:xf numFmtId="0" fontId="18" fillId="40" borderId="0" xfId="0" applyNumberFormat="1" applyFont="1" applyFill="1" applyBorder="1" applyAlignment="1">
      <x:alignment wrapText="1"/>
    </x:xf>
    <x:xf numFmtId="0" fontId="18" fillId="40" borderId="0" xfId="0" applyNumberFormat="1" applyFont="1" applyFill="1" applyBorder="1" applyAlignment="1">
      <x:alignment horizontal="center" wrapText="1"/>
    </x:xf>
    <x:xf numFmtId="0" fontId="18" fillId="40" borderId="0" xfId="0" applyNumberFormat="1" applyFont="1" applyFill="1" applyBorder="1" applyAlignment="1">
      <x:alignment horizontal="center" vertical="center" wrapText="1"/>
    </x:xf>
    <x:xf numFmtId="0" fontId="18" fillId="5" borderId="0" xfId="0" applyNumberFormat="1" applyFont="1" applyFill="1" applyBorder="1" applyAlignment="1">
      <x:alignment horizontal="center" vertical="center" wrapText="1"/>
    </x:xf>
    <x:xf numFmtId="0" fontId="18" fillId="6" borderId="0" xfId="0" applyNumberFormat="1" applyFont="1" applyFill="1" applyBorder="1"/>
    <x:xf numFmtId="0" fontId="18" fillId="6" borderId="0" xfId="0" applyNumberFormat="1" applyFont="1" applyFill="1" applyBorder="1" applyAlignment="1">
      <x:alignment wrapText="1"/>
    </x:xf>
    <x:xf numFmtId="0" fontId="18" fillId="6" borderId="0" xfId="0" applyNumberFormat="1" applyFont="1" applyFill="1" applyBorder="1" applyAlignment="1">
      <x:alignment horizontal="center" wrapText="1"/>
    </x:xf>
    <x:xf numFmtId="0" fontId="18" fillId="6" borderId="0" xfId="0" applyNumberFormat="1" applyFont="1" applyFill="1" applyBorder="1" applyAlignment="1">
      <x:alignment horizontal="center" vertical="center" wrapText="1"/>
    </x:xf>
    <x:xf numFmtId="0" fontId="18" fillId="46" borderId="0" xfId="0" applyNumberFormat="1" applyFont="1" applyFill="1" applyBorder="1" applyAlignment="1">
      <x:alignment horizontal="center" vertical="center" wrapText="1"/>
    </x:xf>
    <x:xf numFmtId="0" fontId="16" fillId="40" borderId="0" xfId="0" applyNumberFormat="1" applyFont="1" applyFill="1" applyBorder="1" applyAlignment="1">
      <x:alignment vertical="top" wrapText="1"/>
    </x:xf>
    <x:xf numFmtId="0" fontId="16" fillId="5" borderId="0" xfId="0" applyNumberFormat="1" applyFont="1" applyFill="1" applyBorder="1" applyAlignment="1">
      <x:alignment vertical="top" wrapText="1"/>
    </x:xf>
    <x:xf numFmtId="0" fontId="16" fillId="46" borderId="0" xfId="0" applyNumberFormat="1" applyFont="1" applyFill="1" applyBorder="1" applyAlignment="1">
      <x:alignment vertical="top" wrapText="1"/>
    </x:xf>
    <x:xf numFmtId="0" fontId="16" fillId="35" borderId="0" xfId="0" applyNumberFormat="1" applyFont="1" applyFill="1" applyBorder="1" applyAlignment="1">
      <x:alignment vertical="top" wrapText="1"/>
    </x:xf>
    <x:xf numFmtId="0" fontId="23" fillId="35" borderId="0" xfId="0" applyNumberFormat="1" applyFont="1" applyFill="1" applyBorder="1" applyAlignment="1">
      <x:alignment vertical="top" wrapText="1"/>
    </x:xf>
    <x:xf numFmtId="0" fontId="23" fillId="35" borderId="0" xfId="0" applyNumberFormat="1" applyFont="1" applyFill="1" applyBorder="1" applyAlignment="1">
      <x:alignment horizontal="center" vertical="top" wrapText="1"/>
    </x:xf>
    <x:xf numFmtId="0" fontId="24" fillId="6" borderId="0" xfId="0" applyNumberFormat="1" applyFont="1" applyFill="1" applyBorder="1"/>
    <x:xf numFmtId="0" fontId="14" fillId="6" borderId="0" xfId="0" applyNumberFormat="1" applyFont="1" applyFill="1" applyBorder="1" applyAlignment="1">
      <x:alignment vertical="center" wrapText="1"/>
    </x:xf>
    <x:xf numFmtId="0" fontId="14" fillId="5" borderId="0" xfId="0" applyNumberFormat="1" applyFont="1" applyFill="1" applyBorder="1" applyAlignment="1">
      <x:alignment vertical="center" wrapText="1"/>
    </x:xf>
    <x:xf numFmtId="0" fontId="14" fillId="40" borderId="0" xfId="0" applyNumberFormat="1" applyFont="1" applyFill="1" applyBorder="1" applyAlignment="1">
      <x:alignment vertical="center" wrapText="1"/>
    </x:xf>
    <x:xf numFmtId="0" fontId="25" fillId="46" borderId="0" xfId="0" applyNumberFormat="1" applyFont="1" applyFill="1" applyBorder="1" applyAlignment="1">
      <x:alignment wrapText="1"/>
    </x:xf>
    <x:xf numFmtId="0" fontId="25" fillId="46" borderId="0" xfId="0" applyNumberFormat="1" applyFont="1" applyFill="1" applyBorder="1" applyAlignment="1">
      <x:alignment horizontal="center" wrapText="1"/>
    </x:xf>
    <x:xf numFmtId="0" fontId="0" fillId="67" borderId="0" xfId="0" applyNumberFormat="1" applyFont="1" applyFill="1" applyBorder="1"/>
    <x:xf numFmtId="0" fontId="9" fillId="67" borderId="0" xfId="0" applyNumberFormat="1" applyFont="1" applyFill="1" applyBorder="1"/>
    <x:xf numFmtId="0" fontId="9" fillId="67" borderId="0" xfId="0" applyNumberFormat="1" applyFont="1" applyFill="1" applyBorder="1" applyAlignment="1">
      <x:alignment horizontal="center"/>
    </x:xf>
    <x:xf numFmtId="0" fontId="9" fillId="67" borderId="0" xfId="0" applyNumberFormat="1" applyFont="1" applyFill="1" applyBorder="1" applyAlignment="1">
      <x:alignment horizontal="center" vertical="center"/>
    </x:xf>
    <x:xf numFmtId="0" fontId="0" fillId="68" borderId="0" xfId="0" applyNumberFormat="1" applyFont="1" applyFill="1" applyBorder="1"/>
    <x:xf numFmtId="0" fontId="12" fillId="68" borderId="0" xfId="0" applyNumberFormat="1" applyFont="1" applyFill="1" applyBorder="1"/>
    <x:xf numFmtId="0" fontId="12" fillId="68" borderId="0" xfId="0" applyNumberFormat="1" applyFont="1" applyFill="1" applyBorder="1" applyAlignment="1">
      <x:alignment wrapText="1"/>
    </x:xf>
    <x:xf numFmtId="0" fontId="0" fillId="69" borderId="0" xfId="0" applyNumberFormat="1" applyFont="1" applyFill="1" applyBorder="1"/>
    <x:xf numFmtId="0" fontId="8" fillId="69" borderId="0" xfId="0" applyNumberFormat="1" applyFont="1" applyFill="1" applyBorder="1"/>
    <x:xf numFmtId="0" fontId="8" fillId="69" borderId="0" xfId="0" applyNumberFormat="1" applyFont="1" applyFill="1" applyBorder="1" applyAlignment="1">
      <x:alignment wrapText="1"/>
    </x:xf>
    <x:xf numFmtId="0" fontId="8" fillId="69" borderId="0" xfId="0" applyNumberFormat="1" applyFont="1" applyFill="1" applyBorder="1" applyAlignment="1">
      <x:alignment horizontal="center" wrapText="1"/>
    </x:xf>
    <x:xf numFmtId="0" fontId="8" fillId="69" borderId="0" xfId="0" applyNumberFormat="1" applyFont="1" applyFill="1" applyBorder="1" applyAlignment="1">
      <x:alignment horizontal="center" vertical="center" wrapText="1"/>
    </x:xf>
    <x:xf numFmtId="0" fontId="13" fillId="70" borderId="0" xfId="0" applyNumberFormat="1" applyFont="1" applyFill="1" applyBorder="1" applyAlignment="1">
      <x:alignment vertical="top" wrapText="1"/>
    </x:xf>
    <x:xf numFmtId="0" fontId="18" fillId="70" borderId="0" xfId="0" applyNumberFormat="1" applyFont="1" applyFill="1" applyBorder="1" applyAlignment="1">
      <x:alignment vertical="top" wrapText="1"/>
    </x:xf>
    <x:xf numFmtId="0" fontId="13" fillId="71" borderId="0" xfId="0" applyNumberFormat="1" applyFont="1" applyFill="1" applyBorder="1" applyAlignment="1">
      <x:alignment vertical="top" wrapText="1"/>
    </x:xf>
    <x:xf numFmtId="0" fontId="18" fillId="71" borderId="0" xfId="0" applyNumberFormat="1" applyFont="1" applyFill="1" applyBorder="1" applyAlignment="1">
      <x:alignment vertical="top" wrapText="1"/>
    </x:xf>
    <x:xf numFmtId="0" fontId="13" fillId="72" borderId="0" xfId="0" applyNumberFormat="1" applyFont="1" applyFill="1" applyBorder="1" applyAlignment="1">
      <x:alignment vertical="top" wrapText="1"/>
    </x:xf>
    <x:xf numFmtId="0" fontId="18" fillId="72" borderId="0" xfId="0" applyNumberFormat="1" applyFont="1" applyFill="1" applyBorder="1" applyAlignment="1">
      <x:alignment vertical="top" wrapText="1"/>
    </x:xf>
    <x:xf numFmtId="0" fontId="13" fillId="73" borderId="0" xfId="0" applyNumberFormat="1" applyFont="1" applyFill="1" applyBorder="1" applyAlignment="1">
      <x:alignment vertical="top" wrapText="1"/>
    </x:xf>
    <x:xf numFmtId="0" fontId="18" fillId="73" borderId="0" xfId="0" applyNumberFormat="1" applyFont="1" applyFill="1" applyBorder="1" applyAlignment="1">
      <x:alignment vertical="top" wrapText="1"/>
    </x:xf>
    <x:xf numFmtId="0" fontId="13" fillId="74" borderId="0" xfId="0" applyNumberFormat="1" applyFont="1" applyFill="1" applyBorder="1" applyAlignment="1">
      <x:alignment vertical="top" wrapText="1"/>
    </x:xf>
    <x:xf numFmtId="0" fontId="18" fillId="74" borderId="0" xfId="0" applyNumberFormat="1" applyFont="1" applyFill="1" applyBorder="1" applyAlignment="1">
      <x:alignment vertical="top" wrapText="1"/>
    </x:xf>
    <x:xf numFmtId="0" fontId="13" fillId="75" borderId="0" xfId="0" applyNumberFormat="1" applyFont="1" applyFill="1" applyBorder="1" applyAlignment="1">
      <x:alignment vertical="top" wrapText="1"/>
    </x:xf>
    <x:xf numFmtId="0" fontId="18" fillId="75" borderId="0" xfId="0" applyNumberFormat="1" applyFont="1" applyFill="1" applyBorder="1" applyAlignment="1">
      <x:alignment vertical="top" wrapText="1"/>
    </x:xf>
    <x:xf numFmtId="0" fontId="13" fillId="76" borderId="0" xfId="0" applyNumberFormat="1" applyFont="1" applyFill="1" applyBorder="1" applyAlignment="1">
      <x:alignment vertical="top" wrapText="1"/>
    </x:xf>
    <x:xf numFmtId="0" fontId="18" fillId="76" borderId="0" xfId="0" applyNumberFormat="1" applyFont="1" applyFill="1" applyBorder="1" applyAlignment="1">
      <x:alignment vertical="top" wrapText="1"/>
    </x:xf>
    <x:xf numFmtId="0" fontId="0" fillId="77" borderId="0" xfId="0" applyNumberFormat="1" applyFont="1" applyFill="1" applyBorder="1"/>
    <x:xf numFmtId="0" fontId="11" fillId="77" borderId="0" xfId="0" applyNumberFormat="1" applyFont="1" applyFill="1" applyBorder="1"/>
    <x:xf numFmtId="0" fontId="0" fillId="75" borderId="0" xfId="0" applyNumberFormat="1" applyFont="1" applyFill="1" applyBorder="1"/>
    <x:xf numFmtId="0" fontId="18" fillId="75" borderId="0" xfId="0" applyNumberFormat="1" applyFont="1" applyFill="1" applyBorder="1"/>
    <x:xf numFmtId="0" fontId="18" fillId="75" borderId="0" xfId="0" applyNumberFormat="1" applyFont="1" applyFill="1" applyBorder="1" applyAlignment="1">
      <x:alignment wrapText="1"/>
    </x:xf>
    <x:xf numFmtId="0" fontId="18" fillId="75" borderId="0" xfId="0" applyNumberFormat="1" applyFont="1" applyFill="1" applyBorder="1" applyAlignment="1">
      <x:alignment horizontal="center" wrapText="1"/>
    </x:xf>
    <x:xf numFmtId="0" fontId="18" fillId="75" borderId="0" xfId="0" applyNumberFormat="1" applyFont="1" applyFill="1" applyBorder="1" applyAlignment="1">
      <x:alignment horizontal="center" vertical="center" wrapText="1"/>
    </x:xf>
    <x:xf numFmtId="0" fontId="16" fillId="70" borderId="0" xfId="0" applyNumberFormat="1" applyFont="1" applyFill="1" applyBorder="1" applyAlignment="1">
      <x:alignment vertical="top" wrapText="1"/>
    </x:xf>
    <x:xf numFmtId="0" fontId="16" fillId="71" borderId="0" xfId="0" applyNumberFormat="1" applyFont="1" applyFill="1" applyBorder="1" applyAlignment="1">
      <x:alignment vertical="top" wrapText="1"/>
    </x:xf>
    <x:xf numFmtId="0" fontId="16" fillId="72" borderId="0" xfId="0" applyNumberFormat="1" applyFont="1" applyFill="1" applyBorder="1" applyAlignment="1">
      <x:alignment vertical="top" wrapText="1"/>
    </x:xf>
    <x:xf numFmtId="0" fontId="16" fillId="73" borderId="0" xfId="0" applyNumberFormat="1" applyFont="1" applyFill="1" applyBorder="1" applyAlignment="1">
      <x:alignment vertical="top" wrapText="1"/>
    </x:xf>
    <x:xf numFmtId="0" fontId="20" fillId="73" borderId="0" xfId="0" applyNumberFormat="1" applyFont="1" applyFill="1" applyBorder="1" applyAlignment="1">
      <x:alignment vertical="top" wrapText="1"/>
    </x:xf>
    <x:xf numFmtId="0" fontId="16" fillId="74" borderId="0" xfId="0" applyNumberFormat="1" applyFont="1" applyFill="1" applyBorder="1" applyAlignment="1">
      <x:alignment vertical="top" wrapText="1"/>
    </x:xf>
    <x:xf numFmtId="0" fontId="20" fillId="74" borderId="0" xfId="0" applyNumberFormat="1" applyFont="1" applyFill="1" applyBorder="1" applyAlignment="1">
      <x:alignment vertical="top" wrapText="1"/>
    </x:xf>
    <x:xf numFmtId="0" fontId="16" fillId="75" borderId="0" xfId="0" applyNumberFormat="1" applyFont="1" applyFill="1" applyBorder="1" applyAlignment="1">
      <x:alignment vertical="top" wrapText="1"/>
    </x:xf>
    <x:xf numFmtId="0" fontId="20" fillId="75" borderId="0" xfId="0" applyNumberFormat="1" applyFont="1" applyFill="1" applyBorder="1" applyAlignment="1">
      <x:alignment vertical="top" wrapText="1"/>
    </x:xf>
    <x:xf numFmtId="0" fontId="16" fillId="76" borderId="0" xfId="0" applyNumberFormat="1" applyFont="1" applyFill="1" applyBorder="1" applyAlignment="1">
      <x:alignment vertical="top" wrapText="1"/>
    </x:xf>
    <x:xf numFmtId="0" fontId="20" fillId="76" borderId="0" xfId="0" applyNumberFormat="1" applyFont="1" applyFill="1" applyBorder="1" applyAlignment="1">
      <x:alignment vertical="top" wrapText="1"/>
    </x:xf>
    <x:xf numFmtId="0" fontId="16" fillId="78" borderId="0" xfId="0" applyNumberFormat="1" applyFont="1" applyFill="1" applyBorder="1" applyAlignment="1">
      <x:alignment vertical="top" wrapText="1"/>
    </x:xf>
    <x:xf numFmtId="0" fontId="18" fillId="78" borderId="0" xfId="0" applyNumberFormat="1" applyFont="1" applyFill="1" applyBorder="1" applyAlignment="1">
      <x:alignment vertical="top" wrapText="1"/>
    </x:xf>
    <x:xf numFmtId="0" fontId="16" fillId="79" borderId="0" xfId="0" applyNumberFormat="1" applyFont="1" applyFill="1" applyBorder="1" applyAlignment="1">
      <x:alignment vertical="top" wrapText="1"/>
    </x:xf>
    <x:xf numFmtId="0" fontId="18" fillId="79" borderId="0" xfId="0" applyNumberFormat="1" applyFont="1" applyFill="1" applyBorder="1" applyAlignment="1">
      <x:alignment vertical="top" wrapText="1"/>
    </x:xf>
    <x:xf numFmtId="0" fontId="24" fillId="75" borderId="0" xfId="0" applyNumberFormat="1" applyFont="1" applyFill="1" applyBorder="1"/>
    <x:xf numFmtId="0" fontId="24" fillId="75" borderId="0" xfId="0" applyNumberFormat="1" applyFont="1" applyFill="1" applyBorder="1" applyAlignment="1">
      <x:alignment wrapText="1"/>
    </x:xf>
    <x:xf numFmtId="0" fontId="0" fillId="80" borderId="0" xfId="0" applyNumberFormat="1" applyFont="1" applyFill="1" applyBorder="1"/>
    <x:xf numFmtId="0" fontId="11" fillId="80" borderId="0" xfId="0" applyNumberFormat="1" applyFont="1" applyFill="1" applyBorder="1"/>
    <x:xf numFmtId="0" fontId="23" fillId="75" borderId="0" xfId="0" applyNumberFormat="1" applyFont="1" applyFill="1" applyBorder="1"/>
    <x:xf numFmtId="0" fontId="23" fillId="75" borderId="0" xfId="0" applyNumberFormat="1" applyFont="1" applyFill="1" applyBorder="1" applyAlignment="1">
      <x:alignment wrapText="1"/>
    </x:xf>
    <x:xf numFmtId="0" fontId="0" fillId="78" borderId="0" xfId="0" applyNumberFormat="1" applyFont="1" applyFill="1" applyBorder="1"/>
    <x:xf numFmtId="0" fontId="13" fillId="78" borderId="0" xfId="0" applyNumberFormat="1" applyFont="1" applyFill="1" applyBorder="1"/>
    <x:xf numFmtId="0" fontId="13" fillId="78" borderId="0" xfId="0" applyNumberFormat="1" applyFont="1" applyFill="1" applyBorder="1" applyAlignment="1">
      <x:alignment wrapText="1"/>
    </x:xf>
    <x:xf numFmtId="0" fontId="11" fillId="77" borderId="0" xfId="0" applyNumberFormat="1" applyFont="1" applyFill="1" applyBorder="1" applyAlignment="1">
      <x:alignment horizontal="center"/>
    </x:xf>
    <x:xf numFmtId="0" fontId="13" fillId="0" borderId="0" xfId="0" applyNumberFormat="1" applyFont="1" applyFill="1" applyBorder="1" applyAlignment="1">
      <x:alignment vertical="center" wrapText="1"/>
    </x:xf>
    <x:xf numFmtId="0" fontId="13" fillId="69" borderId="0" xfId="0" applyNumberFormat="1" applyFont="1" applyFill="1" applyBorder="1" applyAlignment="1">
      <x:alignment vertical="center" wrapText="1"/>
    </x:xf>
    <x:xf numFmtId="0" fontId="8" fillId="69" borderId="0" xfId="0" applyNumberFormat="1" applyFont="1" applyFill="1" applyBorder="1" applyAlignment="1">
      <x:alignment vertical="center" wrapText="1"/>
    </x:xf>
    <x:xf numFmtId="0" fontId="13" fillId="68" borderId="0" xfId="0" applyNumberFormat="1" applyFont="1" applyFill="1" applyBorder="1" applyAlignment="1">
      <x:alignment vertical="center" wrapText="1"/>
    </x:xf>
    <x:xf numFmtId="0" fontId="18" fillId="68" borderId="0" xfId="0" applyNumberFormat="1" applyFont="1" applyFill="1" applyBorder="1" applyAlignment="1">
      <x:alignment vertical="center" wrapText="1"/>
    </x:xf>
    <x:xf numFmtId="0" fontId="13" fillId="78" borderId="0" xfId="0" applyNumberFormat="1" applyFont="1" applyFill="1" applyBorder="1" applyAlignment="1">
      <x:alignment vertical="center" wrapText="1"/>
    </x:xf>
    <x:xf numFmtId="0" fontId="0" fillId="71" borderId="0" xfId="0" applyNumberFormat="1" applyFont="1" applyFill="1" applyBorder="1"/>
    <x:xf numFmtId="0" fontId="13" fillId="71" borderId="0" xfId="0" applyNumberFormat="1" applyFont="1" applyFill="1" applyBorder="1"/>
    <x:xf numFmtId="0" fontId="13" fillId="71" borderId="0" xfId="0" applyNumberFormat="1" applyFont="1" applyFill="1" applyBorder="1" applyAlignment="1">
      <x:alignment wrapText="1"/>
    </x:xf>
    <x:xf numFmtId="0" fontId="4" fillId="71" borderId="0" xfId="0" applyNumberFormat="1" applyFont="1" applyFill="1" applyBorder="1" applyAlignment="1">
      <x:alignment vertical="top" wrapText="1"/>
    </x:xf>
    <x:xf numFmtId="0" fontId="19" fillId="71" borderId="0" xfId="0" applyNumberFormat="1" applyFont="1" applyFill="1" applyBorder="1" applyAlignment="1">
      <x:alignment vertical="top" wrapText="1"/>
    </x:xf>
    <x:xf numFmtId="0" fontId="21" fillId="68" borderId="0" xfId="0" applyNumberFormat="1" applyFont="1" applyFill="1" applyBorder="1" applyAlignment="1">
      <x:alignment vertical="center" wrapText="1"/>
    </x:xf>
  </x:cellXfs>
  <x:cellStyles count="1">
    <x:cellStyle name="Normal" xfId="0"/>
  </x:cellStyles>
  <x:dxfs count="26">
    <x:dxf>
      <x:font>
        <x:b/>
      </x:font>
      <x:fill>
        <x:patternFill>
          <x:bgColor rgb="FFF8CBAD"/>
        </x:patternFill>
      </x:fill>
    </x:dxf>
    <x:dxf>
      <x:font>
        <x:b/>
      </x:font>
      <x:fill>
        <x:patternFill>
          <x:bgColor rgb="FFFFE699"/>
        </x:patternFill>
      </x:fill>
    </x:dxf>
    <x:dxf>
      <x:fill>
        <x:patternFill>
          <x:bgColor rgb="FFE2F0D9"/>
        </x:patternFill>
      </x:fill>
    </x:dxf>
    <x:dxf>
      <x:fill>
        <x:patternFill>
          <x:bgColor rgb="FFEDEDED"/>
        </x:patternFill>
      </x:fill>
    </x:dxf>
    <x:dxf>
      <x:fill>
        <x:patternFill>
          <x:bgColor rgb="FFFFF2CC"/>
        </x:patternFill>
      </x:fill>
    </x:dxf>
    <x:dxf>
      <x:font>
        <x:b/>
      </x:font>
      <x:fill>
        <x:patternFill>
          <x:bgColor rgb="FFF8CBAD"/>
        </x:patternFill>
      </x:fill>
    </x:dxf>
    <x:dxf>
      <x:fill>
        <x:patternFill>
          <x:bgColor rgb="FFFFE699"/>
        </x:patternFill>
      </x:fill>
    </x:dxf>
    <x:dxf>
      <x:fill>
        <x:patternFill>
          <x:bgColor rgb="FFE2F0D9"/>
        </x:patternFill>
      </x:fill>
    </x:dxf>
    <x:dxf>
      <x:fill>
        <x:patternFill>
          <x:bgColor rgb="FFFFF2CC"/>
        </x:patternFill>
      </x:fill>
    </x:dxf>
    <x:dxf>
      <x:font>
        <x:b/>
      </x:font>
      <x:fill>
        <x:patternFill>
          <x:bgColor rgb="FFC6E0B4"/>
        </x:patternFill>
      </x:fill>
    </x:dxf>
    <x:dxf>
      <x:font>
        <x:b/>
      </x:font>
      <x:fill>
        <x:patternFill>
          <x:bgColor rgb="FFF8CBAD"/>
        </x:patternFill>
      </x:fill>
    </x:dxf>
    <x:dxf>
      <x:fill>
        <x:patternFill>
          <x:bgColor rgb="FFFFF2CC"/>
        </x:patternFill>
      </x:fill>
    </x:dxf>
    <x:dxf>
      <x:font>
        <x:b/>
      </x:font>
      <x:fill>
        <x:patternFill>
          <x:bgColor rgb="FFC6E0B4"/>
        </x:patternFill>
      </x:fill>
    </x:dxf>
    <x:dxf>
      <x:font>
        <x:b/>
      </x:font>
      <x:fill>
        <x:patternFill>
          <x:bgColor rgb="FFF8CBAD"/>
        </x:patternFill>
      </x:fill>
    </x:dxf>
    <x:dxf>
      <x:font>
        <x:b/>
      </x:font>
      <x:fill>
        <x:patternFill>
          <x:bgColor rgb="FFF8CBAD"/>
        </x:patternFill>
      </x:fill>
    </x:dxf>
    <x:dxf>
      <x:fill>
        <x:patternFill>
          <x:bgColor rgb="FFC6E0B4"/>
        </x:patternFill>
      </x:fill>
    </x:dxf>
    <x:dxf>
      <x:fill>
        <x:patternFill>
          <x:bgColor rgb="FFFFE699"/>
        </x:patternFill>
      </x:fill>
    </x:dxf>
    <x:dxf>
      <x:font>
        <x:b/>
      </x:font>
      <x:fill>
        <x:patternFill>
          <x:bgColor rgb="FFF8CBAD"/>
        </x:patternFill>
      </x:fill>
    </x:dxf>
    <x:dxf>
      <x:fill>
        <x:patternFill>
          <x:bgColor rgb="FFC6E0B4"/>
        </x:patternFill>
      </x:fill>
    </x:dxf>
    <x:dxf>
      <x:fill>
        <x:patternFill>
          <x:bgColor rgb="FFFFE699"/>
        </x:patternFill>
      </x:fill>
    </x:dxf>
    <x:dxf>
      <x:font>
        <x:b/>
      </x:font>
      <x:fill>
        <x:patternFill>
          <x:bgColor rgb="FFF8CBAD"/>
        </x:patternFill>
      </x:fill>
    </x:dxf>
    <x:dxf>
      <x:fill>
        <x:patternFill>
          <x:bgColor rgb="FFC6E0B4"/>
        </x:patternFill>
      </x:fill>
    </x:dxf>
    <x:dxf>
      <x:fill>
        <x:patternFill>
          <x:bgColor rgb="FFFFE699"/>
        </x:patternFill>
      </x:fill>
    </x:dxf>
    <x:dxf>
      <x:font>
        <x:b/>
      </x:font>
      <x:fill>
        <x:patternFill>
          <x:bgColor rgb="FFF8CBAD"/>
        </x:patternFill>
      </x:fill>
    </x:dxf>
    <x:dxf>
      <x:font>
        <x:b/>
      </x:font>
      <x:fill>
        <x:patternFill>
          <x:bgColor rgb="FFF8CBAD"/>
        </x:patternFill>
      </x:fill>
    </x:dxf>
    <x:dxf>
      <x:font>
        <x:b/>
      </x:font>
      <x:fill>
        <x:patternFill>
          <x:bgColor rgb="FFFFE6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e9b0d097c24965" /><Relationship Type="http://schemas.openxmlformats.org/officeDocument/2006/relationships/theme" Target="/xl/theme/theme1.xml" Id="Rb7e1346688aa43ba" /><Relationship Type="http://schemas.openxmlformats.org/officeDocument/2006/relationships/sharedStrings" Target="/xl/sharedStrings.xml" Id="R076e824d632149f8" /><Relationship Type="http://schemas.openxmlformats.org/officeDocument/2006/relationships/worksheet" Target="/xl/worksheets/sheet1.xml" Id="R49b7b6c4677f4a17" /><Relationship Type="http://schemas.openxmlformats.org/officeDocument/2006/relationships/worksheet" Target="/xl/worksheets/sheet2.xml" Id="R66e7677317c74415" /><Relationship Type="http://schemas.openxmlformats.org/officeDocument/2006/relationships/worksheet" Target="/xl/worksheets/sheet3.xml" Id="R65169a8e66cf4f99" /><Relationship Type="http://schemas.openxmlformats.org/officeDocument/2006/relationships/worksheet" Target="/xl/worksheets/sheet4.xml" Id="R627f6c27a7be40eb" /><Relationship Type="http://schemas.openxmlformats.org/officeDocument/2006/relationships/worksheet" Target="/xl/worksheets/sheet5.xml" Id="Raa52b3d4a3894b58" /><Relationship Type="http://schemas.openxmlformats.org/officeDocument/2006/relationships/worksheet" Target="/xl/worksheets/sheet6.xml" Id="Rd6dde2d913ce4fac" /><Relationship Type="http://schemas.openxmlformats.org/officeDocument/2006/relationships/worksheet" Target="/xl/worksheets/sheet7.xml" Id="Rd9b6b579e0e14344" /><Relationship Type="http://schemas.openxmlformats.org/officeDocument/2006/relationships/worksheet" Target="/xl/worksheets/sheet8.xml" Id="Rc0ec8869295c4ce7" /><Relationship Type="http://schemas.openxmlformats.org/officeDocument/2006/relationships/worksheet" Target="/xl/worksheets/sheet9.xml" Id="Re604ea9e745a476a" /><Relationship Type="http://schemas.openxmlformats.org/officeDocument/2006/relationships/worksheet" Target="/xl/worksheets/sheet10.xml" Id="R6383226d92db427c" /><Relationship Type="http://schemas.openxmlformats.org/officeDocument/2006/relationships/worksheet" Target="/xl/worksheets/sheet11.xml" Id="R4f5e0a8aaca24b3b" /><Relationship Type="http://schemas.openxmlformats.org/officeDocument/2006/relationships/worksheet" Target="/xl/worksheets/sheet12.xml" Id="Rf7118a3698d64bf8" /><Relationship Type="http://schemas.openxmlformats.org/officeDocument/2006/relationships/worksheet" Target="/xl/worksheets/sheet13.xml" Id="Rae65dee00e0c4587" /><Relationship Type="http://schemas.openxmlformats.org/officeDocument/2006/relationships/worksheet" Target="/xl/worksheets/sheet14.xml" Id="R8f49c748036b4264" /><Relationship Type="http://schemas.openxmlformats.org/officeDocument/2006/relationships/worksheet" Target="/xl/worksheets/sheet15.xml" Id="R5c7ab2afb846434a" /><Relationship Type="http://schemas.openxmlformats.org/officeDocument/2006/relationships/worksheet" Target="/xl/worksheets/sheet16.xml" Id="R257ea4c4aefa48de" /><Relationship Type="http://schemas.openxmlformats.org/officeDocument/2006/relationships/worksheet" Target="/xl/worksheets/sheet17.xml" Id="R056b546e436d4a86" /><Relationship Type="http://schemas.openxmlformats.org/officeDocument/2006/relationships/worksheet" Target="/xl/worksheets/sheet18.xml" Id="R8be0529dd5924ce6" /><Relationship Type="http://schemas.openxmlformats.org/officeDocument/2006/relationships/worksheet" Target="/xl/worksheets/sheet19.xml" Id="R4c22404edbea4bae" /><Relationship Type="http://schemas.openxmlformats.org/officeDocument/2006/relationships/worksheet" Target="/xl/worksheets/sheet20.xml" Id="R25c88d54f4b44737" /><Relationship Type="http://schemas.openxmlformats.org/officeDocument/2006/relationships/worksheet" Target="/xl/worksheets/sheet21.xml" Id="Rc9e3d9ae83994466" /><Relationship Type="http://schemas.openxmlformats.org/officeDocument/2006/relationships/worksheet" Target="/xl/worksheets/sheet22.xml" Id="R456dc46b2c9f4722" /><Relationship Type="http://schemas.openxmlformats.org/officeDocument/2006/relationships/worksheet" Target="/xl/worksheets/sheet23.xml" Id="R89c1e0a1d9fe429b" /><Relationship Type="http://schemas.openxmlformats.org/officeDocument/2006/relationships/worksheet" Target="/xl/worksheets/sheet24.xml" Id="R9ec3dc18a35f4012" /><Relationship Type="http://schemas.openxmlformats.org/officeDocument/2006/relationships/worksheet" Target="/xl/worksheets/sheet25.xml" Id="Re2c7fc4ec42f4745" /><Relationship Type="http://schemas.openxmlformats.org/officeDocument/2006/relationships/worksheet" Target="/xl/worksheets/sheet26.xml" Id="R562703a8c49a494a" /><Relationship Type="http://schemas.openxmlformats.org/officeDocument/2006/relationships/worksheet" Target="/xl/worksheets/sheet27.xml" Id="Ree1caa3679544bf9" /><Relationship Type="http://schemas.openxmlformats.org/officeDocument/2006/relationships/worksheet" Target="/xl/worksheets/sheet28.xml" Id="R7e171f3649ed4001" /><Relationship Type="http://schemas.openxmlformats.org/officeDocument/2006/relationships/worksheet" Target="/xl/worksheets/sheet29.xml" Id="R68672a1a4d854495" /><Relationship Type="http://schemas.openxmlformats.org/officeDocument/2006/relationships/worksheet" Target="/xl/worksheets/sheet30.xml" Id="R289930631b054c44" /><Relationship Type="http://schemas.openxmlformats.org/officeDocument/2006/relationships/worksheet" Target="/xl/worksheets/sheet31.xml" Id="Rf52af410255145cd" /><Relationship Type="http://schemas.openxmlformats.org/officeDocument/2006/relationships/worksheet" Target="/xl/worksheets/sheet32.xml" Id="R8248b474b82d4a9d" /><Relationship Type="http://schemas.openxmlformats.org/officeDocument/2006/relationships/worksheet" Target="/xl/worksheets/sheet33.xml" Id="R693345e0070241ff" /></Relationships>
</file>

<file path=xl/drawings/_rels/drawing1.xml.rels>&#65279;<?xml version="1.0" encoding="utf-8"?><Relationships xmlns="http://schemas.openxmlformats.org/package/2006/relationships"><Relationship Type="http://schemas.openxmlformats.org/officeDocument/2006/relationships/chart" Target="/xl/drawings/charts/chart1.xml" Id="Rc960ec87b2444a1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Distribución del portafolio propuesto por etapa</a:t>
            </a:r>
          </a:p>
        </c:rich>
      </c:tx>
    </c:title>
    <c:plotArea>
      <c:barChart>
        <c:barDir val="col"/>
        <c:varyColors val="0"/>
        <c:ser>
          <c:idx val="0"/>
          <c:order val="0"/>
          <c:tx>
            <c:v>N.º HERRAMIENTAS</c:v>
          </c:tx>
          <c:cat>
            <c:strRef>
              <c:f>'25_RUTA_VISUAL_PROPUESTA'!$A$16:$A$24</c:f>
              <c:strCache>
                <c:ptCount val="0"/>
              </c:strCache>
            </c:strRef>
          </c:cat>
          <c:val>
            <c:numRef>
              <c:f>'25_RUTA_VISUAL_PROPUESTA'!$B$16:$B$24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14</xdr:row>
      <xdr:rowOff>0</xdr:rowOff>
    </xdr:from>
    <xdr:to>
      <xdr:col>9</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60ec87b2444a1e"/>
        </a:graphicData>
      </a:graphic>
    </xdr:graphicFrame>
    <xdr:clientData/>
  </xdr:twoCellAnchor>
</xdr:wsDr>
</file>

<file path=xl/tables/table1.xml><?xml version="1.0" encoding="utf-8"?>
<x:table xmlns:x="http://schemas.openxmlformats.org/spreadsheetml/2006/main" id="1" name="TblHerramientas" displayName="TblHerramientas" ref="A4:AC250" headerRowCount="1" totalsRowCount="0" totalsRowShown="0">
  <x:tableColumns count="29">
    <x:tableColumn id="1" name="ID_HERRAMIENTA"/>
    <x:tableColumn id="2" name="NOMBRE"/>
    <x:tableColumn id="3" name="FAMILIA"/>
    <x:tableColumn id="4" name="DESCRIPCION_CORTA"/>
    <x:tableColumn id="5" name="PROPOSITO"/>
    <x:tableColumn id="6" name="PROBLEMA_QUE_RESUELVE"/>
    <x:tableColumn id="7" name="CUANDO_USAR"/>
    <x:tableColumn id="8" name="CUANDO_NO_USAR"/>
    <x:tableColumn id="9" name="ENTRADAS_PRERREQUISITOS"/>
    <x:tableColumn id="10" name="PASOS_CLAVE"/>
    <x:tableColumn id="11" name="SALIDA_RESULTADO"/>
    <x:tableColumn id="12" name="EVIDENCIA_GENERADA"/>
    <x:tableColumn id="13" name="CRITERIO_FINALIZACION"/>
    <x:tableColumn id="14" name="TIPO_PROYECTO"/>
    <x:tableColumn id="15" name="RELACION_TRL"/>
    <x:tableColumn id="16" name="TRL_MIN"/>
    <x:tableColumn id="17" name="TRL_MAX"/>
    <x:tableColumn id="18" name="RELACION_CRL"/>
    <x:tableColumn id="19" name="CRL_MIN"/>
    <x:tableColumn id="20" name="CRL_MAX"/>
    <x:tableColumn id="21" name="DURACION_ESTIMADA_MIN"/>
    <x:tableColumn id="22" name="DIFICULTAD"/>
    <x:tableColumn id="23" name="MODALIDAD_RECOMENDADA"/>
    <x:tableColumn id="24" name="FUENTE_DOCUMENTO"/>
    <x:tableColumn id="25" name="URL_FUENTE"/>
    <x:tableColumn id="26" name="ESTADO_VALIDACION"/>
    <x:tableColumn id="27" name="NOTAS_POR_VALIDAR"/>
    <x:tableColumn id="28" name="COMPLETITUD_%"/>
    <x:tableColumn id="29" name="ESTADO_REGISTRO"/>
  </x:tableColumns>
  <x:tableStyleInfo name="TableStyleMedium2" showFirstColumn="0" showLastColumn="0" showRowStripes="1" showColumnStripes="0"/>
</x:table>
</file>

<file path=xl/tables/table2.xml><?xml version="1.0" encoding="utf-8"?>
<x:table xmlns:x="http://schemas.openxmlformats.org/spreadsheetml/2006/main" id="2" name="TblBrechas" displayName="TblBrechas" ref="A4:M250" headerRowCount="1" totalsRowCount="0" totalsRowShown="0">
  <x:tableColumns count="13">
    <x:tableColumn id="1" name="ID_BRECHA"/>
    <x:tableColumn id="2" name="DIMENSION"/>
    <x:tableColumn id="3" name="NOMBRE_BRECHA"/>
    <x:tableColumn id="4" name="DESCRIPCION"/>
    <x:tableColumn id="5" name="PREGUNTA_DIAGNOSTICO"/>
    <x:tableColumn id="6" name="INDICADOR_DE_BRECHA"/>
    <x:tableColumn id="7" name="INDICADOR_DE_CUMPLIMIENTO"/>
    <x:tableColumn id="8" name="EVIDENCIA_MINIMA_ESPERADA"/>
    <x:tableColumn id="9" name="SEVERIDAD_BASE"/>
    <x:tableColumn id="10" name="PRIORIDAD_BASE"/>
    <x:tableColumn id="11" name="ESTADO_VALIDACION"/>
    <x:tableColumn id="12" name="FUENTE"/>
    <x:tableColumn id="13" name="NOTAS"/>
  </x:tableColumns>
  <x:tableStyleInfo name="TableStyleMedium2" showFirstColumn="0" showLastColumn="0" showRowStripes="1" showColumnStripes="0"/>
</x:table>
</file>

<file path=xl/tables/table3.xml><?xml version="1.0" encoding="utf-8"?>
<x:table xmlns:x="http://schemas.openxmlformats.org/spreadsheetml/2006/main" id="3" name="TblMadurez" displayName="TblMadurez" ref="A4:J100" headerRowCount="1" totalsRowCount="0" totalsRowShown="0">
  <x:tableColumns count="10">
    <x:tableColumn id="1" name="TIPO_MADUREZ"/>
    <x:tableColumn id="2" name="NIVEL"/>
    <x:tableColumn id="3" name="NOMBRE_NIVEL"/>
    <x:tableColumn id="4" name="DEFINICION"/>
    <x:tableColumn id="5" name="CRITERIO_ENTRADA"/>
    <x:tableColumn id="6" name="EVIDENCIA_REQUERIDA"/>
    <x:tableColumn id="7" name="CRITERIO_SALIDA"/>
    <x:tableColumn id="8" name="BRECHAS_FRECUENTES"/>
    <x:tableColumn id="9" name="ESTADO_VALIDACION"/>
    <x:tableColumn id="10" name="FUENTE"/>
  </x:tableColumns>
  <x:tableStyleInfo name="TableStyleMedium2" showFirstColumn="0" showLastColumn="0" showRowStripes="1" showColumnStripes="0"/>
</x:table>
</file>

<file path=xl/tables/table4.xml><?xml version="1.0" encoding="utf-8"?>
<x:table xmlns:x="http://schemas.openxmlformats.org/spreadsheetml/2006/main" id="4" name="TblEvidencias" displayName="TblEvidencias" ref="A4:N300" headerRowCount="1" totalsRowCount="0" totalsRowShown="0">
  <x:tableColumns count="14">
    <x:tableColumn id="1" name="ID_EVIDENCIA"/>
    <x:tableColumn id="2" name="NOMBRE_EVIDENCIA"/>
    <x:tableColumn id="3" name="TIPO_EVIDENCIA"/>
    <x:tableColumn id="4" name="DESCRIPCION"/>
    <x:tableColumn id="5" name="FORMATO_ESPERADO"/>
    <x:tableColumn id="6" name="ID_HERRAMIENTA_ORIGEN"/>
    <x:tableColumn id="7" name="ID_BRECHA_QUE_ABORDA"/>
    <x:tableColumn id="8" name="NIVEL_MADUREZ_RELACIONADO"/>
    <x:tableColumn id="9" name="CRITERIO_CALIDAD"/>
    <x:tableColumn id="10" name="QUIEN_VALIDA"/>
    <x:tableColumn id="11" name="OBLIGATORIA"/>
    <x:tableColumn id="12" name="ESTADO_VALIDACION"/>
    <x:tableColumn id="13" name="FUENTE"/>
    <x:tableColumn id="14" name="NOTAS"/>
  </x:tableColumns>
  <x:tableStyleInfo name="TableStyleMedium2" showFirstColumn="0" showLastColumn="0" showRowStripes="1" showColumnStripes="0"/>
</x:table>
</file>

<file path=xl/tables/table5.xml><?xml version="1.0" encoding="utf-8"?>
<x:table xmlns:x="http://schemas.openxmlformats.org/spreadsheetml/2006/main" id="5" name="TblReglasRuta" displayName="TblReglasRuta" ref="A4:U500" headerRowCount="1" totalsRowCount="0" totalsRowShown="0">
  <x:tableColumns count="21">
    <x:tableColumn id="1" name="ID_REGLA"/>
    <x:tableColumn id="2" name="ESTADO_REGLA"/>
    <x:tableColumn id="3" name="PRIORIDAD"/>
    <x:tableColumn id="4" name="DIMENSION"/>
    <x:tableColumn id="5" name="ID_BRECHA"/>
    <x:tableColumn id="6" name="TRL_MIN"/>
    <x:tableColumn id="7" name="TRL_MAX"/>
    <x:tableColumn id="8" name="CRL_MIN"/>
    <x:tableColumn id="9" name="CRL_MAX"/>
    <x:tableColumn id="10" name="CONDICION_EVIDENCIA"/>
    <x:tableColumn id="11" name="CONDICION_TIPO_PROYECTO"/>
    <x:tableColumn id="12" name="ID_HERRAMIENTA_RECOMENDADA"/>
    <x:tableColumn id="13" name="TIPO_RECOMENDACION"/>
    <x:tableColumn id="14" name="JUSTIFICACION_PARA_USUARIO"/>
    <x:tableColumn id="15" name="PRERREQUISITOS"/>
    <x:tableColumn id="16" name="CRITERIO_SALIDA"/>
    <x:tableColumn id="17" name="SIGUIENTE_EVALUACION"/>
    <x:tableColumn id="18" name="VALIDADO_POR"/>
    <x:tableColumn id="19" name="FECHA_VALIDACION"/>
    <x:tableColumn id="20" name="VERSION"/>
    <x:tableColumn id="21" name="NOTAS"/>
  </x:tableColumns>
  <x:tableStyleInfo name="TableStyleMedium2" showFirstColumn="0" showLastColumn="0" showRowStripes="1" showColumnStripes="0"/>
</x:table>
</file>

<file path=xl/tables/table6.xml><?xml version="1.0" encoding="utf-8"?>
<x:table xmlns:x="http://schemas.openxmlformats.org/spreadsheetml/2006/main" id="6" name="TblPreguntas" displayName="TblPreguntas" ref="A4:O300" headerRowCount="1" totalsRowCount="0" totalsRowShown="0">
  <x:tableColumns count="15">
    <x:tableColumn id="1" name="ID_PREGUNTA"/>
    <x:tableColumn id="2" name="BLOQUE"/>
    <x:tableColumn id="3" name="TEXTO_PREGUNTA"/>
    <x:tableColumn id="4" name="TIPO_RESPUESTA"/>
    <x:tableColumn id="5" name="OPCIONES_RESPUESTA"/>
    <x:tableColumn id="6" name="OBLIGATORIA"/>
    <x:tableColumn id="7" name="ID_BRECHA_DETECTADA"/>
    <x:tableColumn id="8" name="APORTA_TRL"/>
    <x:tableColumn id="9" name="APORTA_CRL"/>
    <x:tableColumn id="10" name="LOGICA_SALTO"/>
    <x:tableColumn id="11" name="ORDEN"/>
    <x:tableColumn id="12" name="AYUDA_AL_USUARIO"/>
    <x:tableColumn id="13" name="ESTADO_VALIDACION"/>
    <x:tableColumn id="14" name="FUENTE"/>
    <x:tableColumn id="15" name="NOTAS"/>
  </x:tableColumns>
  <x:tableStyleInfo name="TableStyleMedium2" showFirstColumn="0" showLastColumn="0" showRowStripes="1" showColumnStripes="0"/>
</x:table>
</file>

<file path=xl/tables/table7.xml><?xml version="1.0" encoding="utf-8"?>
<x:table xmlns:x="http://schemas.openxmlformats.org/spreadsheetml/2006/main" id="7" name="TblDependencias" displayName="TblDependencias" ref="A4:J400" headerRowCount="1" totalsRowCount="0" totalsRowShown="0">
  <x:tableColumns count="10">
    <x:tableColumn id="1" name="ID_DEPENDENCIA"/>
    <x:tableColumn id="2" name="ID_HERRAMIENTA_ORIGEN"/>
    <x:tableColumn id="3" name="RELACION"/>
    <x:tableColumn id="4" name="ID_HERRAMIENTA_DESTINO"/>
    <x:tableColumn id="5" name="CONDICION"/>
    <x:tableColumn id="6" name="EVIDENCIA_REQUERIDA"/>
    <x:tableColumn id="7" name="OBLIGATORIA"/>
    <x:tableColumn id="8" name="JUSTIFICACION"/>
    <x:tableColumn id="9" name="ESTADO_VALIDACION"/>
    <x:tableColumn id="10" name="NOTAS"/>
  </x:tableColumns>
  <x:tableStyleInfo name="TableStyleMedium2" showFirstColumn="0" showLastColumn="0" showRowStripes="1" showColumnStripes="0"/>
</x:table>
</file>

<file path=xl/tables/table8.xml><?xml version="1.0" encoding="utf-8"?>
<x:table xmlns:x="http://schemas.openxmlformats.org/spreadsheetml/2006/main" id="8" name="TblServicios" displayName="TblServicios" ref="A4:S250" headerRowCount="1" totalsRowCount="0" totalsRowShown="0">
  <x:tableColumns count="19">
    <x:tableColumn id="1" name="ID_SERVICIO"/>
    <x:tableColumn id="2" name="NOMBRE_SERVICIO"/>
    <x:tableColumn id="3" name="TIPO_SERVICIO"/>
    <x:tableColumn id="4" name="DESCRIPCION"/>
    <x:tableColumn id="5" name="NECESIDAD_QUE_ATIENDE"/>
    <x:tableColumn id="6" name="ID_BRECHA_ASOCIADA"/>
    <x:tableColumn id="7" name="HERRAMIENTAS_ASOCIADAS"/>
    <x:tableColumn id="8" name="RELACION_TRL_CRL"/>
    <x:tableColumn id="9" name="MODALIDAD"/>
    <x:tableColumn id="10" name="PUBLICO_OBJETIVO"/>
    <x:tableColumn id="11" name="DURACION"/>
    <x:tableColumn id="12" name="CANAL"/>
    <x:tableColumn id="13" name="RESPONSABLE_FUNCIONAL"/>
    <x:tableColumn id="14" name="REQUISITOS_ACCESO"/>
    <x:tableColumn id="15" name="RESULTADO_ESPERADO"/>
    <x:tableColumn id="16" name="EVIDENCIA_GENERADA"/>
    <x:tableColumn id="17" name="CTA"/>
    <x:tableColumn id="18" name="ESTADO_VALIDACION"/>
    <x:tableColumn id="19" name="FUENTE_URL"/>
  </x:tableColumns>
  <x:tableStyleInfo name="TableStyleMedium2" showFirstColumn="0" showLastColumn="0" showRowStripes="1" showColumnStripes="0"/>
</x:table>
</file>

<file path=xl/tables/table9.xml><?xml version="1.0" encoding="utf-8"?>
<x:table xmlns:x="http://schemas.openxmlformats.org/spreadsheetml/2006/main" id="9" name="TblCasosPrueba" displayName="TblCasosPrueba" ref="A4:R200" headerRowCount="1" totalsRowCount="0" totalsRowShown="0">
  <x:tableColumns count="18">
    <x:tableColumn id="1" name="ID_CASO"/>
    <x:tableColumn id="2" name="NOMBRE_PROYECTO"/>
    <x:tableColumn id="3" name="TIPO_PROYECTO"/>
    <x:tableColumn id="4" name="SECTOR"/>
    <x:tableColumn id="5" name="DESCRIPCION"/>
    <x:tableColumn id="6" name="TRL_INICIAL"/>
    <x:tableColumn id="7" name="CRL_INICIAL"/>
    <x:tableColumn id="8" name="BRECHAS_DECLARADAS"/>
    <x:tableColumn id="9" name="EVIDENCIAS_EXISTENTES"/>
    <x:tableColumn id="10" name="OBJETIVO_USUARIO"/>
    <x:tableColumn id="11" name="RUTA_ESPERADA"/>
    <x:tableColumn id="12" name="RUTA_GENERADA"/>
    <x:tableColumn id="13" name="COINCIDE"/>
    <x:tableColumn id="14" name="FALLA_DETECTADA"/>
    <x:tableColumn id="15" name="AJUSTE_REGLA"/>
    <x:tableColumn id="16" name="RESULTADO_FINAL"/>
    <x:tableColumn id="17" name="ESTADO_PRUEBA"/>
    <x:tableColumn id="18" name="NOTAS"/>
  </x:tableColumns>
  <x:tableStyleInfo name="TableStyleMedium2" showFirstColumn="0" showLastColumn="0" showRowStripes="1" showColumnStripes="0"/>
</x:table>
</file>

<file path=xl/tables/table10.xml><?xml version="1.0" encoding="utf-8"?>
<x:table xmlns:x="http://schemas.openxmlformats.org/spreadsheetml/2006/main" id="10" name="TblTRLDetalle" displayName="TblTRLDetalle" ref="A4:N176" headerRowCount="1" totalsRowCount="0" totalsRowShown="0">
  <x:tableColumns count="14">
    <x:tableColumn id="1" name="ID_CRITERIO"/>
    <x:tableColumn id="2" name="TIPO_PROYECTO"/>
    <x:tableColumn id="3" name="ID_DIMENSION"/>
    <x:tableColumn id="4" name="DIMENSION"/>
    <x:tableColumn id="5" name="PESO"/>
    <x:tableColumn id="6" name="PREGUNTA"/>
    <x:tableColumn id="7" name="TRL_DESDE"/>
    <x:tableColumn id="8" name="TRL_HASTA"/>
    <x:tableColumn id="9" name="CRITERIO_RESPUESTA"/>
    <x:tableColumn id="10" name="PUNTAJE_REFERENCIA"/>
    <x:tableColumn id="11" name="FILA_ORIGEN"/>
    <x:tableColumn id="12" name="FUENTE"/>
    <x:tableColumn id="13" name="ESTADO_VALIDACION"/>
    <x:tableColumn id="14" name="NOTAS_FUENTE"/>
  </x:tableColumns>
  <x:tableStyleInfo name="TableStyleMedium2" showFirstColumn="0" showLastColumn="0" showRowStripes="1" showColumnStripes="0"/>
</x:table>
</file>

<file path=xl/tables/table11.xml><?xml version="1.0" encoding="utf-8"?>
<x:table xmlns:x="http://schemas.openxmlformats.org/spreadsheetml/2006/main" id="11" name="TblCRLDetalle" displayName="TblCRLDetalle" ref="A4:L31" headerRowCount="1" totalsRowCount="0" totalsRowShown="0">
  <x:tableColumns count="12">
    <x:tableColumn id="1" name="ID_CRITERIO"/>
    <x:tableColumn id="2" name="ID_DIMENSION"/>
    <x:tableColumn id="3" name="DIMENSION"/>
    <x:tableColumn id="4" name="PESO"/>
    <x:tableColumn id="5" name="PREGUNTA"/>
    <x:tableColumn id="6" name="NIVEL_CRL"/>
    <x:tableColumn id="7" name="CRITERIO_RESPUESTA"/>
    <x:tableColumn id="8" name="PUNTAJE_REFERENCIA"/>
    <x:tableColumn id="9" name="FILA_ORIGEN"/>
    <x:tableColumn id="10" name="FUENTE"/>
    <x:tableColumn id="11" name="ESTADO_VALIDACION"/>
    <x:tableColumn id="12" name="NOTAS"/>
  </x:tableColumns>
  <x:tableStyleInfo name="TableStyleMedium2" showFirstColumn="0" showLastColumn="0" showRowStripes="1" showColumnStripes="0"/>
</x:table>
</file>

<file path=xl/tables/table12.xml><?xml version="1.0" encoding="utf-8"?>
<x:table xmlns:x="http://schemas.openxmlformats.org/spreadsheetml/2006/main" id="12" name="TblCadenaValor" displayName="TblCadenaValor" ref="A4:K53" headerRowCount="1" totalsRowCount="0" totalsRowShown="0">
  <x:tableColumns count="11">
    <x:tableColumn id="1" name="ID_CRITERIO"/>
    <x:tableColumn id="2" name="ID_DIMENSION"/>
    <x:tableColumn id="3" name="DIMENSION"/>
    <x:tableColumn id="4" name="PESO"/>
    <x:tableColumn id="5" name="CRITERIO_RESPUESTA"/>
    <x:tableColumn id="6" name="PUNTAJE"/>
    <x:tableColumn id="7" name="ETAPA"/>
    <x:tableColumn id="8" name="RANGO_ETAPA_MIN"/>
    <x:tableColumn id="9" name="RANGO_ETAPA_MAX"/>
    <x:tableColumn id="10" name="FUENTE"/>
    <x:tableColumn id="11" name="ESTADO_VALIDACION"/>
  </x:tableColumns>
  <x:tableStyleInfo name="TableStyleMedium2" showFirstColumn="0" showLastColumn="0" showRowStripes="1" showColumnStripes="0"/>
</x:table>
</file>

<file path=xl/tables/table13.xml><?xml version="1.0" encoding="utf-8"?>
<x:table xmlns:x="http://schemas.openxmlformats.org/spreadsheetml/2006/main" id="13" name="TblFuentes" displayName="TblFuentes" ref="A4:H28" headerRowCount="1" totalsRowCount="0" totalsRowShown="0">
  <x:tableColumns count="8">
    <x:tableColumn id="1" name="ID_FUENTE"/>
    <x:tableColumn id="2" name="ARCHIVO"/>
    <x:tableColumn id="3" name="TIPO"/>
    <x:tableColumn id="4" name="FAMILIA / ALCANCE"/>
    <x:tableColumn id="5" name="USO_EN_MODELO"/>
    <x:tableColumn id="6" name="NIVEL_SUSTENTO"/>
    <x:tableColumn id="7" name="ESTADO"/>
    <x:tableColumn id="8" name="OBSERVACION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a83b4a56a5490a" /></Relationships>
</file>

<file path=xl/worksheets/_rels/sheet3.xml.rels>&#65279;<?xml version="1.0" encoding="utf-8"?><Relationships xmlns="http://schemas.openxmlformats.org/package/2006/relationships"><Relationship Type="http://schemas.openxmlformats.org/officeDocument/2006/relationships/table" Target="/xl/tables/table2.xml" Id="R1a8f1778fbc34c69" /></Relationships>
</file>

<file path=xl/worksheets/_rels/sheet4.xml.rels>&#65279;<?xml version="1.0" encoding="utf-8"?><Relationships xmlns="http://schemas.openxmlformats.org/package/2006/relationships"><Relationship Type="http://schemas.openxmlformats.org/officeDocument/2006/relationships/table" Target="/xl/tables/table3.xml" Id="R126f8badb26e4bcf" /></Relationships>
</file>

<file path=xl/worksheets/_rels/sheet5.xml.rels>&#65279;<?xml version="1.0" encoding="utf-8"?><Relationships xmlns="http://schemas.openxmlformats.org/package/2006/relationships"><Relationship Type="http://schemas.openxmlformats.org/officeDocument/2006/relationships/table" Target="/xl/tables/table4.xml" Id="R55808c66d7ea41f0" /></Relationships>
</file>

<file path=xl/worksheets/_rels/sheet6.xml.rels>&#65279;<?xml version="1.0" encoding="utf-8"?><Relationships xmlns="http://schemas.openxmlformats.org/package/2006/relationships"><Relationship Type="http://schemas.openxmlformats.org/officeDocument/2006/relationships/table" Target="/xl/tables/table5.xml" Id="R1e32d2f976bb4ad1" /></Relationships>
</file>

<file path=xl/worksheets/_rels/sheet7.xml.rels>&#65279;<?xml version="1.0" encoding="utf-8"?><Relationships xmlns="http://schemas.openxmlformats.org/package/2006/relationships"><Relationship Type="http://schemas.openxmlformats.org/officeDocument/2006/relationships/table" Target="/xl/tables/table6.xml" Id="Rc9232a4160c34698" /></Relationships>
</file>

<file path=xl/worksheets/_rels/sheet8.xml.rels>&#65279;<?xml version="1.0" encoding="utf-8"?><Relationships xmlns="http://schemas.openxmlformats.org/package/2006/relationships"><Relationship Type="http://schemas.openxmlformats.org/officeDocument/2006/relationships/table" Target="/xl/tables/table7.xml" Id="Rc8f740e2c21f43a8" /></Relationships>
</file>

<file path=xl/worksheets/_rels/sheet9.xml.rels>&#65279;<?xml version="1.0" encoding="utf-8"?><Relationships xmlns="http://schemas.openxmlformats.org/package/2006/relationships"><Relationship Type="http://schemas.openxmlformats.org/officeDocument/2006/relationships/table" Target="/xl/tables/table8.xml" Id="Re9a1e80b101045a5" /></Relationships>
</file>

<file path=xl/worksheets/_rels/sheet10.xml.rels>&#65279;<?xml version="1.0" encoding="utf-8"?><Relationships xmlns="http://schemas.openxmlformats.org/package/2006/relationships"><Relationship Type="http://schemas.openxmlformats.org/officeDocument/2006/relationships/table" Target="/xl/tables/table9.xml" Id="R4cd377d633154c7e" /></Relationships>
</file>

<file path=xl/worksheets/_rels/sheet12.xml.rels>&#65279;<?xml version="1.0" encoding="utf-8"?><Relationships xmlns="http://schemas.openxmlformats.org/package/2006/relationships"><Relationship Type="http://schemas.openxmlformats.org/officeDocument/2006/relationships/table" Target="/xl/tables/table10.xml" Id="Rc1ce3000b0284057" /></Relationships>
</file>

<file path=xl/worksheets/_rels/sheet13.xml.rels>&#65279;<?xml version="1.0" encoding="utf-8"?><Relationships xmlns="http://schemas.openxmlformats.org/package/2006/relationships"><Relationship Type="http://schemas.openxmlformats.org/officeDocument/2006/relationships/table" Target="/xl/tables/table11.xml" Id="R25fd8e8ef1614082" /></Relationships>
</file>

<file path=xl/worksheets/_rels/sheet14.xml.rels>&#65279;<?xml version="1.0" encoding="utf-8"?><Relationships xmlns="http://schemas.openxmlformats.org/package/2006/relationships"><Relationship Type="http://schemas.openxmlformats.org/officeDocument/2006/relationships/table" Target="/xl/tables/table12.xml" Id="R9496a5e335064306" /></Relationships>
</file>

<file path=xl/worksheets/_rels/sheet15.xml.rels>&#65279;<?xml version="1.0" encoding="utf-8"?><Relationships xmlns="http://schemas.openxmlformats.org/package/2006/relationships"><Relationship Type="http://schemas.openxmlformats.org/officeDocument/2006/relationships/table" Target="/xl/tables/table13.xml" Id="R1e431bc99c364eb3" /></Relationships>
</file>

<file path=xl/worksheets/_rels/sheet26.xml.rels>&#65279;<?xml version="1.0" encoding="utf-8"?><Relationships xmlns="http://schemas.openxmlformats.org/package/2006/relationships"><Relationship Type="http://schemas.openxmlformats.org/officeDocument/2006/relationships/drawing" Target="/xl/drawings/drawing1.xml" Id="Rf9d2fc1bac454377" /></Relationships>
</file>

<file path=xl/worksheets/sheet1.xml><?xml version="1.0" encoding="utf-8"?>
<x:worksheet xmlns:x="http://schemas.openxmlformats.org/spreadsheetml/2006/main">
  <x:sheetFormatPr defaultRowHeight="15"/>
  <x:cols>
    <x:col min="1" max="1" width="18" hidden="0" customWidth="1"/>
    <x:col min="2" max="2" width="42" hidden="0" customWidth="1"/>
    <x:col min="3" max="3" width="12" hidden="0" customWidth="1"/>
    <x:col min="4" max="4" width="24" hidden="0" customWidth="1"/>
    <x:col min="5" max="5" width="14" hidden="0" customWidth="1"/>
    <x:col min="6" max="6" width="18" hidden="0" customWidth="1"/>
    <x:col min="7" max="7" width="18" hidden="0" customWidth="1"/>
    <x:col min="8" max="8" width="32" hidden="0" customWidth="1"/>
  </x:cols>
  <x:sheetData>
    <x:row r="1" ht="28" customHeight="1">
      <x:c r="A1" s="6" t="str">
        <x:v>RUTA CEDIA INNOVACIÓN — Plantilla Maestra de Infraestructura Metodológica</x:v>
      </x:c>
      <x:c r="B1" s="6" t="str">
        <x:v>RUTA CEDIA INNOVACIÓN — Plantilla Maestra de Infraestructura Metodológica</x:v>
      </x:c>
      <x:c r="C1" s="6" t="str">
        <x:v>RUTA CEDIA INNOVACIÓN — Plantilla Maestra de Infraestructura Metodológica</x:v>
      </x:c>
      <x:c r="D1" s="6" t="str">
        <x:v>RUTA CEDIA INNOVACIÓN — Plantilla Maestra de Infraestructura Metodológica</x:v>
      </x:c>
      <x:c r="E1" s="6" t="str">
        <x:v>RUTA CEDIA INNOVACIÓN — Plantilla Maestra de Infraestructura Metodológica</x:v>
      </x:c>
      <x:c r="F1" s="6" t="str">
        <x:v>RUTA CEDIA INNOVACIÓN — Plantilla Maestra de Infraestructura Metodológica</x:v>
      </x:c>
      <x:c r="G1" s="6" t="str">
        <x:v>RUTA CEDIA INNOVACIÓN — Plantilla Maestra de Infraestructura Metodológica</x:v>
      </x:c>
      <x:c r="H1" s="6" t="str">
        <x:v>RUTA CEDIA INNOVACIÓN — Plantilla Maestra de Infraestructura Metodológica</x:v>
      </x:c>
    </x:row>
    <x:row r="2" ht="35" customHeight="1">
      <x:c r="A2" s="517" t="str">
        <x:v>Base metodológica propuesta de Ruta CEDIA con 34 herramientas (26 actuales CEDIA + 8 propuestas benchmark), 59 dependencias, 44 reglas de recomendación (34 primarias + 10 iterativas) y 34 prerrequisitos de evidencia. La lógica prioriza evidencia real/equivalente sobre secuencias rígidas entre herramientas.</x:v>
      </x:c>
      <x:c r="B2" s="517" t="str">
        <x:v>Base metodológica propuesta de Ruta CEDIA con 34 herramientas (26 actuales CEDIA + 8 propuestas benchmark), 59 dependencias, 44 reglas de recomendación (34 primarias + 10 iterativas) y 34 prerrequisitos de evidencia. La lógica prioriza evidencia real/equivalente sobre secuencias rígidas entre herramientas.</x:v>
      </x:c>
      <x:c r="C2" s="517" t="str">
        <x:v>Base metodológica propuesta de Ruta CEDIA con 34 herramientas (26 actuales CEDIA + 8 propuestas benchmark), 59 dependencias, 44 reglas de recomendación (34 primarias + 10 iterativas) y 34 prerrequisitos de evidencia. La lógica prioriza evidencia real/equivalente sobre secuencias rígidas entre herramientas.</x:v>
      </x:c>
      <x:c r="D2" s="517" t="str">
        <x:v>Base metodológica propuesta de Ruta CEDIA con 34 herramientas (26 actuales CEDIA + 8 propuestas benchmark), 59 dependencias, 44 reglas de recomendación (34 primarias + 10 iterativas) y 34 prerrequisitos de evidencia. La lógica prioriza evidencia real/equivalente sobre secuencias rígidas entre herramientas.</x:v>
      </x:c>
      <x:c r="E2" s="517" t="str">
        <x:v>Base metodológica propuesta de Ruta CEDIA con 34 herramientas (26 actuales CEDIA + 8 propuestas benchmark), 59 dependencias, 44 reglas de recomendación (34 primarias + 10 iterativas) y 34 prerrequisitos de evidencia. La lógica prioriza evidencia real/equivalente sobre secuencias rígidas entre herramientas.</x:v>
      </x:c>
      <x:c r="F2" s="517" t="str">
        <x:v>Base metodológica propuesta de Ruta CEDIA con 34 herramientas (26 actuales CEDIA + 8 propuestas benchmark), 59 dependencias, 44 reglas de recomendación (34 primarias + 10 iterativas) y 34 prerrequisitos de evidencia. La lógica prioriza evidencia real/equivalente sobre secuencias rígidas entre herramientas.</x:v>
      </x:c>
      <x:c r="G2" s="517" t="str">
        <x:v>Base metodológica propuesta de Ruta CEDIA con 34 herramientas (26 actuales CEDIA + 8 propuestas benchmark), 59 dependencias, 44 reglas de recomendación (34 primarias + 10 iterativas) y 34 prerrequisitos de evidencia. La lógica prioriza evidencia real/equivalente sobre secuencias rígidas entre herramientas.</x:v>
      </x:c>
      <x:c r="H2" s="517" t="str">
        <x:v>Base metodológica propuesta de Ruta CEDIA con 34 herramientas (26 actuales CEDIA + 8 propuestas benchmark), 59 dependencias, 44 reglas de recomendación (34 primarias + 10 iterativas) y 34 prerrequisitos de evidencia. La lógica prioriza evidencia real/equivalente sobre secuencias rígidas entre herramientas.</x:v>
      </x:c>
    </x:row>
    <x:row r="3">
      <x:c r="A3" s="88"/>
      <x:c r="B3" s="88"/>
      <x:c r="C3" s="88"/>
      <x:c r="D3" s="88"/>
      <x:c r="E3" s="88"/>
      <x:c r="F3" s="88"/>
      <x:c r="G3" s="88"/>
      <x:c r="H3" s="88"/>
    </x:row>
    <x:row r="4" ht="34" customHeight="1">
      <x:c r="A4" s="28" t="str">
        <x:v>ORDEN DE TRABAJO</x:v>
      </x:c>
      <x:c r="B4" s="29" t="str">
        <x:v>QUÉ HACER</x:v>
      </x:c>
      <x:c r="C4" s="88"/>
      <x:c r="D4" s="28" t="str">
        <x:v>INDICADOR</x:v>
      </x:c>
      <x:c r="E4" s="55" t="str">
        <x:v>VALOR</x:v>
      </x:c>
      <x:c r="F4" s="55" t="str">
        <x:v>META/USO</x:v>
      </x:c>
      <x:c r="G4" s="55" t="str">
        <x:v>HOJA FUENTE</x:v>
      </x:c>
      <x:c r="H4" s="29" t="str">
        <x:v>NOTA</x:v>
      </x:c>
    </x:row>
    <x:row r="5">
      <x:c r="A5" s="44" t="str">
        <x:v>1</x:v>
      </x:c>
      <x:c r="B5" s="44" t="str">
        <x:v>Completar/validar 01_HERRAMIENTAS con los documentos faltantes.</x:v>
      </x:c>
      <x:c r="C5" s="88"/>
      <x:c r="D5" s="44" t="str">
        <x:v>Herramientas registradas</x:v>
      </x:c>
      <x:c r="E5" s="64" t="n">
        <x:f>COUNTA('01_HERRAMIENTAS'!B5:B250)</x:f>
        <x:v>34</x:v>
      </x:c>
      <x:c r="F5" s="44" t="str">
        <x:v>Inventario total</x:v>
      </x:c>
      <x:c r="G5" s="44" t="str">
        <x:v>01_HERRAMIENTAS</x:v>
      </x:c>
      <x:c r="H5" s="44" t="str">
        <x:v>Se cuentan nombres no vacíos</x:v>
      </x:c>
    </x:row>
    <x:row r="6">
      <x:c r="A6" s="44" t="str">
        <x:v>2</x:v>
      </x:c>
      <x:c r="B6" s="44" t="str">
        <x:v>Revisar 03_TRL_CRL y los criterios normalizados de 11_TRL_DETALLE y 12_CRL_DETALLE.</x:v>
      </x:c>
      <x:c r="C6" s="88"/>
      <x:c r="D6" s="44" t="str">
        <x:v>Herramientas completas</x:v>
      </x:c>
      <x:c r="E6" s="64" t="n">
        <x:f>COUNTIF('01_HERRAMIENTAS'!AC5:AC250,"Completo")</x:f>
        <x:v>34</x:v>
      </x:c>
      <x:c r="F6" s="44" t="str">
        <x:v>Calidad del levantamiento</x:v>
      </x:c>
      <x:c r="G6" s="44" t="str">
        <x:v>01_HERRAMIENTAS</x:v>
      </x:c>
      <x:c r="H6" s="44" t="str">
        <x:v>Estado de registro = Completo</x:v>
      </x:c>
    </x:row>
    <x:row r="7">
      <x:c r="A7" s="44" t="str">
        <x:v>3</x:v>
      </x:c>
      <x:c r="B7" s="44" t="str">
        <x:v>Validar 02_BRECHAS y 04_EVIDENCIAS con CEDIA.</x:v>
      </x:c>
      <x:c r="C7" s="88"/>
      <x:c r="D7" s="44" t="str">
        <x:v>Brechas definidas</x:v>
      </x:c>
      <x:c r="E7" s="64" t="n">
        <x:f>COUNTA('02_BRECHAS'!C5:C250)</x:f>
        <x:v>34</x:v>
      </x:c>
      <x:c r="F7" s="44" t="str">
        <x:v>Cobertura del diagnóstico</x:v>
      </x:c>
      <x:c r="G7" s="44" t="str">
        <x:v>02_BRECHAS</x:v>
      </x:c>
      <x:c r="H7" s="44" t="str"/>
    </x:row>
    <x:row r="8">
      <x:c r="A8" s="44" t="str">
        <x:v>4</x:v>
      </x:c>
      <x:c r="B8" s="44" t="str">
        <x:v>Usar 13_CADENA_VALOR como contexto de etapa institucional.</x:v>
      </x:c>
      <x:c r="C8" s="88"/>
      <x:c r="D8" s="44" t="str">
        <x:v>Reglas construidas</x:v>
      </x:c>
      <x:c r="E8" s="64" t="n">
        <x:f>COUNTA('05_REGLAS_RUTA'!A5:A500)</x:f>
        <x:v>44</x:v>
      </x:c>
      <x:c r="F8" s="44" t="str">
        <x:v>Motor de recomendación</x:v>
      </x:c>
      <x:c r="G8" s="44" t="str">
        <x:v>05_REGLAS_RUTA</x:v>
      </x:c>
      <x:c r="H8" s="44" t="str"/>
    </x:row>
    <x:row r="9">
      <x:c r="A9" s="44" t="str">
        <x:v>5</x:v>
      </x:c>
      <x:c r="B9" s="44" t="str">
        <x:v>Revisar y validar 05_REGLAS_RUTA; no automatizarlas antes de aprobación.</x:v>
      </x:c>
      <x:c r="C9" s="88"/>
      <x:c r="D9" s="44" t="str">
        <x:v>Preguntas de diagnóstico</x:v>
      </x:c>
      <x:c r="E9" s="64" t="n">
        <x:f>COUNTA('06_PREGUNTAS'!A5:A300)</x:f>
        <x:v>35</x:v>
      </x:c>
      <x:c r="F9" s="44" t="str">
        <x:v>Formulario inteligente</x:v>
      </x:c>
      <x:c r="G9" s="44" t="str">
        <x:v>06_PREGUNTAS</x:v>
      </x:c>
      <x:c r="H9" s="44" t="str"/>
    </x:row>
    <x:row r="10">
      <x:c r="A10" s="45" t="str">
        <x:v>6</x:v>
      </x:c>
      <x:c r="B10" s="45" t="str">
        <x:v>Probar 06_PREGUNTAS y después construir dependencias y casos de prueba.</x:v>
      </x:c>
      <x:c r="C10" s="88"/>
      <x:c r="D10" s="45" t="str">
        <x:v>Casos de prueba ejecutados</x:v>
      </x:c>
      <x:c r="E10" s="65" t="n">
        <x:f>COUNTA('09_CASOS_PRUEBA'!A5:A200)</x:f>
        <x:v>56</x:v>
      </x:c>
      <x:c r="F10" s="45" t="str">
        <x:v>Validación del motor</x:v>
      </x:c>
      <x:c r="G10" s="45" t="str">
        <x:v>09_CASOS_PRUEBA</x:v>
      </x:c>
      <x:c r="H10" s="45" t="str"/>
    </x:row>
    <x:row r="11">
      <x:c r="A11" s="88"/>
      <x:c r="B11" s="88"/>
      <x:c r="C11" s="88"/>
      <x:c r="D11" s="88"/>
      <x:c r="E11" s="88"/>
      <x:c r="F11" s="88"/>
      <x:c r="G11" s="88"/>
      <x:c r="H11" s="88"/>
    </x:row>
    <x:row r="12" ht="48" customHeight="1">
      <x:c r="A12" s="75" t="str">
        <x:v>REGLAS DEL PROYECTO: CEDIA define la metodología y las rutas; la IA interpreta, guía, contextualiza y sintetiza. TRL/CRL orientan, pero no determinan solos la recomendación. Cada herramienta debe producir una evidencia o decisión. No se deben forzar asociaciones TRL/CRL cuando no exista sustento.</x:v>
      </x:c>
      <x:c r="B12" s="75" t="str">
        <x:v>REGLAS DEL PROYECTO: CEDIA define la metodología y las rutas; la IA interpreta, guía, contextualiza y sintetiza. TRL/CRL orientan, pero no determinan solos la recomendación. Cada herramienta debe producir una evidencia o decisión. No se deben forzar asociaciones TRL/CRL cuando no exista sustento.</x:v>
      </x:c>
      <x:c r="C12" s="75" t="str">
        <x:v>REGLAS DEL PROYECTO: CEDIA define la metodología y las rutas; la IA interpreta, guía, contextualiza y sintetiza. TRL/CRL orientan, pero no determinan solos la recomendación. Cada herramienta debe producir una evidencia o decisión. No se deben forzar asociaciones TRL/CRL cuando no exista sustento.</x:v>
      </x:c>
      <x:c r="D12" s="75" t="str">
        <x:v>REGLAS DEL PROYECTO: CEDIA define la metodología y las rutas; la IA interpreta, guía, contextualiza y sintetiza. TRL/CRL orientan, pero no determinan solos la recomendación. Cada herramienta debe producir una evidencia o decisión. No se deben forzar asociaciones TRL/CRL cuando no exista sustento.</x:v>
      </x:c>
      <x:c r="E12" s="75" t="str">
        <x:v>REGLAS DEL PROYECTO: CEDIA define la metodología y las rutas; la IA interpreta, guía, contextualiza y sintetiza. TRL/CRL orientan, pero no determinan solos la recomendación. Cada herramienta debe producir una evidencia o decisión. No se deben forzar asociaciones TRL/CRL cuando no exista sustento.</x:v>
      </x:c>
      <x:c r="F12" s="75" t="str">
        <x:v>REGLAS DEL PROYECTO: CEDIA define la metodología y las rutas; la IA interpreta, guía, contextualiza y sintetiza. TRL/CRL orientan, pero no determinan solos la recomendación. Cada herramienta debe producir una evidencia o decisión. No se deben forzar asociaciones TRL/CRL cuando no exista sustento.</x:v>
      </x:c>
      <x:c r="G12" s="75" t="str">
        <x:v>REGLAS DEL PROYECTO: CEDIA define la metodología y las rutas; la IA interpreta, guía, contextualiza y sintetiza. TRL/CRL orientan, pero no determinan solos la recomendación. Cada herramienta debe producir una evidencia o decisión. No se deben forzar asociaciones TRL/CRL cuando no exista sustento.</x:v>
      </x:c>
      <x:c r="H12" s="75" t="str">
        <x:v>REGLAS DEL PROYECTO: CEDIA define la metodología y las rutas; la IA interpreta, guía, contextualiza y sintetiza. TRL/CRL orientan, pero no determinan solos la recomendación. Cada herramienta debe producir una evidencia o decisión. No se deben forzar asociaciones TRL/CRL cuando no exista sustento.</x:v>
      </x:c>
    </x:row>
    <x:row r="13">
      <x:c r="A13" s="88"/>
      <x:c r="B13" s="88"/>
      <x:c r="C13" s="88"/>
      <x:c r="D13" s="88"/>
      <x:c r="E13" s="88"/>
      <x:c r="F13" s="88"/>
      <x:c r="G13" s="88"/>
      <x:c r="H13" s="88"/>
    </x:row>
    <x:row r="14" ht="34" customHeight="1">
      <x:c r="A14" s="28" t="str">
        <x:v>ESTRUCTURA FUNCIONAL DE LA APP</x:v>
      </x:c>
      <x:c r="B14" s="55" t="str">
        <x:v>ESTRUCTURA FUNCIONAL DE LA APP</x:v>
      </x:c>
      <x:c r="C14" s="55" t="str">
        <x:v>ESTRUCTURA FUNCIONAL DE LA APP</x:v>
      </x:c>
      <x:c r="D14" s="55" t="str">
        <x:v>ESTRUCTURA FUNCIONAL DE LA APP</x:v>
      </x:c>
      <x:c r="E14" s="55" t="str">
        <x:v>ESTRUCTURA FUNCIONAL DE LA APP</x:v>
      </x:c>
      <x:c r="F14" s="55" t="str">
        <x:v>ESTRUCTURA FUNCIONAL DE LA APP</x:v>
      </x:c>
      <x:c r="G14" s="55" t="str">
        <x:v>ESTRUCTURA FUNCIONAL DE LA APP</x:v>
      </x:c>
      <x:c r="H14" s="29" t="str">
        <x:v>ESTRUCTURA FUNCIONAL DE LA APP</x:v>
      </x:c>
    </x:row>
    <x:row r="15">
      <x:c r="A15" s="82" t="str">
        <x:v>Entrada</x:v>
      </x:c>
      <x:c r="B15" s="44" t="str">
        <x:v>Explorar herramientas / Avanzar mi proyecto</x:v>
      </x:c>
      <x:c r="C15" s="44" t="str"/>
      <x:c r="D15" s="44" t="str"/>
      <x:c r="E15" s="44" t="str"/>
      <x:c r="F15" s="44" t="str"/>
      <x:c r="G15" s="44" t="str"/>
      <x:c r="H15" s="44" t="str"/>
    </x:row>
    <x:row r="16">
      <x:c r="A16" s="82" t="str">
        <x:v>Diagnóstico</x:v>
      </x:c>
      <x:c r="B16" s="44" t="str">
        <x:v>Proyecto + TRL/CRL + brechas + evidencias + objetivo</x:v>
      </x:c>
      <x:c r="C16" s="44" t="str"/>
      <x:c r="D16" s="44" t="str"/>
      <x:c r="E16" s="44" t="str"/>
      <x:c r="F16" s="44" t="str"/>
      <x:c r="G16" s="44" t="str"/>
      <x:c r="H16" s="44" t="str"/>
    </x:row>
    <x:row r="17">
      <x:c r="A17" s="82" t="str">
        <x:v>Motor</x:v>
      </x:c>
      <x:c r="B17" s="44" t="str">
        <x:v>Reglas CEDIA + dependencias + compatibilidad + prioridad</x:v>
      </x:c>
      <x:c r="C17" s="44" t="str"/>
      <x:c r="D17" s="44" t="str"/>
      <x:c r="E17" s="44" t="str"/>
      <x:c r="F17" s="44" t="str"/>
      <x:c r="G17" s="44" t="str"/>
      <x:c r="H17" s="44" t="str"/>
    </x:row>
    <x:row r="18">
      <x:c r="A18" s="82" t="str">
        <x:v>Experiencia</x:v>
      </x:c>
      <x:c r="B18" s="44" t="str">
        <x:v>Ruta personalizada + ficha de herramienta + copiloto IA</x:v>
      </x:c>
      <x:c r="C18" s="44" t="str"/>
      <x:c r="D18" s="44" t="str"/>
      <x:c r="E18" s="44" t="str"/>
      <x:c r="F18" s="44" t="str"/>
      <x:c r="G18" s="44" t="str"/>
      <x:c r="H18" s="44" t="str"/>
    </x:row>
    <x:row r="19">
      <x:c r="A19" s="82" t="str">
        <x:v>Trazabilidad</x:v>
      </x:c>
      <x:c r="B19" s="44" t="str">
        <x:v>Resultado + evidencia + expediente de madurez</x:v>
      </x:c>
      <x:c r="C19" s="44" t="str"/>
      <x:c r="D19" s="44" t="str"/>
      <x:c r="E19" s="44" t="str"/>
      <x:c r="F19" s="44" t="str"/>
      <x:c r="G19" s="44" t="str"/>
      <x:c r="H19" s="44" t="str"/>
    </x:row>
    <x:row r="20">
      <x:c r="A20" s="83" t="str">
        <x:v>Gestión</x:v>
      </x:c>
      <x:c r="B20" s="45" t="str">
        <x:v>Panel CEDIA con necesidades agregadas y uso de herramientas</x:v>
      </x:c>
      <x:c r="C20" s="45" t="str"/>
      <x:c r="D20" s="45" t="str"/>
      <x:c r="E20" s="45" t="str"/>
      <x:c r="F20" s="45" t="str"/>
      <x:c r="G20" s="45" t="str"/>
      <x:c r="H20" s="45" t="str"/>
    </x:row>
    <x:row r="21">
      <x:c r="A21" s="88"/>
      <x:c r="B21" s="88"/>
      <x:c r="C21" s="88"/>
      <x:c r="D21" s="88"/>
      <x:c r="E21" s="88"/>
      <x:c r="F21" s="88"/>
      <x:c r="G21" s="88"/>
      <x:c r="H21" s="88"/>
    </x:row>
    <x:row r="22">
      <x:c r="A22" s="167" t="str">
        <x:v>ESTADO ACTUAL DEL LEVANTAMIENTO</x:v>
      </x:c>
      <x:c r="B22" s="167" t="str">
        <x:v>ESTADO ACTUAL DEL LEVANTAMIENTO</x:v>
      </x:c>
      <x:c r="C22" s="167" t="str">
        <x:v>ESTADO ACTUAL DEL LEVANTAMIENTO</x:v>
      </x:c>
      <x:c r="D22" s="167" t="str">
        <x:v>ESTADO ACTUAL DEL LEVANTAMIENTO</x:v>
      </x:c>
      <x:c r="E22" s="167" t="str">
        <x:v>ESTADO ACTUAL DEL LEVANTAMIENTO</x:v>
      </x:c>
      <x:c r="F22" s="167" t="str">
        <x:v>ESTADO ACTUAL DEL LEVANTAMIENTO</x:v>
      </x:c>
      <x:c r="G22" s="167" t="str">
        <x:v>ESTADO ACTUAL DEL LEVANTAMIENTO</x:v>
      </x:c>
      <x:c r="H22" s="167" t="str">
        <x:v>ESTADO ACTUAL DEL LEVANTAMIENTO</x:v>
      </x:c>
    </x:row>
    <x:row r="23">
      <x:c r="A23" s="136" t="str">
        <x:v>Benchmark TRL mundial</x:v>
      </x:c>
      <x:c r="B23" s="136" t="str">
        <x:v>NASA + Comisión Europea + DOE + ESA + ISO + EURAXESS</x:v>
      </x:c>
      <x:c r="C23" s="136" t="str">
        <x:v>Nuevas hojas</x:v>
      </x:c>
      <x:c r="D23" s="136" t="str">
        <x:v>22_BENCHMARK_TRL_MUNDIAL / 23_AUDITORIA_TRL_CEDIA</x:v>
      </x:c>
      <x:c r="E23" s="136" t="str">
        <x:v>Fecha auditoría</x:v>
      </x:c>
      <x:c r="F23" s="136" t="str">
        <x:v>2026-09-14</x:v>
      </x:c>
      <x:c r="G23" s="136" t="str">
        <x:v>Estado</x:v>
      </x:c>
      <x:c r="H23" s="136" t="str">
        <x:v>Integrado</x:v>
      </x:c>
    </x:row>
    <x:row r="24">
      <x:c r="A24" s="136" t="str">
        <x:v>Hallazgo principal</x:v>
      </x:c>
      <x:c r="B24" s="136" t="str">
        <x:v>La base TRL CEDIA es útil, pero algunas dimensiones mezclan madurez técnica con mercado/recursos.</x:v>
      </x:c>
      <x:c r="C24" s="136" t="str">
        <x:v>Ajuste prioritario</x:v>
      </x:c>
      <x:c r="D24" s="136" t="str">
        <x:v>Software + TRL8/9 de Tecnología/Producto</x:v>
      </x:c>
      <x:c r="E24" s="136" t="str">
        <x:v>Farmacéutico</x:v>
      </x:c>
      <x:c r="F24" s="136" t="str">
        <x:v>Alineación internacional alta</x:v>
      </x:c>
      <x:c r="G24" s="136" t="str">
        <x:v>Fuentes oficiales</x:v>
      </x:c>
      <x:c r="H24" s="136" t="str">
        <x:v>6</x:v>
      </x:c>
    </x:row>
    <x:row r="25">
      <x:c r="A25" s="136" t="str">
        <x:v>Decisión inmediata</x:v>
      </x:c>
      <x:c r="B25" s="136" t="str">
        <x:v>Separar financiamiento y PI del puntaje TRL; reforzar evidencia, entorno y criterio para subir de nivel.</x:v>
      </x:c>
      <x:c r="C25" s="136" t="str">
        <x:v>Estado técnico</x:v>
      </x:c>
      <x:c r="D25" s="136" t="str">
        <x:v>Benchmark integrado; falta recalibrar pesos/fórmula</x:v>
      </x:c>
      <x:c r="E25" s="136" t="str">
        <x:v>Regla de salida</x:v>
      </x:c>
      <x:c r="F25" s="136" t="str">
        <x:v>Nivel + evidencia + qué falta para avanzar</x:v>
      </x:c>
      <x:c r="G25" s="136" t="str">
        <x:v>TRL↔herramientas</x:v>
      </x:c>
      <x:c r="H25" s="136" t="str">
        <x:v>Solo contextual, no rígido</x:v>
      </x:c>
    </x:row>
    <x:row r="26">
      <x:c r="A26" s="44" t="str">
        <x:v>Siguiente trabajo</x:v>
      </x:c>
      <x:c r="B26" s="44" t="str">
        <x:v>Recalibrar la calculadora TRL CEDIA y luego reconectar la ruta de herramientas con la nueva salida de madurez.</x:v>
      </x:c>
      <x:c r="C26" s="44" t="str"/>
      <x:c r="D26" s="44" t="str"/>
      <x:c r="E26" s="44" t="str"/>
      <x:c r="F26" s="44" t="str"/>
      <x:c r="G26" s="44" t="str"/>
      <x:c r="H26" s="44" t="str"/>
    </x:row>
    <x:row r="27">
      <x:c r="A27" s="432" t="str">
        <x:v>Portafolio final propuesto</x:v>
      </x:c>
      <x:c r="B27" s="432" t="str">
        <x:v>34 herramientas</x:v>
      </x:c>
      <x:c r="C27" s="432" t="str">
        <x:v>Base actual</x:v>
      </x:c>
      <x:c r="D27" s="432" t="str">
        <x:v>26 herramientas CEDIA</x:v>
      </x:c>
      <x:c r="E27" s="432" t="str">
        <x:v>Nuevas propuestas</x:v>
      </x:c>
      <x:c r="F27" s="432" t="str">
        <x:v>8</x:v>
      </x:c>
      <x:c r="G27" s="432" t="str">
        <x:v>Estado</x:v>
      </x:c>
      <x:c r="H27" s="432" t="str">
        <x:v>Propuesta metodológica</x:v>
      </x:c>
    </x:row>
    <x:row r="28">
      <x:c r="A28" s="432" t="str">
        <x:v>Nuevas familias</x:v>
      </x:c>
      <x:c r="B28" s="432" t="str">
        <x:v>Validación; Maduración tecnológica; Transferencia / PI; Adopción / Comercialización</x:v>
      </x:c>
      <x:c r="C28" s="432" t="str">
        <x:v>Fuentes</x:v>
      </x:c>
      <x:c r="D28" s="432" t="str">
        <x:v>Strategyzer; U.S. DOE; WIPO</x:v>
      </x:c>
      <x:c r="E28" s="432" t="str">
        <x:v>Visual</x:v>
      </x:c>
      <x:c r="F28" s="432" t="str">
        <x:v>24_PORTAFOLIO_FINAL_PROPUESTA</x:v>
      </x:c>
      <x:c r="G28" s="432" t="str">
        <x:v>Ruta</x:v>
      </x:c>
      <x:c r="H28" s="432" t="str">
        <x:v>25_RUTA_VISUAL_PROPUESTA</x:v>
      </x:c>
    </x:row>
    <x:row r="29">
      <x:c r="A29" s="432" t="str">
        <x:v>Regla editorial</x:v>
      </x:c>
      <x:c r="B29" s="432" t="str">
        <x:v>Distinguir siempre «herramienta CEDIA actual» de «herramienta propuesta por benchmark».</x:v>
      </x:c>
      <x:c r="C29" s="432" t="str">
        <x:v>Automatización</x:v>
      </x:c>
      <x:c r="D29" s="432" t="str">
        <x:v>No automatizar nuevas reglas hasta validación/piloto.</x:v>
      </x:c>
      <x:c r="E29" s="432" t="str">
        <x:v>TRL/CRL</x:v>
      </x:c>
      <x:c r="F29" s="432" t="str">
        <x:v>Contexto, no secuencia fija.</x:v>
      </x:c>
      <x:c r="G29" s="432" t="str">
        <x:v>Motor</x:v>
      </x:c>
      <x:c r="H29" s="432" t="str">
        <x:v>Brecha → evidencia → herramienta → aprendizaje → reevaluación</x:v>
      </x:c>
    </x:row>
    <x:row r="30">
      <x:c r="A30" s="432" t="str">
        <x:v>Siguiente cierre</x:v>
      </x:c>
      <x:c r="B30" s="432" t="str">
        <x:v>Revisar la propuesta TRL/CRL final y congelar metodología v11 para alimentar la app local.</x:v>
      </x:c>
      <x:c r="C30" s="432" t="str"/>
      <x:c r="D30" s="432" t="str"/>
      <x:c r="E30" s="432" t="str"/>
      <x:c r="F30" s="432" t="str"/>
      <x:c r="G30" s="432" t="str"/>
      <x:c r="H30" s="432" t="str"/>
    </x:row>
    <x:row r="31">
      <x:c r="A31" s="574" t="str">
        <x:v>CIERRE METODOLÓGICO</x:v>
      </x:c>
      <x:c r="B31" s="574" t="str">
        <x:v>Ruta final propuesta</x:v>
      </x:c>
      <x:c r="C31" s="574" t="str">
        <x:v>Hoja</x:v>
      </x:c>
      <x:c r="D31" s="574" t="str">
        <x:v>28_RUTA_METODOLOGICA_FINAL</x:v>
      </x:c>
      <x:c r="E31" s="574" t="str">
        <x:v>IA</x:v>
      </x:c>
      <x:c r="F31" s="574" t="str">
        <x:v>29_ARQUITECTURA_IA_FINAL</x:v>
      </x:c>
      <x:c r="G31" s="574" t="str">
        <x:v>Comunicación</x:v>
      </x:c>
      <x:c r="H31" s="574" t="str">
        <x:v>30–31 + servicio real en 08</x:v>
      </x:c>
    </x:row>
    <x:row r="32">
      <x:c r="A32" s="574" t="str">
        <x:v>Salida estrella</x:v>
      </x:c>
      <x:c r="B32" s="574" t="str">
        <x:v>Pasaporte del Proyecto</x:v>
      </x:c>
      <x:c r="C32" s="574" t="str">
        <x:v>Hoja</x:v>
      </x:c>
      <x:c r="D32" s="574" t="str">
        <x:v>32_PASAPORTE_PROYECTO</x:v>
      </x:c>
      <x:c r="E32" s="574" t="str">
        <x:v>Mentoría</x:v>
      </x:c>
      <x:c r="F32" s="574" t="str">
        <x:v>Alineada a 4 fases + rutas A/B/C</x:v>
      </x:c>
      <x:c r="G32" s="574" t="str">
        <x:v>Portafolio</x:v>
      </x:c>
      <x:c r="H32" s="574" t="str">
        <x:v>34 herramientas</x:v>
      </x:c>
    </x:row>
    <x:row r="33">
      <x:c r="A33" s="574" t="str">
        <x:v>Regla final</x:v>
      </x:c>
      <x:c r="B33" s="574" t="str">
        <x:v>La IA interpreta; el motor metodológico decide. Brecha + evidencia + prerrequisitos + objetivo. TRL/CRL contextualizan.</x:v>
      </x:c>
      <x:c r="C33" s="574" t="str"/>
      <x:c r="D33" s="574" t="str"/>
      <x:c r="E33" s="574" t="str"/>
      <x:c r="F33" s="574" t="str"/>
      <x:c r="G33" s="574" t="str"/>
      <x:c r="H33" s="574" t="str"/>
    </x:row>
    <x:row r="34">
      <x:c r="A34" s="574" t="str">
        <x:v>Estado</x:v>
      </x:c>
      <x:c r="B34" s="574" t="str">
        <x:v>Metodología lista para congelar como propuesta v12; siguiente implementación: actualizar app local y probar casos reales.</x:v>
      </x:c>
      <x:c r="C34" s="574" t="str"/>
      <x:c r="D34" s="574" t="str"/>
      <x:c r="E34" s="574" t="str"/>
      <x:c r="F34" s="574" t="str"/>
      <x:c r="G34" s="574" t="str"/>
      <x:c r="H34" s="574" t="str"/>
    </x:row>
  </x:sheetData>
  <x:mergeCells>
    <x:mergeCell ref="A1:H1"/>
    <x:mergeCell ref="A2:H2"/>
    <x:mergeCell ref="A12:H12"/>
    <x:mergeCell ref="A22:H22"/>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30" hidden="0" customWidth="1"/>
    <x:col min="3" max="3" width="18" hidden="0" customWidth="1"/>
    <x:col min="4" max="4" width="28" hidden="0" customWidth="1"/>
    <x:col min="5" max="5" width="28" hidden="0" customWidth="1"/>
    <x:col min="6" max="6" width="30" hidden="0" customWidth="1"/>
    <x:col min="7" max="7" width="28" hidden="0" customWidth="1"/>
    <x:col min="8" max="8" width="26" hidden="0" customWidth="1"/>
    <x:col min="9" max="9" width="30" hidden="0" customWidth="1"/>
    <x:col min="10" max="10" width="35" hidden="0" customWidth="1"/>
    <x:col min="11" max="11" width="28" hidden="0" customWidth="1"/>
    <x:col min="12" max="12" width="28" hidden="0" customWidth="1"/>
    <x:col min="13" max="13" width="30" hidden="0" customWidth="1"/>
    <x:col min="14" max="14" width="18" hidden="0" customWidth="1"/>
    <x:col min="15" max="15" width="16" hidden="0" customWidth="1"/>
    <x:col min="16" max="16" width="10" hidden="0" customWidth="1"/>
    <x:col min="17" max="17" width="10" hidden="0" customWidth="1"/>
    <x:col min="18" max="18" width="16" hidden="0" customWidth="1"/>
    <x:col min="19" max="19" width="10" hidden="0" customWidth="1"/>
    <x:col min="20" max="20" width="10" hidden="0" customWidth="1"/>
    <x:col min="21" max="21" width="14" hidden="0" customWidth="1"/>
    <x:col min="22" max="22" width="12" hidden="0" customWidth="1"/>
    <x:col min="23" max="23" width="20" hidden="0" customWidth="1"/>
    <x:col min="24" max="24" width="28" hidden="0" customWidth="1"/>
    <x:col min="25" max="25" width="28" hidden="0" customWidth="1"/>
    <x:col min="26" max="26" width="20" hidden="0" customWidth="1"/>
    <x:col min="27" max="27" width="30" hidden="0" customWidth="1"/>
    <x:col min="28" max="28" width="13" hidden="0" customWidth="1"/>
    <x:col min="29" max="29" width="16" hidden="0" customWidth="1"/>
    <x:col min="30" max="30" width="22" hidden="0" customWidth="1"/>
    <x:col min="31" max="31" width="28" hidden="0" customWidth="1"/>
    <x:col min="32" max="32" width="30" hidden="0" customWidth="1"/>
    <x:col min="33" max="33" width="18" hidden="0" customWidth="1"/>
    <x:col min="34" max="34" width="30" hidden="0" customWidth="1"/>
    <x:col min="35" max="35" width="24" hidden="0" customWidth="1"/>
    <x:col min="36" max="36" width="42" hidden="0" customWidth="1"/>
    <x:col min="37" max="37" width="34" hidden="0" customWidth="1"/>
    <x:col min="38" max="38" width="48" hidden="0" customWidth="1"/>
    <x:col min="39" max="39" width="48" hidden="0" customWidth="1"/>
    <x:col min="40" max="40" width="38" hidden="0" customWidth="1"/>
    <x:col min="41" max="41" width="30" hidden="0" customWidth="1"/>
    <x:col min="42" max="42" width="26" hidden="0" customWidth="1"/>
    <x:col min="43" max="43" width="42" hidden="0" customWidth="1"/>
    <x:col min="44" max="44" width="22" hidden="0" customWidth="1"/>
    <x:col min="45" max="45" width="14" hidden="0" customWidth="1"/>
  </x:cols>
  <x:sheetData>
    <x:row r="1" ht="28" customHeight="1">
      <x:c r="A1" s="6" t="str">
        <x:v>01 — CATÁLOGO MAESTRO DE HERRAMIENTAS</x:v>
      </x:c>
      <x:c r="B1" s="6" t="str">
        <x:v>01 — CATÁLOGO MAESTRO DE HERRAMIENTAS</x:v>
      </x:c>
      <x:c r="C1" s="6" t="str">
        <x:v>01 — CATÁLOGO MAESTRO DE HERRAMIENTAS</x:v>
      </x:c>
      <x:c r="D1" s="6" t="str">
        <x:v>01 — CATÁLOGO MAESTRO DE HERRAMIENTAS</x:v>
      </x:c>
      <x:c r="E1" s="6" t="str">
        <x:v>01 — CATÁLOGO MAESTRO DE HERRAMIENTAS</x:v>
      </x:c>
      <x:c r="F1" s="6" t="str">
        <x:v>01 — CATÁLOGO MAESTRO DE HERRAMIENTAS</x:v>
      </x:c>
      <x:c r="G1" s="6" t="str">
        <x:v>01 — CATÁLOGO MAESTRO DE HERRAMIENTAS</x:v>
      </x:c>
      <x:c r="H1" s="6" t="str">
        <x:v>01 — CATÁLOGO MAESTRO DE HERRAMIENTAS</x:v>
      </x:c>
      <x:c r="I1" s="6" t="str">
        <x:v>01 — CATÁLOGO MAESTRO DE HERRAMIENTAS</x:v>
      </x:c>
      <x:c r="J1" s="6" t="str">
        <x:v>01 — CATÁLOGO MAESTRO DE HERRAMIENTAS</x:v>
      </x:c>
      <x:c r="K1" s="6" t="str">
        <x:v>01 — CATÁLOGO MAESTRO DE HERRAMIENTAS</x:v>
      </x:c>
      <x:c r="L1" s="6" t="str">
        <x:v>01 — CATÁLOGO MAESTRO DE HERRAMIENTAS</x:v>
      </x:c>
      <x:c r="M1" s="6" t="str">
        <x:v>01 — CATÁLOGO MAESTRO DE HERRAMIENTAS</x:v>
      </x:c>
      <x:c r="N1" s="6" t="str">
        <x:v>01 — CATÁLOGO MAESTRO DE HERRAMIENTAS</x:v>
      </x:c>
      <x:c r="O1" s="6" t="str">
        <x:v>01 — CATÁLOGO MAESTRO DE HERRAMIENTAS</x:v>
      </x:c>
      <x:c r="P1" s="6" t="str">
        <x:v>01 — CATÁLOGO MAESTRO DE HERRAMIENTAS</x:v>
      </x:c>
      <x:c r="Q1" s="6" t="str">
        <x:v>01 — CATÁLOGO MAESTRO DE HERRAMIENTAS</x:v>
      </x:c>
      <x:c r="R1" s="6" t="str">
        <x:v>01 — CATÁLOGO MAESTRO DE HERRAMIENTAS</x:v>
      </x:c>
      <x:c r="S1" s="6" t="str">
        <x:v>01 — CATÁLOGO MAESTRO DE HERRAMIENTAS</x:v>
      </x:c>
      <x:c r="T1" s="6" t="str">
        <x:v>01 — CATÁLOGO MAESTRO DE HERRAMIENTAS</x:v>
      </x:c>
      <x:c r="U1" s="6" t="str">
        <x:v>01 — CATÁLOGO MAESTRO DE HERRAMIENTAS</x:v>
      </x:c>
      <x:c r="V1" s="6" t="str">
        <x:v>01 — CATÁLOGO MAESTRO DE HERRAMIENTAS</x:v>
      </x:c>
      <x:c r="W1" s="6" t="str">
        <x:v>01 — CATÁLOGO MAESTRO DE HERRAMIENTAS</x:v>
      </x:c>
      <x:c r="X1" s="6" t="str">
        <x:v>01 — CATÁLOGO MAESTRO DE HERRAMIENTAS</x:v>
      </x:c>
      <x:c r="Y1" s="6" t="str">
        <x:v>01 — CATÁLOGO MAESTRO DE HERRAMIENTAS</x:v>
      </x:c>
      <x:c r="Z1" s="6" t="str">
        <x:v>01 — CATÁLOGO MAESTRO DE HERRAMIENTAS</x:v>
      </x:c>
      <x:c r="AA1" s="6" t="str">
        <x:v>01 — CATÁLOGO MAESTRO DE HERRAMIENTAS</x:v>
      </x:c>
      <x:c r="AB1" s="6" t="str">
        <x:v>01 — CATÁLOGO MAESTRO DE HERRAMIENTAS</x:v>
      </x:c>
      <x:c r="AC1" s="6" t="str">
        <x:v>01 — CATÁLOGO MAESTRO DE HERRAMIENTAS</x:v>
      </x:c>
    </x:row>
    <x:row r="2" ht="52" customHeight="1">
      <x:c r="A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B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C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D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E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F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G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H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I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J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K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L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M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N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O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P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Q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R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S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T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U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V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W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X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Y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Z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A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B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C2" s="425"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D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E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F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G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H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I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J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K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L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M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N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O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P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Q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R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c r="AS2" s="427" t="str">
        <x:v>Una fila = una herramienta. Las filas amarillas (VAL/MAD/TRA/ADO) son 8 incorporaciones propuestas a partir de benchmark internacional y NO forman parte del inventario CEDIA original. La propuesta final queda en 34 herramientas: 26 actuales + 8 nuevas. La recomendación se activa por brecha + evidencia + prerrequisitos, no por TRL fijo.</x:v>
      </x:c>
    </x:row>
    <x:row r="4" ht="34" customHeight="1">
      <x:c r="A4" s="28" t="str">
        <x:v>ID_HERRAMIENTA</x:v>
      </x:c>
      <x:c r="B4" s="55" t="str">
        <x:v>NOMBRE</x:v>
      </x:c>
      <x:c r="C4" s="55" t="str">
        <x:v>FAMILIA</x:v>
      </x:c>
      <x:c r="D4" s="55" t="str">
        <x:v>DESCRIPCION_CORTA</x:v>
      </x:c>
      <x:c r="E4" s="55" t="str">
        <x:v>PROPOSITO</x:v>
      </x:c>
      <x:c r="F4" s="55" t="str">
        <x:v>PROBLEMA_QUE_RESUELVE</x:v>
      </x:c>
      <x:c r="G4" s="55" t="str">
        <x:v>CUANDO_USAR</x:v>
      </x:c>
      <x:c r="H4" s="55" t="str">
        <x:v>CUANDO_NO_USAR</x:v>
      </x:c>
      <x:c r="I4" s="55" t="str">
        <x:v>ENTRADAS_PRERREQUISITOS</x:v>
      </x:c>
      <x:c r="J4" s="55" t="str">
        <x:v>PASOS_CLAVE</x:v>
      </x:c>
      <x:c r="K4" s="55" t="str">
        <x:v>SALIDA_RESULTADO</x:v>
      </x:c>
      <x:c r="L4" s="55" t="str">
        <x:v>EVIDENCIA_GENERADA</x:v>
      </x:c>
      <x:c r="M4" s="55" t="str">
        <x:v>CRITERIO_FINALIZACION</x:v>
      </x:c>
      <x:c r="N4" s="55" t="str">
        <x:v>TIPO_PROYECTO</x:v>
      </x:c>
      <x:c r="O4" s="55" t="str">
        <x:v>RELACION_TRL</x:v>
      </x:c>
      <x:c r="P4" s="55" t="str">
        <x:v>TRL_MIN</x:v>
      </x:c>
      <x:c r="Q4" s="55" t="str">
        <x:v>TRL_MAX</x:v>
      </x:c>
      <x:c r="R4" s="55" t="str">
        <x:v>RELACION_CRL</x:v>
      </x:c>
      <x:c r="S4" s="55" t="str">
        <x:v>CRL_MIN</x:v>
      </x:c>
      <x:c r="T4" s="55" t="str">
        <x:v>CRL_MAX</x:v>
      </x:c>
      <x:c r="U4" s="55" t="str">
        <x:v>DURACION_ESTIMADA_MIN</x:v>
      </x:c>
      <x:c r="V4" s="55" t="str">
        <x:v>DIFICULTAD</x:v>
      </x:c>
      <x:c r="W4" s="55" t="str">
        <x:v>MODALIDAD_RECOMENDADA</x:v>
      </x:c>
      <x:c r="X4" s="55" t="str">
        <x:v>FUENTE_DOCUMENTO</x:v>
      </x:c>
      <x:c r="Y4" s="55" t="str">
        <x:v>URL_FUENTE</x:v>
      </x:c>
      <x:c r="Z4" s="55" t="str">
        <x:v>ESTADO_VALIDACION</x:v>
      </x:c>
      <x:c r="AA4" s="55" t="str">
        <x:v>NOTAS_POR_VALIDAR</x:v>
      </x:c>
      <x:c r="AB4" s="55" t="str">
        <x:v>COMPLETITUD_%</x:v>
      </x:c>
      <x:c r="AC4" s="29" t="str">
        <x:v>ESTADO_REGISTRO</x:v>
      </x:c>
      <x:c r="AD4" s="129" t="str">
        <x:v>ETAPA_CADENA_CEDIA</x:v>
      </x:c>
      <x:c r="AE4" s="130" t="str">
        <x:v>DIMENSION_TRL_RELACIONADA</x:v>
      </x:c>
      <x:c r="AF4" s="130" t="str">
        <x:v>DIMENSION_CRL_RELACIONADA</x:v>
      </x:c>
      <x:c r="AG4" s="130" t="str">
        <x:v>TIPO_RELACION</x:v>
      </x:c>
      <x:c r="AH4" s="130" t="str">
        <x:v>ORIGEN_DEL_DATO</x:v>
      </x:c>
      <x:c r="AI4" s="130" t="str">
        <x:v>NIVEL_DE_SUSTENTO</x:v>
      </x:c>
      <x:c r="AJ4" s="131" t="str">
        <x:v>JUSTIFICACION_CLASIFICACION</x:v>
      </x:c>
      <x:c r="AK4" s="189" t="str">
        <x:v>FUENTE_EXTERNA_PRINCIPAL</x:v>
      </x:c>
      <x:c r="AL4" s="189" t="str">
        <x:v>URL_FUENTE_EXTERNA</x:v>
      </x:c>
      <x:c r="AM4" s="189" t="str">
        <x:v>HALLAZGO_EXTERNO_VERIFICADO</x:v>
      </x:c>
      <x:c r="AN4" s="189" t="str">
        <x:v>BASE_DEL_CUANDO_NO_USAR</x:v>
      </x:c>
      <x:c r="AO4" s="189" t="str">
        <x:v>DURACION_REFERENCIAL_EXTERNA</x:v>
      </x:c>
      <x:c r="AP4" s="189" t="str">
        <x:v>DIFICULTAD_REFERENCIAL_EXTERNA</x:v>
      </x:c>
      <x:c r="AQ4" s="189" t="str">
        <x:v>DECISION_PARA_APP</x:v>
      </x:c>
      <x:c r="AR4" s="189" t="str">
        <x:v>ESTADO_VERIFICACION_EXTERNA</x:v>
      </x:c>
      <x:c r="AS4" s="189" t="str">
        <x:v>FECHA_CONSULTA</x:v>
      </x:c>
    </x:row>
    <x:row r="5">
      <x:c r="A5" s="104" t="str">
        <x:v>IDE-001</x:v>
      </x:c>
      <x:c r="B5" s="104" t="str">
        <x:v>Árbol de Problemas</x:v>
      </x:c>
      <x:c r="C5" s="104" t="str">
        <x:v>Ideación</x:v>
      </x:c>
      <x:c r="D5" s="108" t="str">
        <x:v>Representa de forma estructurada una problemática central, sus causas y sus efectos.</x:v>
      </x:c>
      <x:c r="E5" s="108" t="str">
        <x:v>Investigar y analizar los elementos que influyen en una problemática, identificando y organizando causas y consecuencias.</x:v>
      </x:c>
      <x:c r="F5" s="108" t="str">
        <x:v>Comprensión insuficiente de una problemática y de las relaciones entre sus causas y efectos.</x:v>
      </x:c>
      <x:c r="G5" s="108" t="str">
        <x:v>Cuando se necesita estructurar una problemática central y visualizar causas y consecuencias relacionadas.</x:v>
      </x:c>
      <x:c r="H5" s="108" t="str">
        <x:v>No usar para dar por demostrada una causa ni para escoger por sí solo la solución final. El árbol organiza relaciones causa–efecto; las causas deben contrastarse después con evidencia.</x:v>
      </x:c>
      <x:c r="I5" s="108" t="str">
        <x:v>Una problemática o situación que se desea analizar.</x:v>
      </x:c>
      <x:c r="J5" s="108" t="str">
        <x:v>1) Definir el problema central. 2) Identificar causas. 3) Identificar efectos. 4) Organizar y conectar los elementos; pueden existir causas y efectos de segundo orden.</x:v>
      </x:c>
      <x:c r="K5" s="108" t="str">
        <x:v>Árbol estructurado con problema central, causas y efectos relacionados.</x:v>
      </x:c>
      <x:c r="L5" s="108" t="str">
        <x:v>Árbol de Problemas completado.</x:v>
      </x:c>
      <x:c r="M5" s="108" t="str">
        <x:v>Existe una única problemática central claramente definida y se han organizado causas y efectos relacionados.</x:v>
      </x:c>
      <x:c r="N5" s="44" t="str">
        <x:v>Cualquiera</x:v>
      </x:c>
      <x:c r="O5" s="44" t="str">
        <x:v>Por validar</x:v>
      </x:c>
      <x:c r="P5" s="44"/>
      <x:c r="Q5" s="44"/>
      <x:c r="R5" s="44" t="str">
        <x:v>Por validar</x:v>
      </x:c>
      <x:c r="S5" s="44"/>
      <x:c r="T5" s="44"/>
      <x:c r="U5" s="44"/>
      <x:c r="V5" s="44" t="str">
        <x:v>Por validar</x:v>
      </x:c>
      <x:c r="W5" s="44" t="str">
        <x:v>Por validar</x:v>
      </x:c>
      <x:c r="X5" s="112" t="str">
        <x:v>IDEACIÓN - ÁRBOL DE PROBLEMAS.pdf</x:v>
      </x:c>
      <x:c r="Y5" s="112"/>
      <x:c r="Z5" s="112" t="str">
        <x:v>Preliminar</x:v>
      </x:c>
      <x:c r="AA5" s="112" t="str">
        <x:v>Validar con CEDIA la relación TRL/CRL, cadena de valor, modalidad, dificultad y reglas de recomendación.</x:v>
      </x:c>
      <x:c r="AB5" s="96" t="n">
        <x:f>IF(B5="","",COUNTA(D5:M5)/10)</x:f>
        <x:v>1</x:v>
      </x:c>
      <x:c r="AC5" s="44" t="str">
        <x:f>IF(B5="","",IF(AB5=1,"Completo",IF(AB5&gt;=0.6,"En desarrollo","Pendiente")))</x:f>
        <x:v>Completo</x:v>
      </x:c>
      <x:c r="AD5" s="136" t="str">
        <x:v>Por validar</x:v>
      </x:c>
      <x:c r="AE5" s="136" t="str">
        <x:v>Por validar</x:v>
      </x:c>
      <x:c r="AF5" s="136" t="str">
        <x:v>Por validar</x:v>
      </x:c>
      <x:c r="AG5" s="136" t="str">
        <x:v>Por validar</x:v>
      </x:c>
      <x:c r="AH5" s="138" t="str">
        <x:v>Documento CEDIA + inferencia sustentada</x:v>
      </x:c>
      <x:c r="AI5" s="138" t="str">
        <x:v>Mixto (directo + inferido)</x:v>
      </x:c>
      <x:c r="AJ5" s="138" t="str">
        <x:v>La finalidad y estructura problema–causas–efectos están explícitas en el documento; la brecha y el criterio de cierre son una inferencia sustentada.</x:v>
      </x:c>
      <x:c r="AK5" s="193" t="str">
        <x:v>FAO — Participatory Rural Communication Appraisal, Problem Tree</x:v>
      </x:c>
      <x:c r="AL5" s="193" t="str">
        <x:v>https://www.fao.org/4/y5793e/y5793e04.htm</x:v>
      </x:c>
      <x:c r="AM5" s="193" t="str">
        <x:v>La FAO define el árbol de problemas como una herramienta visual para especificar e investigar causas y efectos de un problema; las causas identificadas sirven después como base para formular soluciones.</x:v>
      </x:c>
      <x:c r="AN5" s="193" t="str">
        <x:v>Limitación inferida del alcance de la herramienta: análisis causal, no validación empírica ni selección de solución.</x:v>
      </x:c>
      <x:c r="AO5" s="193" t="str">
        <x:v>No estandarizada en la fuente consultada.</x:v>
      </x:c>
      <x:c r="AP5" s="193" t="str">
        <x:v>Por validar CEDIA</x:v>
      </x:c>
      <x:c r="AQ5" s="193" t="str">
        <x:v>Usar para estructurar el problema; exigir evidencia adicional antes de marcar una causa como validada.</x:v>
      </x:c>
      <x:c r="AR5" s="193" t="str">
        <x:v>Verificado externamente</x:v>
      </x:c>
      <x:c r="AS5" s="193" t="str">
        <x:v>2026-09-10</x:v>
      </x:c>
    </x:row>
    <x:row r="6">
      <x:c r="A6" s="104" t="str">
        <x:v>IDE-002</x:v>
      </x:c>
      <x:c r="B6" s="104" t="str">
        <x:v>Brainstorming</x:v>
      </x:c>
      <x:c r="C6" s="104" t="str">
        <x:v>Ideación</x:v>
      </x:c>
      <x:c r="D6" s="108" t="str">
        <x:v>Técnica colectiva para generar numerosas ideas a partir de un problema o tema.</x:v>
      </x:c>
      <x:c r="E6" s="108" t="str">
        <x:v>Generar ideas de manera sencilla aprovechando el pensamiento colectivo.</x:v>
      </x:c>
      <x:c r="F6" s="108" t="str">
        <x:v>Cantidad o diversidad insuficiente de alternativas e ideas frente a un problema.</x:v>
      </x:c>
      <x:c r="G6" s="108" t="str">
        <x:v>Cuando se requiere ampliar el abanico de ideas y construir propuestas a partir de aportes de varias personas.</x:v>
      </x:c>
      <x:c r="H6" s="108" t="str">
        <x:v>No usar para evaluar o seleccionar la mejor idea ni cuando no existe una pregunta o reto concreto. Brainstorming es una técnica divergente para generar muchas alternativas antes de converger.</x:v>
      </x:c>
      <x:c r="I6" s="108" t="str">
        <x:v>Un problema o tema claramente planteado y un grupo de participantes.</x:v>
      </x:c>
      <x:c r="J6" s="108" t="str">
        <x:v>Evitar juicios; aceptar ideas inusuales; construir sobre ideas de otros; mantener foco; usar imágenes; hablar de uno en uno; buscar cantidad; posteriormente seleccionar ideas relevantes.</x:v>
      </x:c>
      <x:c r="K6" s="108" t="str">
        <x:v>Conjunto amplio de ideas para análisis y selección posterior.</x:v>
      </x:c>
      <x:c r="L6" s="108" t="str">
        <x:v>Registro de ideas generadas y selección/priorización posterior.</x:v>
      </x:c>
      <x:c r="M6" s="108" t="str">
        <x:v>Se ha generado un conjunto suficiente de ideas y existe una selección de las más relevantes para continuar.</x:v>
      </x:c>
      <x:c r="N6" s="44" t="str">
        <x:v>Cualquiera</x:v>
      </x:c>
      <x:c r="O6" s="44" t="str">
        <x:v>Por validar</x:v>
      </x:c>
      <x:c r="P6" s="44"/>
      <x:c r="Q6" s="44"/>
      <x:c r="R6" s="44" t="str">
        <x:v>Por validar</x:v>
      </x:c>
      <x:c r="S6" s="44"/>
      <x:c r="T6" s="44"/>
      <x:c r="U6" s="44"/>
      <x:c r="V6" s="44" t="str">
        <x:v>Medio</x:v>
      </x:c>
      <x:c r="W6" s="44" t="str">
        <x:v>Por validar</x:v>
      </x:c>
      <x:c r="X6" s="112" t="str">
        <x:v>IDEACIÓN - Brainstorming.pdf</x:v>
      </x:c>
      <x:c r="Y6" s="112"/>
      <x:c r="Z6" s="112" t="str">
        <x:v>Preliminar</x:v>
      </x:c>
      <x:c r="AA6" s="112" t="str">
        <x:v>Validar con CEDIA la relación TRL/CRL, cadena de valor, modalidad, dificultad y reglas de recomendación.</x:v>
      </x:c>
      <x:c r="AB6" s="96" t="n">
        <x:f>IF(B6="","",COUNTA(D6:M6)/10)</x:f>
        <x:v>1</x:v>
      </x:c>
      <x:c r="AC6" s="44" t="str">
        <x:f>IF(B6="","",IF(AB6=1,"Completo",IF(AB6&gt;=0.6,"En desarrollo","Pendiente")))</x:f>
        <x:v>Completo</x:v>
      </x:c>
      <x:c r="AD6" s="136" t="str">
        <x:v>Por validar</x:v>
      </x:c>
      <x:c r="AE6" s="136" t="str">
        <x:v>Por validar</x:v>
      </x:c>
      <x:c r="AF6" s="136" t="str">
        <x:v>Por validar</x:v>
      </x:c>
      <x:c r="AG6" s="136" t="str">
        <x:v>Por validar</x:v>
      </x:c>
      <x:c r="AH6" s="138" t="str">
        <x:v>Documento CEDIA + inferencia sustentada</x:v>
      </x:c>
      <x:c r="AI6" s="138" t="str">
        <x:v>Mixto (directo + inferido)</x:v>
      </x:c>
      <x:c r="AJ6" s="138" t="str">
        <x:v>El objetivo, reglas y necesidad de seleccionar ideas aparecen en el documento; brecha y criterio de cierre son inferencias sustentadas.</x:v>
      </x:c>
      <x:c r="AK6" s="193" t="str">
        <x:v>IDEO.org Design Kit — Brainstorm</x:v>
      </x:c>
      <x:c r="AL6" s="193" t="str">
        <x:v>https://www.designkit.org/methods/1.html</x:v>
      </x:c>
      <x:c r="AM6" s="193" t="str">
        <x:v>IDEO describe Brainstorm como una técnica para generar gran cantidad de ideas, priorizando apertura, creatividad y cantidad sobre factibilidad inmediata.</x:v>
      </x:c>
      <x:c r="AN6" s="193" t="str">
        <x:v>Directo + inferencia: la fuente lo ubica en generación divergente, por lo que no sustituye la evaluación posterior.</x:v>
      </x:c>
      <x:c r="AO6" s="193" t="str">
        <x:v>30–60 min (IDEO.org).</x:v>
      </x:c>
      <x:c r="AP6" s="193" t="str">
        <x:v>Medio</x:v>
      </x:c>
      <x:c r="AQ6" s="193" t="str">
        <x:v>Activar cuando exista un reto/pregunta definido; al terminar, enviar a una herramienta de agrupación o priorización.</x:v>
      </x:c>
      <x:c r="AR6" s="193" t="str">
        <x:v>Verificado externamente</x:v>
      </x:c>
      <x:c r="AS6" s="193" t="str">
        <x:v>2026-09-10</x:v>
      </x:c>
    </x:row>
    <x:row r="7">
      <x:c r="A7" s="104" t="str">
        <x:v>IDE-003</x:v>
      </x:c>
      <x:c r="B7" s="104" t="str">
        <x:v>Brief de investigación</x:v>
      </x:c>
      <x:c r="C7" s="104" t="str">
        <x:v>Ideación</x:v>
      </x:c>
      <x:c r="D7" s="108" t="str">
        <x:v>Estructura un plan de investigación para recopilar información y validar hipótesis.</x:v>
      </x:c>
      <x:c r="E7" s="108" t="str">
        <x:v>Recopilar datos clave para la organización mediante un plan de investigación estructurado.</x:v>
      </x:c>
      <x:c r="F7" s="108" t="str">
        <x:v>Investigación inicial no estructurada o sin claridad sobre información, público, hipótesis y método de recolección.</x:v>
      </x:c>
      <x:c r="G7" s="108" t="str">
        <x:v>En etapas iniciales del proyecto, cuando se necesita recopilar datos, identificar futuros clientes y definir cómo validar hipótesis.</x:v>
      </x:c>
      <x:c r="H7" s="108" t="str">
        <x:v>No usar como sustituto de la investigación ni comenzar a recolectar datos si todavía no están claros los objetivos, participantes y método. El brief/plan organiza la investigación; no produce por sí mismo evidencia de usuarios.</x:v>
      </x:c>
      <x:c r="I7" s="108" t="str">
        <x:v>Descripción inicial del producto/servicio, antecedentes, decisiones o preguntas que se desean resolver.</x:v>
      </x:c>
      <x:c r="J7" s="108" t="str">
        <x:v>Definir antecedentes; objetivo general; información específica; público objetivo; hipótesis; necesidades de análisis; metodología y recolección.</x:v>
      </x:c>
      <x:c r="K7" s="108" t="str">
        <x:v>Brief de investigación con objetivos, preguntas, público, hipótesis, análisis esperado y metodología.</x:v>
      </x:c>
      <x:c r="L7" s="108" t="str">
        <x:v>Brief de Investigación completado.</x:v>
      </x:c>
      <x:c r="M7" s="108" t="str">
        <x:v>El brief contiene antecedentes, objetivo, información buscada, público, hipótesis, plan de análisis y metodología.</x:v>
      </x:c>
      <x:c r="N7" s="44" t="str">
        <x:v>Cualquiera</x:v>
      </x:c>
      <x:c r="O7" s="44" t="str">
        <x:v>Por validar</x:v>
      </x:c>
      <x:c r="P7" s="44"/>
      <x:c r="Q7" s="44"/>
      <x:c r="R7" s="44" t="str">
        <x:v>Por validar</x:v>
      </x:c>
      <x:c r="S7" s="44"/>
      <x:c r="T7" s="44"/>
      <x:c r="U7" s="44"/>
      <x:c r="V7" s="44" t="str">
        <x:v>Por validar</x:v>
      </x:c>
      <x:c r="W7" s="44" t="str">
        <x:v>Por validar</x:v>
      </x:c>
      <x:c r="X7" s="112" t="str">
        <x:v>IDEACIÓN - Brief de investigación.pdf</x:v>
      </x:c>
      <x:c r="Y7" s="112"/>
      <x:c r="Z7" s="112" t="str">
        <x:v>Preliminar</x:v>
      </x:c>
      <x:c r="AA7" s="112" t="str">
        <x:v>Validar con CEDIA la relación TRL/CRL, cadena de valor, modalidad, dificultad y reglas de recomendación.</x:v>
      </x:c>
      <x:c r="AB7" s="96" t="n">
        <x:f>IF(B7="","",COUNTA(D7:M7)/10)</x:f>
        <x:v>1</x:v>
      </x:c>
      <x:c r="AC7" s="44" t="str">
        <x:f>IF(B7="","",IF(AB7=1,"Completo",IF(AB7&gt;=0.6,"En desarrollo","Pendiente")))</x:f>
        <x:v>Completo</x:v>
      </x:c>
      <x:c r="AD7" s="136" t="str">
        <x:v>Por validar</x:v>
      </x:c>
      <x:c r="AE7" s="136" t="str">
        <x:v>Por validar</x:v>
      </x:c>
      <x:c r="AF7" s="136" t="str">
        <x:v>Por validar</x:v>
      </x:c>
      <x:c r="AG7" s="136" t="str">
        <x:v>Por validar</x:v>
      </x:c>
      <x:c r="AH7" s="138" t="str">
        <x:v>Documento CEDIA + inferencia sustentada</x:v>
      </x:c>
      <x:c r="AI7" s="138" t="str">
        <x:v>Mixto (directo + inferido)</x:v>
      </x:c>
      <x:c r="AJ7" s="138" t="str">
        <x:v>Los componentes y el momento de uso están explícitos en el documento; la brecha y el criterio se derivan directamente de esos componentes.</x:v>
      </x:c>
      <x:c r="AK7" s="193" t="str">
        <x:v>Nielsen Norman Group — Research Plans: Organize, Document, Inform</x:v>
      </x:c>
      <x:c r="AL7" s="193" t="str">
        <x:v>https://www.nngroup.com/articles/pm-research-plan/</x:v>
      </x:c>
      <x:c r="AM7" s="193" t="str">
        <x:v>NN/g indica que todo estudio debe iniciar con un plan que documente objetivos, participantes, método, procedimiento y logística.</x:v>
      </x:c>
      <x:c r="AN7" s="193" t="str">
        <x:v>Directo + inferencia: un plan de investigación estructura el estudio, pero no reemplaza su ejecución.</x:v>
      </x:c>
      <x:c r="AO7" s="193" t="str">
        <x:v>Depende del alcance del estudio; no existe un tiempo único.</x:v>
      </x:c>
      <x:c r="AP7" s="193" t="str">
        <x:v>Por validar CEDIA</x:v>
      </x:c>
      <x:c r="AQ7" s="193" t="str">
        <x:v>No marcar hipótesis como validadas al completar el brief; solo registrar que el plan de investigación está listo.</x:v>
      </x:c>
      <x:c r="AR7" s="193" t="str">
        <x:v>Verificado externamente</x:v>
      </x:c>
      <x:c r="AS7" s="193" t="str">
        <x:v>2026-09-10</x:v>
      </x:c>
    </x:row>
    <x:row r="8">
      <x:c r="A8" s="104" t="str">
        <x:v>IDE-004</x:v>
      </x:c>
      <x:c r="B8" s="104" t="str">
        <x:v>Componentes de Preguntas Poderosas</x:v>
      </x:c>
      <x:c r="C8" s="104" t="str">
        <x:v>Ideación</x:v>
      </x:c>
      <x:c r="D8" s="108" t="str">
        <x:v>Guía para formular preguntas que generen información de valor y mayor claridad.</x:v>
      </x:c>
      <x:c r="E8" s="108" t="str">
        <x:v>Diseñar preguntas efectivas para captar información valiosa de los usuarios.</x:v>
      </x:c>
      <x:c r="F8" s="108" t="str">
        <x:v>Preguntas vagas, cerradas o poco útiles para comprender hechos, contexto y necesidades.</x:v>
      </x:c>
      <x:c r="G8" s="108" t="str">
        <x:v>Cuando se necesita mejorar la calidad de las preguntas utilizadas para explorar una situación o interactuar con usuarios.</x:v>
      </x:c>
      <x:c r="H8" s="108" t="str">
        <x:v>No usar preguntas aisladas sin un objetivo de investigación claro ni para forzar una respuesta esperada. Las preguntas deben responder a lo que se necesita aprender y al método elegido.</x:v>
      </x:c>
      <x:c r="I8" s="108" t="str">
        <x:v>Tema o situación sobre la cual se requiere obtener información.</x:v>
      </x:c>
      <x:c r="J8" s="108" t="str">
        <x:v>1) Formular interrogantes básicas (qué, quién, cómo, dónde, cuándo). 2) Ajustar y extender la pregunta según lo que se necesita conocer. 3) Revisar supuestos o proyecciones implícitas.</x:v>
      </x:c>
      <x:c r="K8" s="108" t="str">
        <x:v>Conjunto de preguntas más claras, progresivas y orientadas a generar información.</x:v>
      </x:c>
      <x:c r="L8" s="108" t="str">
        <x:v>Matriz de Componentes de Preguntas Poderosas completada.</x:v>
      </x:c>
      <x:c r="M8" s="108" t="str">
        <x:v>Las preguntas incluyen interrogante, extensión adecuada y revisión de supuestos/proyecciones.</x:v>
      </x:c>
      <x:c r="N8" s="44" t="str">
        <x:v>Cualquiera</x:v>
      </x:c>
      <x:c r="O8" s="44" t="str">
        <x:v>Por validar</x:v>
      </x:c>
      <x:c r="P8" s="44"/>
      <x:c r="Q8" s="44"/>
      <x:c r="R8" s="44" t="str">
        <x:v>Por validar</x:v>
      </x:c>
      <x:c r="S8" s="44"/>
      <x:c r="T8" s="44"/>
      <x:c r="U8" s="44"/>
      <x:c r="V8" s="44" t="str">
        <x:v>Por validar</x:v>
      </x:c>
      <x:c r="W8" s="44" t="str">
        <x:v>Por validar</x:v>
      </x:c>
      <x:c r="X8" s="112" t="str">
        <x:v>IDEACIÓN - Componentes de Preguntas Poderosas.pdf</x:v>
      </x:c>
      <x:c r="Y8" s="112"/>
      <x:c r="Z8" s="112" t="str">
        <x:v>Preliminar</x:v>
      </x:c>
      <x:c r="AA8" s="112" t="str">
        <x:v>Validar con CEDIA la relación TRL/CRL, cadena de valor, modalidad, dificultad y reglas de recomendación.</x:v>
      </x:c>
      <x:c r="AB8" s="96" t="n">
        <x:f>IF(B8="","",COUNTA(D8:M8)/10)</x:f>
        <x:v>1</x:v>
      </x:c>
      <x:c r="AC8" s="44" t="str">
        <x:f>IF(B8="","",IF(AB8=1,"Completo",IF(AB8&gt;=0.6,"En desarrollo","Pendiente")))</x:f>
        <x:v>Completo</x:v>
      </x:c>
      <x:c r="AD8" s="136" t="str">
        <x:v>Por validar</x:v>
      </x:c>
      <x:c r="AE8" s="136" t="str">
        <x:v>Por validar</x:v>
      </x:c>
      <x:c r="AF8" s="136" t="str">
        <x:v>Por validar</x:v>
      </x:c>
      <x:c r="AG8" s="136" t="str">
        <x:v>Por validar</x:v>
      </x:c>
      <x:c r="AH8" s="138" t="str">
        <x:v>Documento CEDIA + inferencia sustentada</x:v>
      </x:c>
      <x:c r="AI8" s="138" t="str">
        <x:v>Mixto (directo + inferido)</x:v>
      </x:c>
      <x:c r="AJ8" s="138" t="str">
        <x:v>Los tres componentes están explícitos en la fuente; brecha, salida y criterio son normalizaciones metodológicas.</x:v>
      </x:c>
      <x:c r="AK8" s="193" t="str">
        <x:v>Nielsen Norman Group — What, When, Why: Research Goals, Questions, and Hypotheses</x:v>
      </x:c>
      <x:c r="AL8" s="193" t="str">
        <x:v>https://www.nngroup.com/videos/research-goals-questions-hypotheses/</x:v>
      </x:c>
      <x:c r="AM8" s="193" t="str">
        <x:v>NN/g distingue objetivos, preguntas e hipótesis como recursos para enfocar un estudio y recomienda que la investigación parta de objetivos claros.</x:v>
      </x:c>
      <x:c r="AN8" s="193" t="str">
        <x:v>Inferencia sustentada: las preguntas son un componente del diseño de investigación y no deben separarse de su objetivo.</x:v>
      </x:c>
      <x:c r="AO8" s="193" t="str">
        <x:v>No estandarizada.</x:v>
      </x:c>
      <x:c r="AP8" s="193" t="str">
        <x:v>Por validar CEDIA</x:v>
      </x:c>
      <x:c r="AQ8" s="193" t="str">
        <x:v>El asistente debe pedir primero qué necesita aprender el usuario y revisar lenguaje sesgado o preguntas demasiado cerradas.</x:v>
      </x:c>
      <x:c r="AR8" s="193" t="str">
        <x:v>Verificado externamente</x:v>
      </x:c>
      <x:c r="AS8" s="193" t="str">
        <x:v>2026-09-10</x:v>
      </x:c>
    </x:row>
    <x:row r="9">
      <x:c r="A9" s="104" t="str">
        <x:v>IDE-005</x:v>
      </x:c>
      <x:c r="B9" s="104" t="str">
        <x:v>Diagrama de Ishikawa</x:v>
      </x:c>
      <x:c r="C9" s="104" t="str">
        <x:v>Ideación</x:v>
      </x:c>
      <x:c r="D9" s="108" t="str">
        <x:v>Diagrama de causa-efecto para representar y analizar las causas principales y secundarias de un problema.</x:v>
      </x:c>
      <x:c r="E9" s="108" t="str">
        <x:v>Identificar las causas de un problema.</x:v>
      </x:c>
      <x:c r="F9" s="108" t="str">
        <x:v>Causas principales y secundarias de un problema no identificadas o no analizadas sistemáticamente.</x:v>
      </x:c>
      <x:c r="G9" s="108" t="str">
        <x:v>Cuando existe un problema definido y se requiere analizar las variables o condiciones que pueden originarlo.</x:v>
      </x:c>
      <x:c r="H9" s="108" t="str">
        <x:v>No usar para afirmar que una causa es la causa raíz únicamente porque aparece en el diagrama. Ishikawa ayuda a identificar y ordenar causas posibles; las hipótesis causales deben verificarse con datos o pruebas adicionales.</x:v>
      </x:c>
      <x:c r="I9" s="108" t="str">
        <x:v>Problema a analizar y conocimiento/información sobre posibles factores causales.</x:v>
      </x:c>
      <x:c r="J9" s="108" t="str">
        <x:v>1) Definir el problema en la cabeza. 2) Establecer categorías principales de causas. 3) Incorporar causas específicas y secundarias. 4) Analizar resultados y dar seguimiento a acciones correctivas.</x:v>
      </x:c>
      <x:c r="K9" s="108" t="str">
        <x:v>Diagrama de Ishikawa con problema, categorías de causas, causas principales y secundarias.</x:v>
      </x:c>
      <x:c r="L9" s="108" t="str">
        <x:v>Diagrama de Ishikawa completado.</x:v>
      </x:c>
      <x:c r="M9" s="108" t="str">
        <x:v>El problema está definido y las causas relevantes se encuentran organizadas en categorías y niveles de causalidad.</x:v>
      </x:c>
      <x:c r="N9" s="44" t="str">
        <x:v>Cualquiera</x:v>
      </x:c>
      <x:c r="O9" s="44" t="str">
        <x:v>Por validar</x:v>
      </x:c>
      <x:c r="P9" s="44"/>
      <x:c r="Q9" s="44"/>
      <x:c r="R9" s="44" t="str">
        <x:v>Por validar</x:v>
      </x:c>
      <x:c r="S9" s="44"/>
      <x:c r="T9" s="44"/>
      <x:c r="U9" s="44"/>
      <x:c r="V9" s="44" t="str">
        <x:v>Por validar</x:v>
      </x:c>
      <x:c r="W9" s="44" t="str">
        <x:v>Por validar</x:v>
      </x:c>
      <x:c r="X9" s="112" t="str">
        <x:v>IDEACIÓN - Diagrama de Ishikawa.pdf</x:v>
      </x:c>
      <x:c r="Y9" s="112"/>
      <x:c r="Z9" s="112" t="str">
        <x:v>Preliminar</x:v>
      </x:c>
      <x:c r="AA9" s="112" t="str">
        <x:v>Validar con CEDIA la relación TRL/CRL, cadena de valor, modalidad, dificultad y reglas de recomendación.</x:v>
      </x:c>
      <x:c r="AB9" s="96" t="n">
        <x:f>IF(B9="","",COUNTA(D9:M9)/10)</x:f>
        <x:v>1</x:v>
      </x:c>
      <x:c r="AC9" s="44" t="str">
        <x:f>IF(B9="","",IF(AB9=1,"Completo",IF(AB9&gt;=0.6,"En desarrollo","Pendiente")))</x:f>
        <x:v>Completo</x:v>
      </x:c>
      <x:c r="AD9" s="136" t="str">
        <x:v>Por validar</x:v>
      </x:c>
      <x:c r="AE9" s="136" t="str">
        <x:v>Por validar</x:v>
      </x:c>
      <x:c r="AF9" s="136" t="str">
        <x:v>Por validar</x:v>
      </x:c>
      <x:c r="AG9" s="136" t="str">
        <x:v>Por validar</x:v>
      </x:c>
      <x:c r="AH9" s="138" t="str">
        <x:v>Documento CEDIA + inferencia sustentada</x:v>
      </x:c>
      <x:c r="AI9" s="138" t="str">
        <x:v>Mixto (directo + inferido)</x:v>
      </x:c>
      <x:c r="AJ9" s="138" t="str">
        <x:v>Objetivo, partes, 6M opcionales y pasos están explícitos; brecha y criterio son inferencias sustentadas.</x:v>
      </x:c>
      <x:c r="AK9" s="193" t="str">
        <x:v>ASQ — Fishbone Diagram</x:v>
      </x:c>
      <x:c r="AL9" s="193" t="str">
        <x:v>https://asq.org/quality-resources/fishbone</x:v>
      </x:c>
      <x:c r="AM9" s="193" t="str">
        <x:v>ASQ define el fishbone/Ishikawa como una herramienta para identificar muchas causas posibles y clasificarlas en categorías útiles.</x:v>
      </x:c>
      <x:c r="AN9" s="193" t="str">
        <x:v>Directo + inferencia: «causas posibles» no equivale a causalidad comprobada.</x:v>
      </x:c>
      <x:c r="AO9" s="193" t="str">
        <x:v>No estandarizada.</x:v>
      </x:c>
      <x:c r="AP9" s="193" t="str">
        <x:v>Por validar CEDIA</x:v>
      </x:c>
      <x:c r="AQ9" s="193" t="str">
        <x:v>Etiquetar las causas como hipótesis hasta que el proyecto cargue evidencia que las respalde.</x:v>
      </x:c>
      <x:c r="AR9" s="193" t="str">
        <x:v>Verificado externamente</x:v>
      </x:c>
      <x:c r="AS9" s="193" t="str">
        <x:v>2026-09-10</x:v>
      </x:c>
    </x:row>
    <x:row r="10">
      <x:c r="A10" s="104" t="str">
        <x:v>IDE-006</x:v>
      </x:c>
      <x:c r="B10" s="104" t="str">
        <x:v>How Might We</x:v>
      </x:c>
      <x:c r="C10" s="104" t="str">
        <x:v>Ideación</x:v>
      </x:c>
      <x:c r="D10" s="108" t="str">
        <x:v>Convierte insights sobre un desafío en preguntas «¿Cómo podríamos…?» que abren oportunidades de solución.</x:v>
      </x:c>
      <x:c r="E10" s="108" t="str">
        <x:v>Resolver un problema de manera innovadora a partir de insights detectados.</x:v>
      </x:c>
      <x:c r="F10" s="108" t="str">
        <x:v>Insights o necesidades identificadas que aún no han sido transformadas en preguntas útiles para idear soluciones.</x:v>
      </x:c>
      <x:c r="G10" s="108" t="str">
        <x:v>Cuando ya existen insights o información clave y se desea formular preguntas que inspiren alternativas de solución.</x:v>
      </x:c>
      <x:c r="H10" s="108" t="str">
        <x:v>No usar antes de contar con insights o un problema definido, ni formular preguntas que ya sugieran una solución. Tampoco deben ser tan amplias que no orienten la ideación o tan estrechas que solo admitan una respuesta.</x:v>
      </x:c>
      <x:c r="I10" s="108" t="str">
        <x:v>Insights o información clave, necesidades/problemas específicos y claridad sobre el problema a resolver.</x:v>
      </x:c>
      <x:c r="J10" s="108" t="str">
        <x:v>1) Identificar insights. 2) Formular preguntas «¿Cómo podríamos…?». 3) Revisar que no sean demasiado estrechas. 4) Posteriormente explorar respuestas y convertirlas en ideas.</x:v>
      </x:c>
      <x:c r="K10" s="108" t="str">
        <x:v>Preguntas de oportunidad tipo «¿Cómo podríamos…?» derivadas de insights.</x:v>
      </x:c>
      <x:c r="L10" s="108" t="str">
        <x:v>Matriz de insights y preguntas «¿Cómo podríamos…?» completada.</x:v>
      </x:c>
      <x:c r="M10" s="108" t="str">
        <x:v>Cada insight relevante se ha traducido en una pregunta abierta que permite explorar soluciones.</x:v>
      </x:c>
      <x:c r="N10" s="44" t="str">
        <x:v>Cualquiera</x:v>
      </x:c>
      <x:c r="O10" s="44" t="str">
        <x:v>Por validar</x:v>
      </x:c>
      <x:c r="P10" s="44"/>
      <x:c r="Q10" s="44"/>
      <x:c r="R10" s="44" t="str">
        <x:v>Por validar</x:v>
      </x:c>
      <x:c r="S10" s="44"/>
      <x:c r="T10" s="44"/>
      <x:c r="U10" s="44"/>
      <x:c r="V10" s="44" t="str">
        <x:v>Medio</x:v>
      </x:c>
      <x:c r="W10" s="44" t="str">
        <x:v>Por validar</x:v>
      </x:c>
      <x:c r="X10" s="112" t="str">
        <x:v>IDEACIÓN - How might we.pdf</x:v>
      </x:c>
      <x:c r="Y10" s="112"/>
      <x:c r="Z10" s="112" t="str">
        <x:v>Preliminar</x:v>
      </x:c>
      <x:c r="AA10" s="112" t="str">
        <x:v>Validar con CEDIA la relación TRL/CRL, cadena de valor, modalidad, dificultad y reglas de recomendación.</x:v>
      </x:c>
      <x:c r="AB10" s="96" t="n">
        <x:f>IF(B10="","",COUNTA(D10:M10)/10)</x:f>
        <x:v>1</x:v>
      </x:c>
      <x:c r="AC10" s="44" t="str">
        <x:f>IF(B10="","",IF(AB10=1,"Completo",IF(AB10&gt;=0.6,"En desarrollo","Pendiente")))</x:f>
        <x:v>Completo</x:v>
      </x:c>
      <x:c r="AD10" s="136" t="str">
        <x:v>Por validar</x:v>
      </x:c>
      <x:c r="AE10" s="136" t="str">
        <x:v>Por validar</x:v>
      </x:c>
      <x:c r="AF10" s="136" t="str">
        <x:v>Por validar</x:v>
      </x:c>
      <x:c r="AG10" s="136" t="str">
        <x:v>Por validar</x:v>
      </x:c>
      <x:c r="AH10" s="138" t="str">
        <x:v>Documento CEDIA + inferencia sustentada</x:v>
      </x:c>
      <x:c r="AI10" s="138" t="str">
        <x:v>Mixto (directo + inferido)</x:v>
      </x:c>
      <x:c r="AJ10" s="138" t="str">
        <x:v>La secuencia insight→pregunta→exploración está explícita en la fuente; la brecha y el criterio se derivan de esa lógica.</x:v>
      </x:c>
      <x:c r="AK10" s="193" t="str">
        <x:v>IDEO.org Design Kit — How Might We</x:v>
      </x:c>
      <x:c r="AL10" s="193" t="str">
        <x:v>https://www.designkit.org/methods/how-might-we.html</x:v>
      </x:c>
      <x:c r="AM10" s="193" t="str">
        <x:v>IDEO parte de insight statements y señala que una buena HMW no sugiere una solución, permite varias respuestas y mantiene un alcance ni demasiado amplio ni demasiado estrecho.</x:v>
      </x:c>
      <x:c r="AN10" s="193" t="str">
        <x:v>Directo.</x:v>
      </x:c>
      <x:c r="AO10" s="193" t="str">
        <x:v>60 min (IDEO.org).</x:v>
      </x:c>
      <x:c r="AP10" s="193" t="str">
        <x:v>Medio</x:v>
      </x:c>
      <x:c r="AQ10" s="193" t="str">
        <x:v>Validar automáticamente tres cosas antes de continuar: existe insight, la pregunta no contiene la solución y permite varias respuestas.</x:v>
      </x:c>
      <x:c r="AR10" s="193" t="str">
        <x:v>Verificado externamente</x:v>
      </x:c>
      <x:c r="AS10" s="193" t="str">
        <x:v>2026-09-10</x:v>
      </x:c>
    </x:row>
    <x:row r="11">
      <x:c r="A11" s="104" t="str">
        <x:v>IDE-007</x:v>
      </x:c>
      <x:c r="B11" s="104" t="str">
        <x:v>Lotus Blossom</x:v>
      </x:c>
      <x:c r="C11" s="104" t="str">
        <x:v>Ideación</x:v>
      </x:c>
      <x:c r="D11" s="108" t="str">
        <x:v>Matriz expansiva que desarrolla un concepto central en subconceptos, ideas o problemas relacionados.</x:v>
      </x:c>
      <x:c r="E11" s="108" t="str">
        <x:v>Visualizar relaciones entre un concepto central y subconceptos asociados para expandir y analizar ideas.</x:v>
      </x:c>
      <x:c r="F11" s="108" t="str">
        <x:v>Exploración insuficiente de alternativas, temas o subconceptos alrededor de un reto central.</x:v>
      </x:c>
      <x:c r="G11" s="108" t="str">
        <x:v>Cuando existe un problema, tema o reto central y se desea expandirlo sistemáticamente en nuevas ideas o perspectivas.</x:v>
      </x:c>
      <x:c r="H11" s="108" t="str">
        <x:v>No usar como herramienta de validación o selección definitiva de ideas. Lotus Blossom sirve para expandir sistemáticamente un tema; la calidad y viabilidad de las ideas deben evaluarse después con otros criterios.</x:v>
      </x:c>
      <x:c r="I11" s="108" t="str">
        <x:v>Desafío, problema o concepto central.</x:v>
      </x:c>
      <x:c r="J11" s="108" t="str">
        <x:v>1) Crear matriz 3x3. 2) Colocar el reto central. 3) Generar ocho ideas relacionadas. 4) Desglosar cada idea. 5) Evaluar, filtrar y priorizar.</x:v>
      </x:c>
      <x:c r="K11" s="108" t="str">
        <x:v>Mapa expandido de ideas/subconceptos con priorización de los más relevantes.</x:v>
      </x:c>
      <x:c r="L11" s="108" t="str">
        <x:v>Matriz Lotus Blossom completada y priorizada.</x:v>
      </x:c>
      <x:c r="M11" s="108" t="str">
        <x:v>El concepto central fue expandido en ideas relacionadas y se realizó una priorización final.</x:v>
      </x:c>
      <x:c r="N11" s="44" t="str">
        <x:v>Cualquiera</x:v>
      </x:c>
      <x:c r="O11" s="44" t="str">
        <x:v>Por validar</x:v>
      </x:c>
      <x:c r="P11" s="44"/>
      <x:c r="Q11" s="44"/>
      <x:c r="R11" s="44" t="str">
        <x:v>Por validar</x:v>
      </x:c>
      <x:c r="S11" s="44"/>
      <x:c r="T11" s="44"/>
      <x:c r="U11" s="44"/>
      <x:c r="V11" s="44" t="str">
        <x:v>Por validar</x:v>
      </x:c>
      <x:c r="W11" s="44" t="str">
        <x:v>Por validar</x:v>
      </x:c>
      <x:c r="X11" s="112" t="str">
        <x:v>IDEACIÓN - Lotus Blossom.pdf</x:v>
      </x:c>
      <x:c r="Y11" s="112"/>
      <x:c r="Z11" s="112" t="str">
        <x:v>Preliminar</x:v>
      </x:c>
      <x:c r="AA11" s="112" t="str">
        <x:v>Validar con CEDIA la relación TRL/CRL, cadena de valor, modalidad, dificultad y reglas de recomendación.</x:v>
      </x:c>
      <x:c r="AB11" s="96" t="n">
        <x:f>IF(B11="","",COUNTA(D11:M11)/10)</x:f>
        <x:v>1</x:v>
      </x:c>
      <x:c r="AC11" s="44" t="str">
        <x:f>IF(B11="","",IF(AB11=1,"Completo",IF(AB11&gt;=0.6,"En desarrollo","Pendiente")))</x:f>
        <x:v>Completo</x:v>
      </x:c>
      <x:c r="AD11" s="136" t="str">
        <x:v>Por validar</x:v>
      </x:c>
      <x:c r="AE11" s="136" t="str">
        <x:v>Por validar</x:v>
      </x:c>
      <x:c r="AF11" s="136" t="str">
        <x:v>Por validar</x:v>
      </x:c>
      <x:c r="AG11" s="136" t="str">
        <x:v>Por validar</x:v>
      </x:c>
      <x:c r="AH11" s="138" t="str">
        <x:v>Documento CEDIA + inferencia sustentada</x:v>
      </x:c>
      <x:c r="AI11" s="138" t="str">
        <x:v>Mixto (directo + inferido)</x:v>
      </x:c>
      <x:c r="AJ11" s="138" t="str">
        <x:v>Los cinco pasos y la priorización están explícitos; brecha y criterio son inferencias sustentadas.</x:v>
      </x:c>
      <x:c r="AK11" s="193" t="str">
        <x:v>Health Innovation West of England — Lotus Blossom</x:v>
      </x:c>
      <x:c r="AL11" s="193" t="str">
        <x:v>https://www.healthinnowest.net/creative-problem-solving-toolkit/generate-and-select-ideas/guidance-notes-how-to-use-the-lotus-blossom-tool/</x:v>
      </x:c>
      <x:c r="AM11" s="193" t="str">
        <x:v>La guía utiliza Lotus Blossom para generar ocho ideas iniciales y expandirlas sucesivamente, pudiendo llegar a decenas de alternativas.</x:v>
      </x:c>
      <x:c r="AN11" s="193" t="str">
        <x:v>Directo + inferencia: es una herramienta de generación, no una prueba de mercado o viabilidad.</x:v>
      </x:c>
      <x:c r="AO11" s="193" t="str">
        <x:v>Variable; puede detenerse cuando se completa el lienzo o termina el tiempo.</x:v>
      </x:c>
      <x:c r="AP11" s="193" t="str">
        <x:v>Por validar CEDIA</x:v>
      </x:c>
      <x:c r="AQ11" s="193" t="str">
        <x:v>Después de completar el mapa, exigir una fase separada de priorización/validación antes de recomendar desarrollo.</x:v>
      </x:c>
      <x:c r="AR11" s="193" t="str">
        <x:v>Verificado externamente</x:v>
      </x:c>
      <x:c r="AS11" s="193" t="str">
        <x:v>2026-09-10</x:v>
      </x:c>
    </x:row>
    <x:row r="12">
      <x:c r="A12" s="104" t="str">
        <x:v>IDE-008</x:v>
      </x:c>
      <x:c r="B12" s="104" t="str">
        <x:v>Planteamiento del Problema</x:v>
      </x:c>
      <x:c r="C12" s="104" t="str">
        <x:v>Ideación</x:v>
      </x:c>
      <x:c r="D12" s="108" t="str">
        <x:v>Estructura una problemática a partir del tema, beneficiario, necesidad, contexto y valor esperado.</x:v>
      </x:c>
      <x:c r="E12" s="108" t="str">
        <x:v>Entender a detalle la problemática que se desea mitigar.</x:v>
      </x:c>
      <x:c r="F12" s="108" t="str">
        <x:v>Problema, beneficiario o contexto insuficientemente definidos antes de formular una solución.</x:v>
      </x:c>
      <x:c r="G12" s="108" t="str">
        <x:v>En la fase inicial de un proyecto cuando aún no se ha definido una propuesta de solución clara.</x:v>
      </x:c>
      <x:c r="H12" s="108" t="str">
        <x:v>No usar si el planteamiento ya contiene una solución predeterminada o si el reto está tan amplio o tan estrecho que impide explorar alternativas. Primero debe definirse correctamente el desafío.</x:v>
      </x:c>
      <x:c r="I12" s="108" t="str">
        <x:v>Tema o problemática inicial y conocimiento preliminar sobre las personas afectadas y su contexto.</x:v>
      </x:c>
      <x:c r="J12" s="108" t="str">
        <x:v>Analizar seis elementos: Tema; ¿Quién?; ¿Qué?; Situación; Por qué 1 (beneficio deseable); Por qué 2 (valor/impacto esperado).</x:v>
      </x:c>
      <x:c r="K12" s="108" t="str">
        <x:v>Planteamiento estructurado del problema, beneficiarios, contexto, beneficio deseado e impacto esperado.</x:v>
      </x:c>
      <x:c r="L12" s="108" t="str">
        <x:v>Lienzo de Planteamiento del Problema completado.</x:v>
      </x:c>
      <x:c r="M12" s="108" t="str">
        <x:v>Los seis elementos están definidos de forma coherente y sin anticipar una solución específica en el beneficio deseado.</x:v>
      </x:c>
      <x:c r="N12" s="44" t="str">
        <x:v>Cualquiera</x:v>
      </x:c>
      <x:c r="O12" s="44" t="str">
        <x:v>Por validar</x:v>
      </x:c>
      <x:c r="P12" s="44"/>
      <x:c r="Q12" s="44"/>
      <x:c r="R12" s="44" t="str">
        <x:v>Por validar</x:v>
      </x:c>
      <x:c r="S12" s="44"/>
      <x:c r="T12" s="44"/>
      <x:c r="U12" s="44"/>
      <x:c r="V12" s="44" t="str">
        <x:v>Medio</x:v>
      </x:c>
      <x:c r="W12" s="44" t="str">
        <x:v>Por validar</x:v>
      </x:c>
      <x:c r="X12" s="112" t="str">
        <x:v>IDEACIÓN - Planteamiento del Problema.pdf</x:v>
      </x:c>
      <x:c r="Y12" s="112"/>
      <x:c r="Z12" s="112" t="str">
        <x:v>Preliminar</x:v>
      </x:c>
      <x:c r="AA12" s="112" t="str">
        <x:v>Validar con CEDIA la relación TRL/CRL, cadena de valor, modalidad, dificultad y reglas de recomendación.</x:v>
      </x:c>
      <x:c r="AB12" s="96" t="n">
        <x:f>IF(B12="","",COUNTA(D12:M12)/10)</x:f>
        <x:v>1</x:v>
      </x:c>
      <x:c r="AC12" s="44" t="str">
        <x:f>IF(B12="","",IF(AB12=1,"Completo",IF(AB12&gt;=0.6,"En desarrollo","Pendiente")))</x:f>
        <x:v>Completo</x:v>
      </x:c>
      <x:c r="AD12" s="136" t="str">
        <x:v>Por validar</x:v>
      </x:c>
      <x:c r="AE12" s="136" t="str">
        <x:v>Por validar</x:v>
      </x:c>
      <x:c r="AF12" s="136" t="str">
        <x:v>Por validar</x:v>
      </x:c>
      <x:c r="AG12" s="136" t="str">
        <x:v>Por validar</x:v>
      </x:c>
      <x:c r="AH12" s="138" t="str">
        <x:v>Documento CEDIA + inferencia sustentada</x:v>
      </x:c>
      <x:c r="AI12" s="138" t="str">
        <x:v>Mixto (directo + inferido)</x:v>
      </x:c>
      <x:c r="AJ12" s="138" t="str">
        <x:v>El momento de uso y seis elementos están explícitos; brecha, salida y criterio son inferencias directas.</x:v>
      </x:c>
      <x:c r="AK12" s="193" t="str">
        <x:v>IDEO.org Design Kit — Frame Your Design Challenge</x:v>
      </x:c>
      <x:c r="AL12" s="193" t="str">
        <x:v>https://www.designkit.org/methods/frame-your-design-challenge.html</x:v>
      </x:c>
      <x:c r="AM12" s="193" t="str">
        <x:v>IDEO señala que un desafío debe expresar el problema y tener un alcance que no sea ni demasiado amplio ni demasiado estrecho, considerando audiencia, contexto y restricciones.</x:v>
      </x:c>
      <x:c r="AN12" s="193" t="str">
        <x:v>Directo + inferencia.</x:v>
      </x:c>
      <x:c r="AO12" s="193" t="str">
        <x:v>1–2 días para el método completo de encuadre de IDEO; no trasladar automáticamente a la plantilla CEDIA.</x:v>
      </x:c>
      <x:c r="AP12" s="193" t="str">
        <x:v>Medio</x:v>
      </x:c>
      <x:c r="AQ12" s="193" t="str">
        <x:v>Usar un chequeo de calidad del planteamiento antes de abrir herramientas de ideación.</x:v>
      </x:c>
      <x:c r="AR12" s="193" t="str">
        <x:v>Verificado externamente</x:v>
      </x:c>
      <x:c r="AS12" s="193" t="str">
        <x:v>2026-09-10</x:v>
      </x:c>
    </x:row>
    <x:row r="13">
      <x:c r="A13" s="104" t="str">
        <x:v>MKT-001</x:v>
      </x:c>
      <x:c r="B13" s="104" t="str">
        <x:v>Buyer Persona</x:v>
      </x:c>
      <x:c r="C13" s="104" t="str">
        <x:v>Marketing</x:v>
      </x:c>
      <x:c r="D13" s="108" t="str">
        <x:v>Representación ficticia y detallada del cliente ideal basada en características demográficas, psicográficas, objetivos, retos y objeciones.</x:v>
      </x:c>
      <x:c r="E13" s="108" t="str">
        <x:v>Definir con precisión las características del cliente ideal para cada producto.</x:v>
      </x:c>
      <x:c r="F13" s="108" t="str">
        <x:v>Cliente ideal o segmento objetivo insuficientemente caracterizado para orientar marketing y ventas.</x:v>
      </x:c>
      <x:c r="G13" s="108" t="str">
        <x:v>Cuando se requiere comprender y representar un segmento específico para personalizar acciones de marketing, comunicación y ventas.</x:v>
      </x:c>
      <x:c r="H13" s="108" t="str">
        <x:v>No usar una Buyer Persona construida solo con suposiciones o analítica demográfica, ni mezclar varios tipos de usuario en un único perfil. Debe apoyarse en información real del público objetivo.</x:v>
      </x:c>
      <x:c r="I13" s="108" t="str">
        <x:v>Información del segmento, características demográficas/psicográficas, objetivos, retos, comentarios y objeciones.</x:v>
      </x:c>
      <x:c r="J13" s="108" t="str">
        <x:v>Definir nombre e imagen; perfil general; demografía; identificadores; objetivos; retos; cómo ayudar; comentarios/objeciones; mensaje de marketing; mensaje de ventas.</x:v>
      </x:c>
      <x:c r="K13" s="108" t="str">
        <x:v>Perfil de Buyer Persona completo para un segmento específico.</x:v>
      </x:c>
      <x:c r="L13" s="108" t="str">
        <x:v>Ficha de Buyer Persona completada.</x:v>
      </x:c>
      <x:c r="M13" s="108" t="str">
        <x:v>El perfil contiene los elementos definidos por la herramienta y representa un segmento específico con necesidades particulares.</x:v>
      </x:c>
      <x:c r="N13" s="44" t="str">
        <x:v>Cualquiera</x:v>
      </x:c>
      <x:c r="O13" s="44" t="str">
        <x:v>Por validar</x:v>
      </x:c>
      <x:c r="P13" s="44"/>
      <x:c r="Q13" s="44"/>
      <x:c r="R13" s="44" t="str">
        <x:v>Por validar</x:v>
      </x:c>
      <x:c r="S13" s="44"/>
      <x:c r="T13" s="44"/>
      <x:c r="U13" s="44"/>
      <x:c r="V13" s="44" t="str">
        <x:v>Por validar</x:v>
      </x:c>
      <x:c r="W13" s="44" t="str">
        <x:v>Por validar</x:v>
      </x:c>
      <x:c r="X13" s="112" t="str">
        <x:v>MARKETING - Buyer Persona.pdf</x:v>
      </x:c>
      <x:c r="Y13" s="112"/>
      <x:c r="Z13" s="112" t="str">
        <x:v>Preliminar</x:v>
      </x:c>
      <x:c r="AA13" s="112" t="str">
        <x:v>Validar con CEDIA la relación TRL/CRL, cadena de valor, modalidad, dificultad y reglas de recomendación.</x:v>
      </x:c>
      <x:c r="AB13" s="96" t="n">
        <x:f>IF(B13="","",COUNTA(D13:M13)/10)</x:f>
        <x:v>1</x:v>
      </x:c>
      <x:c r="AC13" s="44" t="str">
        <x:f>IF(B13="","",IF(AB13=1,"Completo",IF(AB13&gt;=0.6,"En desarrollo","Pendiente")))</x:f>
        <x:v>Completo</x:v>
      </x:c>
      <x:c r="AD13" s="136" t="str">
        <x:v>Por validar</x:v>
      </x:c>
      <x:c r="AE13" s="136" t="str">
        <x:v>Por validar</x:v>
      </x:c>
      <x:c r="AF13" s="136" t="str">
        <x:v>Por validar</x:v>
      </x:c>
      <x:c r="AG13" s="136" t="str">
        <x:v>Por validar</x:v>
      </x:c>
      <x:c r="AH13" s="138" t="str">
        <x:v>Documento CEDIA + inferencia sustentada</x:v>
      </x:c>
      <x:c r="AI13" s="138" t="str">
        <x:v>Mixto (directo + inferido)</x:v>
      </x:c>
      <x:c r="AJ13" s="138" t="str">
        <x:v>Los elementos del perfil y su uso estratégico están explícitos; brecha y criterio son inferencias sustentadas.</x:v>
      </x:c>
      <x:c r="AK13" s="193" t="str">
        <x:v>Nielsen Norman Group — Personas</x:v>
      </x:c>
      <x:c r="AL13" s="193" t="str">
        <x:v>https://www.nngroup.com/topic/personas/?asset=publications</x:v>
      </x:c>
      <x:c r="AM13" s="193" t="str">
        <x:v>NN/g define las personas como representaciones de información real sobre la audiencia y advierte evitar construirlas únicamente con datos analíticos.</x:v>
      </x:c>
      <x:c r="AN13" s="193" t="str">
        <x:v>Directo.</x:v>
      </x:c>
      <x:c r="AO13" s="193" t="str">
        <x:v>No estandarizada.</x:v>
      </x:c>
      <x:c r="AP13" s="193" t="str">
        <x:v>Por validar CEDIA</x:v>
      </x:c>
      <x:c r="AQ13" s="193" t="str">
        <x:v>Distinguir claramente «hipótesis de persona» de «persona sustentada» según la evidencia cargada.</x:v>
      </x:c>
      <x:c r="AR13" s="193" t="str">
        <x:v>Verificado externamente</x:v>
      </x:c>
      <x:c r="AS13" s="193" t="str">
        <x:v>2026-09-10</x:v>
      </x:c>
    </x:row>
    <x:row r="14">
      <x:c r="A14" s="104" t="str">
        <x:v>MKT-002</x:v>
      </x:c>
      <x:c r="B14" s="104" t="str">
        <x:v>Círculo de Oro</x:v>
      </x:c>
      <x:c r="C14" s="104" t="str">
        <x:v>Marketing</x:v>
      </x:c>
      <x:c r="D14" s="108" t="str">
        <x:v>Marco para definir qué hace una organización, cómo lo hace y por qué lo hace.</x:v>
      </x:c>
      <x:c r="E14" s="108" t="str">
        <x:v>Definir el propósito de una organización, dirección, área o departamento.</x:v>
      </x:c>
      <x:c r="F14" s="108" t="str">
        <x:v>Propósito, propuesta diferencial o razón de existir no articulados con claridad.</x:v>
      </x:c>
      <x:c r="G14" s="108" t="str">
        <x:v>Cuando se necesita expresar de forma clara qué se ofrece, cómo se diferencia y por qué existe la organización, producto o servicio.</x:v>
      </x:c>
      <x:c r="H14" s="108" t="str">
        <x:v>No usar el Círculo de Oro para validar mercado, precio o demanda. Su función es clarificar propósito (WHY), forma diferencial de actuar (HOW) y oferta (WHAT), no demostrar aceptación comercial.</x:v>
      </x:c>
      <x:c r="I14" s="108" t="str">
        <x:v>Información sobre producto/servicio, prácticas o diferenciadores y motivación/impacto buscado.</x:v>
      </x:c>
      <x:c r="J14" s="108" t="str">
        <x:v>1) Definir ¿Qué haces? 2) Definir ¿Cómo lo haces? 3) Definir ¿Por qué lo haces? 4) Integrar los tres elementos en una declaración de propósito.</x:v>
      </x:c>
      <x:c r="K14" s="108" t="str">
        <x:v>Círculo de Oro y declaración de propósito.</x:v>
      </x:c>
      <x:c r="L14" s="108" t="str">
        <x:v>Lienzo de Círculo de Oro completado.</x:v>
      </x:c>
      <x:c r="M14" s="108" t="str">
        <x:v>Qué, cómo y por qué están definidos y permiten formular una declaración de propósito coherente.</x:v>
      </x:c>
      <x:c r="N14" s="44" t="str">
        <x:v>Cualquiera</x:v>
      </x:c>
      <x:c r="O14" s="44" t="str">
        <x:v>Por validar</x:v>
      </x:c>
      <x:c r="P14" s="44"/>
      <x:c r="Q14" s="44"/>
      <x:c r="R14" s="44" t="str">
        <x:v>Por validar</x:v>
      </x:c>
      <x:c r="S14" s="44"/>
      <x:c r="T14" s="44"/>
      <x:c r="U14" s="44"/>
      <x:c r="V14" s="44" t="str">
        <x:v>Por validar</x:v>
      </x:c>
      <x:c r="W14" s="44" t="str">
        <x:v>Por validar</x:v>
      </x:c>
      <x:c r="X14" s="112" t="str">
        <x:v>MARKETING - Circulo de Oro.pdf</x:v>
      </x:c>
      <x:c r="Y14" s="112"/>
      <x:c r="Z14" s="112" t="str">
        <x:v>Preliminar</x:v>
      </x:c>
      <x:c r="AA14" s="112" t="str">
        <x:v>Validar con CEDIA la relación TRL/CRL, cadena de valor, modalidad, dificultad y reglas de recomendación.</x:v>
      </x:c>
      <x:c r="AB14" s="96" t="n">
        <x:f>IF(B14="","",COUNTA(D14:M14)/10)</x:f>
        <x:v>1</x:v>
      </x:c>
      <x:c r="AC14" s="44" t="str">
        <x:f>IF(B14="","",IF(AB14=1,"Completo",IF(AB14&gt;=0.6,"En desarrollo","Pendiente")))</x:f>
        <x:v>Completo</x:v>
      </x:c>
      <x:c r="AD14" s="136" t="str">
        <x:v>Por validar</x:v>
      </x:c>
      <x:c r="AE14" s="136" t="str">
        <x:v>Por validar</x:v>
      </x:c>
      <x:c r="AF14" s="136" t="str">
        <x:v>Por validar</x:v>
      </x:c>
      <x:c r="AG14" s="136" t="str">
        <x:v>Por validar</x:v>
      </x:c>
      <x:c r="AH14" s="138" t="str">
        <x:v>Documento CEDIA + inferencia sustentada</x:v>
      </x:c>
      <x:c r="AI14" s="138" t="str">
        <x:v>Mixto (directo + inferido)</x:v>
      </x:c>
      <x:c r="AJ14" s="138" t="str">
        <x:v>Objetivo, tres componentes y declaración final están explícitos; brecha y criterio son inferencias sustentadas.</x:v>
      </x:c>
      <x:c r="AK14" s="193" t="str">
        <x:v>Simon Sinek — The Golden Circle</x:v>
      </x:c>
      <x:c r="AL14" s="193" t="str">
        <x:v>https://simonsinek.com/golden-circle</x:v>
      </x:c>
      <x:c r="AM14" s="193" t="str">
        <x:v>La fuente oficial presenta el Golden Circle como un marco para comprender y comunicar WHY, HOW y WHAT y aplicarlo a liderazgo, producto, ventas y marketing.</x:v>
      </x:c>
      <x:c r="AN14" s="193" t="str">
        <x:v>Directo + inferencia de alcance.</x:v>
      </x:c>
      <x:c r="AO14" s="193" t="str">
        <x:v>No estandarizada.</x:v>
      </x:c>
      <x:c r="AP14" s="193" t="str">
        <x:v>Por validar CEDIA</x:v>
      </x:c>
      <x:c r="AQ14" s="193" t="str">
        <x:v>Mostrarlo como herramienta de propósito y narrativa; nunca usar su resultado como evidencia de CRL o validación de cliente.</x:v>
      </x:c>
      <x:c r="AR14" s="193" t="str">
        <x:v>Verificado externamente</x:v>
      </x:c>
      <x:c r="AS14" s="193" t="str">
        <x:v>2026-09-10</x:v>
      </x:c>
    </x:row>
    <x:row r="15">
      <x:c r="A15" s="104" t="str">
        <x:v>MKT-003</x:v>
      </x:c>
      <x:c r="B15" s="104" t="str">
        <x:v>FODA</x:v>
      </x:c>
      <x:c r="C15" s="104" t="str">
        <x:v>Marketing</x:v>
      </x:c>
      <x:c r="D15" s="108" t="str">
        <x:v>Análisis estructurado de fortalezas, debilidades, oportunidades y amenazas de un negocio.</x:v>
      </x:c>
      <x:c r="E15" s="108" t="str">
        <x:v>Definir la situación de un negocio mediante análisis interno y externo.</x:v>
      </x:c>
      <x:c r="F15" s="108" t="str">
        <x:v>Situación interna y externa del negocio no estructurada para apoyar decisiones estratégicas.</x:v>
      </x:c>
      <x:c r="G15" s="108" t="str">
        <x:v>Cuando se requiere evaluar capacidades/limitaciones internas y condiciones externas favorables o adversas.</x:v>
      </x:c>
      <x:c r="H15" s="108" t="str">
        <x:v>No usar un FODA como única base para decidir una estrategia ni construirlo desde la opinión de una sola persona. Puede simplificar en exceso y contener supuestos no comprobados; debe apoyarse en datos y discusión del equipo.</x:v>
      </x:c>
      <x:c r="I15" s="108" t="str">
        <x:v>Información interna sobre recursos, procesos, dirección y capacidades; información externa social, ambiental, política, económica, legal y de mercado.</x:v>
      </x:c>
      <x:c r="J15" s="108" t="str">
        <x:v>1) Analizar fortalezas. 2) Analizar debilidades. 3) Identificar oportunidades. 4) Identificar amenazas.</x:v>
      </x:c>
      <x:c r="K15" s="108" t="str">
        <x:v>Matriz FODA con factores internos y externos.</x:v>
      </x:c>
      <x:c r="L15" s="108" t="str">
        <x:v>Matriz FODA completada.</x:v>
      </x:c>
      <x:c r="M15" s="108" t="str">
        <x:v>Se han identificado y diferenciado factores internos (F/D) y externos (O/A) relevantes para el negocio.</x:v>
      </x:c>
      <x:c r="N15" s="44" t="str">
        <x:v>Cualquiera</x:v>
      </x:c>
      <x:c r="O15" s="44" t="str">
        <x:v>Por validar</x:v>
      </x:c>
      <x:c r="P15" s="44"/>
      <x:c r="Q15" s="44"/>
      <x:c r="R15" s="44" t="str">
        <x:v>Por validar</x:v>
      </x:c>
      <x:c r="S15" s="44"/>
      <x:c r="T15" s="44"/>
      <x:c r="U15" s="44"/>
      <x:c r="V15" s="44" t="str">
        <x:v>Por validar</x:v>
      </x:c>
      <x:c r="W15" s="44" t="str">
        <x:v>Por validar</x:v>
      </x:c>
      <x:c r="X15" s="112" t="str">
        <x:v>MARKETING - FODA.pdf</x:v>
      </x:c>
      <x:c r="Y15" s="112"/>
      <x:c r="Z15" s="112" t="str">
        <x:v>Preliminar</x:v>
      </x:c>
      <x:c r="AA15" s="112" t="str">
        <x:v>Validar con CEDIA la relación TRL/CRL, cadena de valor, modalidad, dificultad y reglas de recomendación.</x:v>
      </x:c>
      <x:c r="AB15" s="96" t="n">
        <x:f>IF(B15="","",COUNTA(D15:M15)/10)</x:f>
        <x:v>1</x:v>
      </x:c>
      <x:c r="AC15" s="44" t="str">
        <x:f>IF(B15="","",IF(AB15=1,"Completo",IF(AB15&gt;=0.6,"En desarrollo","Pendiente")))</x:f>
        <x:v>Completo</x:v>
      </x:c>
      <x:c r="AD15" s="136" t="str">
        <x:v>Por validar</x:v>
      </x:c>
      <x:c r="AE15" s="136" t="str">
        <x:v>Por validar</x:v>
      </x:c>
      <x:c r="AF15" s="136" t="str">
        <x:v>Por validar</x:v>
      </x:c>
      <x:c r="AG15" s="136" t="str">
        <x:v>Por validar</x:v>
      </x:c>
      <x:c r="AH15" s="138" t="str">
        <x:v>Documento CEDIA + inferencia sustentada</x:v>
      </x:c>
      <x:c r="AI15" s="138" t="str">
        <x:v>Mixto (directo + inferido)</x:v>
      </x:c>
      <x:c r="AJ15" s="138" t="str">
        <x:v>La estructura interna/externa y ejemplos están explícitos; brecha y criterio son inferencias directas.</x:v>
      </x:c>
      <x:c r="AK15" s="193" t="str">
        <x:v>CIPD — SWOT analysis</x:v>
      </x:c>
      <x:c r="AL15" s="193" t="str">
        <x:v>https://www.cipd.org/uk/knowledge/factsheets/swot-analysis-factsheet/</x:v>
      </x:c>
      <x:c r="AM15" s="193" t="str">
        <x:v>CIPD señala que el FODA es una herramienta de diagnóstico y captura de información, que requiere fuentes adecuadas, trabajo de equipo y análisis posterior; advierte riesgos por supuestos e insuficiencia de datos.</x:v>
      </x:c>
      <x:c r="AN15" s="193" t="str">
        <x:v>Directo.</x:v>
      </x:c>
      <x:c r="AO15" s="193" t="str">
        <x:v>Variable según profundidad.</x:v>
      </x:c>
      <x:c r="AP15" s="193" t="str">
        <x:v>Por validar CEDIA</x:v>
      </x:c>
      <x:c r="AQ15" s="193" t="str">
        <x:v>Solicitar fuente/evidencia para cada factor y separar automáticamente interno (F/D) de externo (O/A).</x:v>
      </x:c>
      <x:c r="AR15" s="193" t="str">
        <x:v>Verificado externamente</x:v>
      </x:c>
      <x:c r="AS15" s="193" t="str">
        <x:v>2026-09-10</x:v>
      </x:c>
    </x:row>
    <x:row r="16">
      <x:c r="A16" s="104" t="str">
        <x:v>MKT-004</x:v>
      </x:c>
      <x:c r="B16" s="104" t="str">
        <x:v>Mapa de Posicionamiento</x:v>
      </x:c>
      <x:c r="C16" s="104" t="str">
        <x:v>Marketing</x:v>
      </x:c>
      <x:c r="D16" s="108" t="str">
        <x:v>Mapa perceptual que compara la posición de la propia oferta y competidores en atributos relevantes para los clientes.</x:v>
      </x:c>
      <x:c r="E16" s="108" t="str">
        <x:v>Reconocer a la competencia.</x:v>
      </x:c>
      <x:c r="F16" s="108" t="str">
        <x:v>Competidores y posicionamiento relativo de la oferta insuficientemente comprendidos.</x:v>
      </x:c>
      <x:c r="G16" s="108" t="str">
        <x:v>Cuando se desea comparar la oferta con alternativas existentes a partir de atributos valorados por los clientes.</x:v>
      </x:c>
      <x:c r="H16" s="108" t="str">
        <x:v>No usar un mapa de posicionamiento basado únicamente en cómo la empresa cree que es percibida. Los ejes y posiciones deben reflejar atributos relevantes y percepciones del mercado objetivo.</x:v>
      </x:c>
      <x:c r="I16" s="108" t="str">
        <x:v>Competidores, atributos relevantes para clientes, percepción relativa y, cuando esté disponible, participación de mercado.</x:v>
      </x:c>
      <x:c r="J16" s="108" t="str">
        <x:v>1) Trazar ejes. 2) Definir atributos clave. 3) Ubicar competidores según percepción del cliente. 4) Representar participación de mercado con tamaño del círculo. 5) Ubicar la propia marca.</x:v>
      </x:c>
      <x:c r="K16" s="108" t="str">
        <x:v>Mapa de posicionamiento de competidores y oferta propia.</x:v>
      </x:c>
      <x:c r="L16" s="108" t="str">
        <x:v>Mapa de Posicionamiento completado con ejes y actores ubicados.</x:v>
      </x:c>
      <x:c r="M16" s="108" t="str">
        <x:v>Los ejes representan atributos relevantes y la posición de competidores y marca propia está justificada con información de mercado/percepción.</x:v>
      </x:c>
      <x:c r="N16" s="44" t="str">
        <x:v>Cualquiera</x:v>
      </x:c>
      <x:c r="O16" s="44" t="str">
        <x:v>Por validar</x:v>
      </x:c>
      <x:c r="P16" s="44"/>
      <x:c r="Q16" s="44"/>
      <x:c r="R16" s="44" t="str">
        <x:v>Por validar</x:v>
      </x:c>
      <x:c r="S16" s="44"/>
      <x:c r="T16" s="44"/>
      <x:c r="U16" s="44"/>
      <x:c r="V16" s="44" t="str">
        <x:v>Por validar</x:v>
      </x:c>
      <x:c r="W16" s="44" t="str">
        <x:v>Por validar</x:v>
      </x:c>
      <x:c r="X16" s="112" t="str">
        <x:v>MARKETING - Mapa de Posicionamiento.pdf</x:v>
      </x:c>
      <x:c r="Y16" s="112"/>
      <x:c r="Z16" s="112" t="str">
        <x:v>Preliminar</x:v>
      </x:c>
      <x:c r="AA16" s="112" t="str">
        <x:v>Validar con CEDIA la relación TRL/CRL, cadena de valor, modalidad, dificultad y reglas de recomendación.</x:v>
      </x:c>
      <x:c r="AB16" s="96" t="n">
        <x:f>IF(B16="","",COUNTA(D16:M16)/10)</x:f>
        <x:v>1</x:v>
      </x:c>
      <x:c r="AC16" s="44" t="str">
        <x:f>IF(B16="","",IF(AB16=1,"Completo",IF(AB16&gt;=0.6,"En desarrollo","Pendiente")))</x:f>
        <x:v>Completo</x:v>
      </x:c>
      <x:c r="AD16" s="136" t="str">
        <x:v>Por validar</x:v>
      </x:c>
      <x:c r="AE16" s="136" t="str">
        <x:v>Por validar</x:v>
      </x:c>
      <x:c r="AF16" s="136" t="str">
        <x:v>Por validar</x:v>
      </x:c>
      <x:c r="AG16" s="136" t="str">
        <x:v>Por validar</x:v>
      </x:c>
      <x:c r="AH16" s="138" t="str">
        <x:v>Documento CEDIA + inferencia sustentada</x:v>
      </x:c>
      <x:c r="AI16" s="138" t="str">
        <x:v>Mixto (directo + inferido)</x:v>
      </x:c>
      <x:c r="AJ16" s="138" t="str">
        <x:v>Los cinco pasos están explícitos; brecha, evidencia y criterio son inferencias sustentadas.</x:v>
      </x:c>
      <x:c r="AK16" s="193" t="str">
        <x:v>OpenStax — Principles of Marketing: Product Positioning</x:v>
      </x:c>
      <x:c r="AL16" s="193" t="str">
        <x:v>https://openstax.org/books/principles-marketing/pages/5-6-product-positioning</x:v>
      </x:c>
      <x:c r="AM16" s="193" t="str">
        <x:v>OpenStax define el perceptual map como una representación de cómo el mercado objetivo percibe una oferta frente a competidores usando atributos determinantes para la compra.</x:v>
      </x:c>
      <x:c r="AN16" s="193" t="str">
        <x:v>Directo.</x:v>
      </x:c>
      <x:c r="AO16" s="193" t="str">
        <x:v>No estandarizada.</x:v>
      </x:c>
      <x:c r="AP16" s="193" t="str">
        <x:v>Por validar CEDIA</x:v>
      </x:c>
      <x:c r="AQ16" s="193" t="str">
        <x:v>Pedir fuente de las percepciones y marcar el mapa como «hipotético» si proviene solo del equipo.</x:v>
      </x:c>
      <x:c r="AR16" s="193" t="str">
        <x:v>Verificado externamente</x:v>
      </x:c>
      <x:c r="AS16" s="193" t="str">
        <x:v>2026-09-10</x:v>
      </x:c>
    </x:row>
    <x:row r="17">
      <x:c r="A17" s="104" t="str">
        <x:v>MKT-005</x:v>
      </x:c>
      <x:c r="B17" s="104" t="str">
        <x:v>Pitch Canvas</x:v>
      </x:c>
      <x:c r="C17" s="104" t="str">
        <x:v>Marketing</x:v>
      </x:c>
      <x:c r="D17" s="108" t="str">
        <x:v>Modelo estructurado para presentar de forma clara y concisa los aspectos fundamentales de un proyecto o idea de negocio.</x:v>
      </x:c>
      <x:c r="E17" s="108" t="str">
        <x:v>Facilitar la creación de una presentación que abarque los aspectos fundamentales de un proyecto.</x:v>
      </x:c>
      <x:c r="F17" s="108" t="str">
        <x:v>Narrativa o presentación del proyecto incompleta, dispersa o sin los elementos necesarios para comunicarlo a una audiencia.</x:v>
      </x:c>
      <x:c r="G17" s="108" t="str">
        <x:v>Cuando se necesita estructurar una presentación integral de proyecto para inversores, clientes o colaboradores.</x:v>
      </x:c>
      <x:c r="H17" s="108" t="str">
        <x:v>No usar el Pitch Canvas para sustituir la validación del problema, mercado o tracción. El pitch organiza y comunica la historia del proyecto; los datos que presenta deben provenir de evidencia real.</x:v>
      </x:c>
      <x:c r="I17" s="108" t="str">
        <x:v>Información sobre problema, solución, producto/prototipo, unicidad, tracción, modelo de negocio, inversión, equipo, propósito y llamada a la acción.</x:v>
      </x:c>
      <x:c r="J17" s="108" t="str">
        <x:v>Completar 11 bloques: cambio; problemas/dolores; producto/servicio; versión beta; unicidad; tracción; modelo de negocio; inversión; equipo; llamado a la acción; por qué usted.</x:v>
      </x:c>
      <x:c r="K17" s="108" t="str">
        <x:v>Pitch estructurado del proyecto.</x:v>
      </x:c>
      <x:c r="L17" s="108" t="str">
        <x:v>Pitch Canvas completado.</x:v>
      </x:c>
      <x:c r="M17" s="108" t="str">
        <x:v>Los 11 bloques están cubiertos y permiten comunicar el proyecto de forma clara y concisa.</x:v>
      </x:c>
      <x:c r="N17" s="44" t="str">
        <x:v>Cualquiera</x:v>
      </x:c>
      <x:c r="O17" s="44" t="str">
        <x:v>Por validar</x:v>
      </x:c>
      <x:c r="P17" s="44"/>
      <x:c r="Q17" s="44"/>
      <x:c r="R17" s="44" t="str">
        <x:v>Por validar</x:v>
      </x:c>
      <x:c r="S17" s="44"/>
      <x:c r="T17" s="44"/>
      <x:c r="U17" s="44"/>
      <x:c r="V17" s="44" t="str">
        <x:v>Por validar</x:v>
      </x:c>
      <x:c r="W17" s="44" t="str">
        <x:v>Por validar</x:v>
      </x:c>
      <x:c r="X17" s="112" t="str">
        <x:v>MARKETING - Pitch Canvas.pdf</x:v>
      </x:c>
      <x:c r="Y17" s="112"/>
      <x:c r="Z17" s="112" t="str">
        <x:v>Preliminar</x:v>
      </x:c>
      <x:c r="AA17" s="112" t="str">
        <x:v>Validar con CEDIA la relación TRL/CRL, cadena de valor, modalidad, dificultad y reglas de recomendación.</x:v>
      </x:c>
      <x:c r="AB17" s="96" t="n">
        <x:f>IF(B17="","",COUNTA(D17:M17)/10)</x:f>
        <x:v>1</x:v>
      </x:c>
      <x:c r="AC17" s="44" t="str">
        <x:f>IF(B17="","",IF(AB17=1,"Completo",IF(AB17&gt;=0.6,"En desarrollo","Pendiente")))</x:f>
        <x:v>Completo</x:v>
      </x:c>
      <x:c r="AD17" s="136" t="str">
        <x:v>Por validar</x:v>
      </x:c>
      <x:c r="AE17" s="136" t="str">
        <x:v>Por validar</x:v>
      </x:c>
      <x:c r="AF17" s="136" t="str">
        <x:v>Por validar</x:v>
      </x:c>
      <x:c r="AG17" s="136" t="str">
        <x:v>Por validar</x:v>
      </x:c>
      <x:c r="AH17" s="138" t="str">
        <x:v>Documento CEDIA + inferencia sustentada</x:v>
      </x:c>
      <x:c r="AI17" s="138" t="str">
        <x:v>Mixto (directo + inferido)</x:v>
      </x:c>
      <x:c r="AJ17" s="138" t="str">
        <x:v>Objetivo y 11 bloques están explícitos; brecha y criterio son inferencias sustentadas.</x:v>
      </x:c>
      <x:c r="AK17" s="193" t="str">
        <x:v>Y Combinator — How to Pitch Your Company</x:v>
      </x:c>
      <x:c r="AL17" s="193" t="str">
        <x:v>https://www.ycombinator.com/blog/how-to-pitch-your-company/</x:v>
      </x:c>
      <x:c r="AM17" s="193" t="str">
        <x:v>Y Combinator enfatiza que un pitch debe explicar con claridad qué hace la empresa, clientes, progreso y lo que se busca; la efectividad depende de información clara y real, no del formato por sí solo.</x:v>
      </x:c>
      <x:c r="AN17" s="193" t="str">
        <x:v>Directo + inferencia de alcance.</x:v>
      </x:c>
      <x:c r="AO17" s="193" t="str">
        <x:v>No estandarizada.</x:v>
      </x:c>
      <x:c r="AP17" s="193" t="str">
        <x:v>Por validar CEDIA</x:v>
      </x:c>
      <x:c r="AQ17" s="193" t="str">
        <x:v>El copiloto puede redactar el pitch solo a partir de datos ya registrados en el expediente; no debe inventar tracción, mercado ni resultados.</x:v>
      </x:c>
      <x:c r="AR17" s="193" t="str">
        <x:v>Verificado externamente</x:v>
      </x:c>
      <x:c r="AS17" s="193" t="str">
        <x:v>2026-09-10</x:v>
      </x:c>
    </x:row>
    <x:row r="18">
      <x:c r="A18" s="104" t="str">
        <x:v>NEG-001</x:v>
      </x:c>
      <x:c r="B18" s="104" t="str">
        <x:v>Business Model Canvas</x:v>
      </x:c>
      <x:c r="C18" s="104" t="str">
        <x:v>Modelo de Negocio</x:v>
      </x:c>
      <x:c r="D18" s="108" t="str">
        <x:v>Lienzo que permite visualizar de forma integral los nueve elementos clave de un modelo de negocio y analizar sus relaciones.</x:v>
      </x:c>
      <x:c r="E18" s="108" t="str">
        <x:v>Agilizar el modelo de negocio de una organización.</x:v>
      </x:c>
      <x:c r="F18" s="108" t="str">
        <x:v>Modelo de negocio incompleto, poco estructurado o sin claridad sobre cómo se conectan clientes, valor, operación, ingresos y costos.</x:v>
      </x:c>
      <x:c r="G18" s="108" t="str">
        <x:v>Cuando una organización desea analizar su modelo de negocio actual o cuando un emprendimiento necesita validar una nueva idea o iniciar un proyecto.</x:v>
      </x:c>
      <x:c r="H18" s="108" t="str">
        <x:v>No usar el Business Model Canvas como si fuera un plan de negocio validado o definitivo. Sus bloques representan hipótesis que deben actualizarse cuando aparece nueva evidencia.</x:v>
      </x:c>
      <x:c r="I18" s="108" t="str">
        <x:v>Información sobre segmentos de clientes, propuesta de valor, canales, relación con clientes, ingresos, recursos, actividades, aliados y costos.</x:v>
      </x:c>
      <x:c r="J18" s="108" t="str">
        <x:v>1) Segmentos de clientes. 2) Propuesta de valor. 3) Canales. 4) Relación con clientes. 5) Fuentes de ingresos. 6) Recursos clave. 7) Actividades clave. 8) Aliados clave. 9) Estructura de costos.</x:v>
      </x:c>
      <x:c r="K18" s="108" t="str">
        <x:v>Business Model Canvas integrado con los nueve bloques del modelo de negocio.</x:v>
      </x:c>
      <x:c r="L18" s="108" t="str">
        <x:v>Business Model Canvas completado.</x:v>
      </x:c>
      <x:c r="M18" s="108" t="str">
        <x:v>Los nueve bloques están definidos y existe coherencia básica entre segmento, propuesta de valor, forma de entrega, operación, ingresos y costos.</x:v>
      </x:c>
      <x:c r="N18" s="44" t="str">
        <x:v>Modelo de negocio</x:v>
      </x:c>
      <x:c r="O18" s="44" t="str">
        <x:v>Por validar</x:v>
      </x:c>
      <x:c r="P18" s="44"/>
      <x:c r="Q18" s="44"/>
      <x:c r="R18" s="44" t="str">
        <x:v>Por validar</x:v>
      </x:c>
      <x:c r="S18" s="44"/>
      <x:c r="T18" s="44"/>
      <x:c r="U18" s="44"/>
      <x:c r="V18" s="44" t="str">
        <x:v>Por validar</x:v>
      </x:c>
      <x:c r="W18" s="44" t="str">
        <x:v>Por validar</x:v>
      </x:c>
      <x:c r="X18" s="112" t="str">
        <x:v>MODELO DE NEGOCIO - Busines Model Canvas.pdf</x:v>
      </x:c>
      <x:c r="Y18" s="112"/>
      <x:c r="Z18" s="112" t="str">
        <x:v>Preliminar</x:v>
      </x:c>
      <x:c r="AA18" s="112" t="str">
        <x:v>El nombre del archivo usa «Busines» con una sola s; se conserva Business Model Canvas como nombre de la herramienta. Validar con CEDIA relación TRL/CRL, cadena de valor, modalidad, dificultad y reglas de recomendación.</x:v>
      </x:c>
      <x:c r="AB18" s="96" t="n">
        <x:f>IF(B18="","",COUNTA(D18:M18)/10)</x:f>
        <x:v>1</x:v>
      </x:c>
      <x:c r="AC18" s="44" t="str">
        <x:f>IF(B18="","",IF(AB18=1,"Completo",IF(AB18&gt;=0.6,"En desarrollo","Pendiente")))</x:f>
        <x:v>Completo</x:v>
      </x:c>
      <x:c r="AD18" s="136" t="str">
        <x:v>Por validar</x:v>
      </x:c>
      <x:c r="AE18" s="136" t="str">
        <x:v>Por validar</x:v>
      </x:c>
      <x:c r="AF18" s="136" t="str">
        <x:v>Por validar</x:v>
      </x:c>
      <x:c r="AG18" s="136" t="str">
        <x:v>Por validar</x:v>
      </x:c>
      <x:c r="AH18" s="138" t="str">
        <x:v>Documento CEDIA + inferencia sustentada</x:v>
      </x:c>
      <x:c r="AI18" s="138" t="str">
        <x:v>Mixto (directo + inferido)</x:v>
      </x:c>
      <x:c r="AJ18" s="138" t="str">
        <x:v>El objetivo, los nueve bloques y los casos de uso están explícitos en el documento; la brecha y el criterio de cierre son inferencias sustentadas.</x:v>
      </x:c>
      <x:c r="AK18" s="193" t="str">
        <x:v>Strategyzer — Business Model Canvas</x:v>
      </x:c>
      <x:c r="AL18" s="193" t="str">
        <x:v>https://www.strategyzer.com/library/the-business-model-canvas</x:v>
      </x:c>
      <x:c r="AM18" s="193" t="str">
        <x:v>Strategyzer indica que el BMC usa nueve bloques, muestra dependencias entre ellos y debe tratarse como una afirmación/hipótesis, no como un plan definitivo.</x:v>
      </x:c>
      <x:c r="AN18" s="193" t="str">
        <x:v>Directo.</x:v>
      </x:c>
      <x:c r="AO18" s="193" t="str">
        <x:v>No existe un tiempo único oficial.</x:v>
      </x:c>
      <x:c r="AP18" s="193" t="str">
        <x:v>Por validar CEDIA</x:v>
      </x:c>
      <x:c r="AQ18" s="193" t="str">
        <x:v>Versionar cada Canvas y vincular cambios con evidencias o aprendizajes que expliquen por qué se modificó.</x:v>
      </x:c>
      <x:c r="AR18" s="193" t="str">
        <x:v>Verificado externamente</x:v>
      </x:c>
      <x:c r="AS18" s="193" t="str">
        <x:v>2026-09-10</x:v>
      </x:c>
    </x:row>
    <x:row r="19">
      <x:c r="A19" s="104" t="str">
        <x:v>NEG-002</x:v>
      </x:c>
      <x:c r="B19" s="104" t="str">
        <x:v>Lienzo de Propuesta de Valor</x:v>
      </x:c>
      <x:c r="C19" s="104" t="str">
        <x:v>Modelo de Negocio</x:v>
      </x:c>
      <x:c r="D19" s="108" t="str">
        <x:v>Lienzo que relaciona el perfil del cliente con una propuesta de valor mediante trabajos, frustraciones, motivaciones, productos/servicios, aliviadores y creadores de valor.</x:v>
      </x:c>
      <x:c r="E19" s="108" t="str">
        <x:v>Validar la propuesta de valor.</x:v>
      </x:c>
      <x:c r="F19" s="108" t="str">
        <x:v>Propuesta de valor no alineada de forma suficiente con los trabajos, frustraciones y motivaciones de un segmento específico.</x:v>
      </x:c>
      <x:c r="G19" s="108" t="str">
        <x:v>Cuando se necesita revisar o validar la correspondencia entre un segmento de cliente y la propuesta de valor ofrecida.</x:v>
      </x:c>
      <x:c r="H19" s="108" t="str">
        <x:v>No usar el Lienzo de Propuesta de Valor para afirmar que existe encaje producto‑mercado sin validación externa. Tampoco se deben mezclar varios segmentos de clientes en un mismo perfil.</x:v>
      </x:c>
      <x:c r="I19" s="108" t="str">
        <x:v>Un segmento específico, información sobre sus trabajos, frustraciones y motivaciones, y una propuesta preliminar de productos o servicios.</x:v>
      </x:c>
      <x:c r="J19" s="108" t="str">
        <x:v>1) Definir Customer Jobs. 2) Definir Pains. 3) Definir Gains. 4) Listar productos/servicios. 5) Definir Pain Relievers. 6) Definir Gains Creators. 7) Relacionar el mapa de valor con el perfil del cliente.</x:v>
      </x:c>
      <x:c r="K19" s="108" t="str">
        <x:v>Lienzo de Propuesta de Valor con perfil del cliente y mapa de valor relacionados.</x:v>
      </x:c>
      <x:c r="L19" s="108" t="str">
        <x:v>Lienzo de Propuesta de Valor completado.</x:v>
      </x:c>
      <x:c r="M19" s="108" t="str">
        <x:v>Los seis componentes están documentados y la propuesta muestra una relación clara entre lo que el cliente intenta lograr y cómo la oferta alivia frustraciones o crea beneficios.</x:v>
      </x:c>
      <x:c r="N19" s="44" t="str">
        <x:v>Cualquiera</x:v>
      </x:c>
      <x:c r="O19" s="44" t="str">
        <x:v>Por validar</x:v>
      </x:c>
      <x:c r="P19" s="44"/>
      <x:c r="Q19" s="44"/>
      <x:c r="R19" s="44" t="str">
        <x:v>Por validar</x:v>
      </x:c>
      <x:c r="S19" s="44"/>
      <x:c r="T19" s="44"/>
      <x:c r="U19" s="44"/>
      <x:c r="V19" s="44" t="str">
        <x:v>Por validar</x:v>
      </x:c>
      <x:c r="W19" s="44" t="str">
        <x:v>Por validar</x:v>
      </x:c>
      <x:c r="X19" s="112" t="str">
        <x:v>MODELO DE NEGOCIO - Lienzo de Propuesta de Valor.pdf</x:v>
      </x:c>
      <x:c r="Y19" s="112"/>
      <x:c r="Z19" s="112" t="str">
        <x:v>Preliminar</x:v>
      </x:c>
      <x:c r="AA19" s="112" t="str">
        <x:v>Validar con CEDIA relación TRL/CRL, cadena de valor, modalidad, dificultad y reglas de recomendación.</x:v>
      </x:c>
      <x:c r="AB19" s="96" t="n">
        <x:f>IF(B19="","",COUNTA(D19:M19)/10)</x:f>
        <x:v>1</x:v>
      </x:c>
      <x:c r="AC19" s="44" t="str">
        <x:f>IF(B19="","",IF(AB19=1,"Completo",IF(AB19&gt;=0.6,"En desarrollo","Pendiente")))</x:f>
        <x:v>Completo</x:v>
      </x:c>
      <x:c r="AD19" s="136" t="str">
        <x:v>Por validar</x:v>
      </x:c>
      <x:c r="AE19" s="136" t="str">
        <x:v>Por validar</x:v>
      </x:c>
      <x:c r="AF19" s="136" t="str">
        <x:v>Por validar</x:v>
      </x:c>
      <x:c r="AG19" s="136" t="str">
        <x:v>Por validar</x:v>
      </x:c>
      <x:c r="AH19" s="138" t="str">
        <x:v>Documento CEDIA + inferencia sustentada</x:v>
      </x:c>
      <x:c r="AI19" s="138" t="str">
        <x:v>Mixto (directo + inferido)</x:v>
      </x:c>
      <x:c r="AJ19" s="138" t="str">
        <x:v>Los dos lados del lienzo y sus seis componentes están explícitos; la relación de ajuste y el criterio de cierre son una inferencia sustentada.</x:v>
      </x:c>
      <x:c r="AK19" s="193" t="str">
        <x:v>Strategyzer — Value Proposition Canvas</x:v>
      </x:c>
      <x:c r="AL19" s="193" t="str">
        <x:v>https://www.strategyzer.com/library/the-value-proposition-canvas</x:v>
      </x:c>
      <x:c r="AM19" s="193" t="str">
        <x:v>Strategyzer señala que el lienzo describe jobs, pains y gains de un segmento y el valor creado; el «fit» sigue siendo una hipótesis hasta que clientes lo confirman.</x:v>
      </x:c>
      <x:c r="AN19" s="193" t="str">
        <x:v>Directo.</x:v>
      </x:c>
      <x:c r="AO19" s="193" t="str">
        <x:v>No existe un tiempo único oficial.</x:v>
      </x:c>
      <x:c r="AP19" s="193" t="str">
        <x:v>Por validar CEDIA</x:v>
      </x:c>
      <x:c r="AQ19" s="193" t="str">
        <x:v>Marcar «fit hipotético» hasta que existan entrevistas, pruebas o ventas; mantener un perfil por segmento.</x:v>
      </x:c>
      <x:c r="AR19" s="193" t="str">
        <x:v>Verificado externamente</x:v>
      </x:c>
      <x:c r="AS19" s="193" t="str">
        <x:v>2026-09-10</x:v>
      </x:c>
    </x:row>
    <x:row r="20">
      <x:c r="A20" s="104" t="str">
        <x:v>PRO-001</x:v>
      </x:c>
      <x:c r="B20" s="104" t="str">
        <x:v>Job To Be Done</x:v>
      </x:c>
      <x:c r="C20" s="104" t="str">
        <x:v>Prototipado</x:v>
      </x:c>
      <x:c r="D20" s="108" t="str">
        <x:v>Marco para identificar y priorizar los trabajos funcionales, emocionales y sociales que el cliente desea realizar.</x:v>
      </x:c>
      <x:c r="E20" s="108" t="str">
        <x:v>Definir necesidades prioritarias de clientes.</x:v>
      </x:c>
      <x:c r="F20" s="108" t="str">
        <x:v>Trabajos, necesidades y prioridades del cliente insuficientemente definidos.</x:v>
      </x:c>
      <x:c r="G20" s="108" t="str">
        <x:v>Cuando se necesita segmentar por necesidades y comprender qué trabajo busca realizar el cliente antes de diseñar o ajustar la solución.</x:v>
      </x:c>
      <x:c r="H20" s="108" t="str">
        <x:v>No usar Jobs to Be Done como simple perfil demográfico ni asumir que identificar un «job» ya demuestra qué solución construir. El job debe describir el progreso/tarea del cliente y las oportunidades requieren investigación posterior.</x:v>
      </x:c>
      <x:c r="I20" s="108" t="str">
        <x:v>Información sobre usuario, motivaciones, barreras, ganancias, contexto y necesidades.</x:v>
      </x:c>
      <x:c r="J20" s="108" t="str">
        <x:v>Bloque 1: características del usuario y trabajos. Bloque 2: priorizar jobs por importancia, satisfacción y alto valor. Bloque 3: formular persona «Soy/Necesito/Para». Bloque 4: boceto preliminar del producto/servicio.</x:v>
      </x:c>
      <x:c r="K20" s="108" t="str">
        <x:v>Jobs priorizados, perfil «Soy/Necesito/Para» y boceto preliminar de solución.</x:v>
      </x:c>
      <x:c r="L20" s="108" t="str">
        <x:v>Lienzo Job To Be Done completado.</x:v>
      </x:c>
      <x:c r="M20" s="108" t="str">
        <x:v>Los trabajos están clasificados y priorizados y existe una formulación clara de usuario-necesidad-job.</x:v>
      </x:c>
      <x:c r="N20" s="44" t="str">
        <x:v>Cualquiera</x:v>
      </x:c>
      <x:c r="O20" s="44" t="str">
        <x:v>Por validar</x:v>
      </x:c>
      <x:c r="P20" s="44"/>
      <x:c r="Q20" s="44"/>
      <x:c r="R20" s="44" t="str">
        <x:v>Por validar</x:v>
      </x:c>
      <x:c r="S20" s="44"/>
      <x:c r="T20" s="44"/>
      <x:c r="U20" s="44"/>
      <x:c r="V20" s="44" t="str">
        <x:v>Por validar</x:v>
      </x:c>
      <x:c r="W20" s="44" t="str">
        <x:v>Por validar</x:v>
      </x:c>
      <x:c r="X20" s="112" t="str">
        <x:v>PROTOTIPADO - Job To Be Donde.pdf</x:v>
      </x:c>
      <x:c r="Y20" s="112"/>
      <x:c r="Z20" s="112" t="str">
        <x:v>Preliminar</x:v>
      </x:c>
      <x:c r="AA20" s="112" t="str">
        <x:v>Validar con CEDIA la relación TRL/CRL, cadena de valor, modalidad, dificultad y reglas de recomendación.</x:v>
      </x:c>
      <x:c r="AB20" s="96" t="n">
        <x:f>IF(B20="","",COUNTA(D20:M20)/10)</x:f>
        <x:v>1</x:v>
      </x:c>
      <x:c r="AC20" s="44" t="str">
        <x:f>IF(B20="","",IF(AB20=1,"Completo",IF(AB20&gt;=0.6,"En desarrollo","Pendiente")))</x:f>
        <x:v>Completo</x:v>
      </x:c>
      <x:c r="AD20" s="136" t="str">
        <x:v>Por validar</x:v>
      </x:c>
      <x:c r="AE20" s="136" t="str">
        <x:v>Por validar</x:v>
      </x:c>
      <x:c r="AF20" s="136" t="str">
        <x:v>Por validar</x:v>
      </x:c>
      <x:c r="AG20" s="136" t="str">
        <x:v>Por validar</x:v>
      </x:c>
      <x:c r="AH20" s="138" t="str">
        <x:v>Documento CEDIA + inferencia sustentada</x:v>
      </x:c>
      <x:c r="AI20" s="138" t="str">
        <x:v>Mixto (directo + inferido)</x:v>
      </x:c>
      <x:c r="AJ20" s="138" t="str">
        <x:v>Los cuatro bloques y criterios de prioridad están explícitos; brecha y criterio son inferencias sustentadas.</x:v>
      </x:c>
      <x:c r="AK20" s="193" t="str">
        <x:v>Strategyn — Jobs to Be Done</x:v>
      </x:c>
      <x:c r="AL20" s="193" t="str">
        <x:v>https://strategyn.com/jobs-to-be-done/</x:v>
      </x:c>
      <x:c r="AM20" s="193" t="str">
        <x:v>Strategyn trata el Job como unidad de análisis distinta de características demográficas o del producto y vincula la innovación con resultados que el cliente usa para medir éxito.</x:v>
      </x:c>
      <x:c r="AN20" s="193" t="str">
        <x:v>Directo + inferencia.</x:v>
      </x:c>
      <x:c r="AO20" s="193" t="str">
        <x:v>No estandarizada.</x:v>
      </x:c>
      <x:c r="AP20" s="193" t="str">
        <x:v>Por validar CEDIA</x:v>
      </x:c>
      <x:c r="AQ20" s="193" t="str">
        <x:v>Separar job, usuario ejecutor y solución; no permitir que la herramienta se complete solo con características del producto.</x:v>
      </x:c>
      <x:c r="AR20" s="193" t="str">
        <x:v>Verificado externamente</x:v>
      </x:c>
      <x:c r="AS20" s="193" t="str">
        <x:v>2026-09-10</x:v>
      </x:c>
    </x:row>
    <x:row r="21">
      <x:c r="A21" s="104" t="str">
        <x:v>PRO-002</x:v>
      </x:c>
      <x:c r="B21" s="104" t="str">
        <x:v>Mapa de Empatía</x:v>
      </x:c>
      <x:c r="C21" s="104" t="str">
        <x:v>Prototipado</x:v>
      </x:c>
      <x:c r="D21" s="108" t="str">
        <x:v>Herramienta para comprender de manera profunda lo que el cliente piensa, siente, ve, dice, hace, escucha, teme y desea.</x:v>
      </x:c>
      <x:c r="E21" s="108" t="str">
        <x:v>Conocer las motivaciones y frustraciones de los clientes para diseñar nuevos o mejores productos.</x:v>
      </x:c>
      <x:c r="F21" s="108" t="str">
        <x:v>Comprensión insuficiente de motivaciones, frustraciones, comportamiento y contexto del cliente.</x:v>
      </x:c>
      <x:c r="G21" s="108" t="str">
        <x:v>Cuando existe una idea de negocio definida y un cliente objetivo segmentado que se desea comprender con mayor profundidad.</x:v>
      </x:c>
      <x:c r="H21" s="108" t="str">
        <x:v>No usar el Mapa de Empatía como sustituto de investigación con usuarios ni juntar varios tipos de usuario en un solo mapa. Si el mapa está basado en poca información, debe considerarse una hipótesis a investigar.</x:v>
      </x:c>
      <x:c r="I21" s="108" t="str">
        <x:v>Idea de negocio definida y segmento de cliente objetivo; opcionalmente, segmento priorizado de un Lienzo de Modelo de Negocio.</x:v>
      </x:c>
      <x:c r="J21" s="108" t="str">
        <x:v>Completar seis bloques: piensa/siente; ve; dice/hace; escucha; frustraciones/esfuerzos; motivaciones/resultados.</x:v>
      </x:c>
      <x:c r="K21" s="108" t="str">
        <x:v>Mapa de Empatía del segmento objetivo.</x:v>
      </x:c>
      <x:c r="L21" s="108" t="str">
        <x:v>Mapa de Empatía completado.</x:v>
      </x:c>
      <x:c r="M21" s="108" t="str">
        <x:v>Los seis bloques están documentados y permiten describir motivaciones, barreras, entorno y comportamientos del cliente.</x:v>
      </x:c>
      <x:c r="N21" s="44" t="str">
        <x:v>Cualquiera</x:v>
      </x:c>
      <x:c r="O21" s="44" t="str">
        <x:v>Por validar</x:v>
      </x:c>
      <x:c r="P21" s="44"/>
      <x:c r="Q21" s="44"/>
      <x:c r="R21" s="44" t="str">
        <x:v>Por validar</x:v>
      </x:c>
      <x:c r="S21" s="44"/>
      <x:c r="T21" s="44"/>
      <x:c r="U21" s="44"/>
      <x:c r="V21" s="44" t="str">
        <x:v>Por validar</x:v>
      </x:c>
      <x:c r="W21" s="44" t="str">
        <x:v>Por validar</x:v>
      </x:c>
      <x:c r="X21" s="112" t="str">
        <x:v>PROTOTIPADO - Mapa de Empatía.pdf</x:v>
      </x:c>
      <x:c r="Y21" s="112"/>
      <x:c r="Z21" s="112" t="str">
        <x:v>Preliminar</x:v>
      </x:c>
      <x:c r="AA21" s="112" t="str">
        <x:v>Confirmar con CEDIA la nomenclatura oficial: el PDF se llama «Mapa de Empatía», pero el encabezado interno dice «Job To Be Done». Validar con CEDIA la relación TRL/CRL, cadena de valor, modalidad, dificultad y reglas de recomendación.</x:v>
      </x:c>
      <x:c r="AB21" s="96" t="n">
        <x:f>IF(B21="","",COUNTA(D21:M21)/10)</x:f>
        <x:v>1</x:v>
      </x:c>
      <x:c r="AC21" s="44" t="str">
        <x:f>IF(B21="","",IF(AB21=1,"Completo",IF(AB21&gt;=0.6,"En desarrollo","Pendiente")))</x:f>
        <x:v>Completo</x:v>
      </x:c>
      <x:c r="AD21" s="136" t="str">
        <x:v>Por validar</x:v>
      </x:c>
      <x:c r="AE21" s="136" t="str">
        <x:v>Por validar</x:v>
      </x:c>
      <x:c r="AF21" s="136" t="str">
        <x:v>Por validar</x:v>
      </x:c>
      <x:c r="AG21" s="136" t="str">
        <x:v>Por validar</x:v>
      </x:c>
      <x:c r="AH21" s="138" t="str">
        <x:v>Documento CEDIA + inferencia sustentada</x:v>
      </x:c>
      <x:c r="AI21" s="138" t="str">
        <x:v>Mixto (directo + inferido)</x:v>
      </x:c>
      <x:c r="AJ21" s="138" t="str">
        <x:v>El documento exige idea de negocio definida y segmentación y describe seis bloques; el encabezado interno muestra «Job To Be Done», inconsistente con el nombre/ contenido del archivo.</x:v>
      </x:c>
      <x:c r="AK21" s="193" t="str">
        <x:v>Nielsen Norman Group — Empathy Mapping</x:v>
      </x:c>
      <x:c r="AL21" s="193" t="str">
        <x:v>https://www.nngroup.com/articles/empathy-mapping/</x:v>
      </x:c>
      <x:c r="AM21" s="193" t="str">
        <x:v>NN/g recomienda un mapa por usuario/persona, utilizar investigación cualitativa y actualizarlo a medida que se obtiene nueva evidencia; un mapa escaso revela brechas de investigación.</x:v>
      </x:c>
      <x:c r="AN21" s="193" t="str">
        <x:v>Directo.</x:v>
      </x:c>
      <x:c r="AO21" s="193" t="str">
        <x:v>No estandarizada.</x:v>
      </x:c>
      <x:c r="AP21" s="193" t="str">
        <x:v>Por validar CEDIA</x:v>
      </x:c>
      <x:c r="AQ21" s="193" t="str">
        <x:v>Mostrar nivel de evidencia del mapa y ofrecer generar preguntas de investigación para los cuadrantes débiles.</x:v>
      </x:c>
      <x:c r="AR21" s="193" t="str">
        <x:v>Verificado externamente</x:v>
      </x:c>
      <x:c r="AS21" s="193" t="str">
        <x:v>2026-09-10</x:v>
      </x:c>
    </x:row>
    <x:row r="22">
      <x:c r="A22" s="104" t="str">
        <x:v>PRO-003</x:v>
      </x:c>
      <x:c r="B22" s="104" t="str">
        <x:v>¿Qué debe hacer mi solución?</x:v>
      </x:c>
      <x:c r="C22" s="104" t="str">
        <x:v>Prototipado</x:v>
      </x:c>
      <x:c r="D22" s="108" t="str">
        <x:v>Herramienta para definir qué trabajo debe resolver la solución y traducir necesidades del cliente en atributos funcionales y emocionales.</x:v>
      </x:c>
      <x:c r="E22" s="108" t="str">
        <x:v>Definir los principales atributos del producto o servicio.</x:v>
      </x:c>
      <x:c r="F22" s="108" t="str">
        <x:v>Atributos de la solución no alineados con el trabajo, necesidades o alternativas actuales del cliente.</x:v>
      </x:c>
      <x:c r="G22" s="108" t="str">
        <x:v>En la etapa de diseño de un producto o servicio o cuando se desean realizar mejoras.</x:v>
      </x:c>
      <x:c r="H22" s="108" t="str">
        <x:v>No usar esta herramienta si todavía no está claro qué trabajo o necesidad intenta resolver el usuario, ni convertir características del producto en «necesidades». Primero se debe comprender el job y después diseñar atributos.</x:v>
      </x:c>
      <x:c r="I22" s="108" t="str">
        <x:v>Trabajo a resolver, necesidades del usuario y referencias sobre soluciones actuales.</x:v>
      </x:c>
      <x:c r="J22" s="108" t="str">
        <x:v>Definir trabajo a resolver; atributos funcionales; necesidades principales; al menos tres soluciones actuales; aspectos emocionales en dimensión personal y social.</x:v>
      </x:c>
      <x:c r="K22" s="108" t="str">
        <x:v>Definición estructurada del trabajo, atributos funcionales/emocionales, necesidades y soluciones actuales.</x:v>
      </x:c>
      <x:c r="L22" s="108" t="str">
        <x:v>Lienzo «¿Qué debe hacer mi solución?» completado.</x:v>
      </x:c>
      <x:c r="M22" s="108" t="str">
        <x:v>El trabajo a resolver y los atributos de la solución están vinculados con necesidades del cliente y se han considerado alternativas actuales.</x:v>
      </x:c>
      <x:c r="N22" s="44" t="str">
        <x:v>Cualquiera</x:v>
      </x:c>
      <x:c r="O22" s="44" t="str">
        <x:v>Por validar</x:v>
      </x:c>
      <x:c r="P22" s="44"/>
      <x:c r="Q22" s="44"/>
      <x:c r="R22" s="44" t="str">
        <x:v>Por validar</x:v>
      </x:c>
      <x:c r="S22" s="44"/>
      <x:c r="T22" s="44"/>
      <x:c r="U22" s="44"/>
      <x:c r="V22" s="44" t="str">
        <x:v>Por validar</x:v>
      </x:c>
      <x:c r="W22" s="44" t="str">
        <x:v>Por validar</x:v>
      </x:c>
      <x:c r="X22" s="112" t="str">
        <x:v>PROTOTIPADO - Que debe hacer mi solución.docx.pdf</x:v>
      </x:c>
      <x:c r="Y22" s="112"/>
      <x:c r="Z22" s="112" t="str">
        <x:v>Preliminar</x:v>
      </x:c>
      <x:c r="AA22" s="112" t="str">
        <x:v>Validar con CEDIA la relación TRL/CRL, cadena de valor, modalidad, dificultad y reglas de recomendación.</x:v>
      </x:c>
      <x:c r="AB22" s="96" t="n">
        <x:f>IF(B22="","",COUNTA(D22:M22)/10)</x:f>
        <x:v>1</x:v>
      </x:c>
      <x:c r="AC22" s="44" t="str">
        <x:f>IF(B22="","",IF(AB22=1,"Completo",IF(AB22&gt;=0.6,"En desarrollo","Pendiente")))</x:f>
        <x:v>Completo</x:v>
      </x:c>
      <x:c r="AD22" s="136" t="str">
        <x:v>Por validar</x:v>
      </x:c>
      <x:c r="AE22" s="136" t="str">
        <x:v>Por validar</x:v>
      </x:c>
      <x:c r="AF22" s="136" t="str">
        <x:v>Por validar</x:v>
      </x:c>
      <x:c r="AG22" s="136" t="str">
        <x:v>Por validar</x:v>
      </x:c>
      <x:c r="AH22" s="138" t="str">
        <x:v>Documento CEDIA + inferencia sustentada</x:v>
      </x:c>
      <x:c r="AI22" s="138" t="str">
        <x:v>Mixto (directo + inferido)</x:v>
      </x:c>
      <x:c r="AJ22" s="138" t="str">
        <x:v>Objetivo, momento de uso y bloques están explícitos; brecha y criterio son inferencias sustentadas.</x:v>
      </x:c>
      <x:c r="AK22" s="193" t="str">
        <x:v>Strategyn — Customer Needs Through a Jobs-to-be-Done Lens</x:v>
      </x:c>
      <x:c r="AL22" s="193" t="str">
        <x:v>https://strategyn.com/customer-needs-through-a-jobs-to-be-done-lens/</x:v>
      </x:c>
      <x:c r="AM22" s="193" t="str">
        <x:v>Strategyn plantea que las necesidades deben asociarse al trabajo del cliente, expresarse de forma independiente de soluciones y aportar información accionable al diseño.</x:v>
      </x:c>
      <x:c r="AN22" s="193" t="str">
        <x:v>Directo + adaptación al alcance CEDIA.</x:v>
      </x:c>
      <x:c r="AO22" s="193" t="str">
        <x:v>No estandarizada.</x:v>
      </x:c>
      <x:c r="AP22" s="193" t="str">
        <x:v>Por validar CEDIA</x:v>
      </x:c>
      <x:c r="AQ22" s="193" t="str">
        <x:v>Bloquear la definición de atributos si no existe previamente un job/necesidad documentado.</x:v>
      </x:c>
      <x:c r="AR22" s="193" t="str">
        <x:v>Verificado externamente</x:v>
      </x:c>
      <x:c r="AS22" s="193" t="str">
        <x:v>2026-09-10</x:v>
      </x:c>
    </x:row>
    <x:row r="23">
      <x:c r="A23" s="104" t="str">
        <x:v>PRO-004</x:v>
      </x:c>
      <x:c r="B23" s="104" t="str">
        <x:v>Requisitos de Solución</x:v>
      </x:c>
      <x:c r="C23" s="104" t="str">
        <x:v>Prototipado</x:v>
      </x:c>
      <x:c r="D23" s="108" t="str">
        <x:v>Marco para especificar requisitos funcionales, tecnológicos/constructivos y expresivos de un producto o servicio.</x:v>
      </x:c>
      <x:c r="E23" s="108" t="str">
        <x:v>Definir elementos que mejoren el producto o servicio mediante requisitos de funcionalidad, constructividad y expresividad.</x:v>
      </x:c>
      <x:c r="F23" s="108" t="str">
        <x:v>Requisitos funcionales, tecnológicos y expresivos insuficientemente especificados.</x:v>
      </x:c>
      <x:c r="G23" s="108" t="str">
        <x:v>Cuando se necesita traducir necesidades y condiciones de uso en requisitos concretos del producto o servicio.</x:v>
      </x:c>
      <x:c r="H23" s="108" t="str">
        <x:v>No usar los requisitos como una lista cerrada basada solo en la opinión del equipo. Deben derivarse de necesidades y expectativas de usuarios/stakeholders, ser claros y revisarse/validarse durante el desarrollo.</x:v>
      </x:c>
      <x:c r="I23" s="108" t="str">
        <x:v>Conocimiento del cliente, propósito del producto/servicio, condiciones de uso, materiales/procesos y criterios de interacción.</x:v>
      </x:c>
      <x:c r="J23" s="108" t="str">
        <x:v>Definir requisitos funcionales (ergonomía, componentes, soporte, entorno, uso/mantenimiento); tecnológicos (materiales, acabados, fabricación, costo-beneficio, logística); expresivos (composición, claridad, color, dinámica y forma).</x:v>
      </x:c>
      <x:c r="K23" s="108" t="str">
        <x:v>Conjunto estructurado de requisitos funcionales, tecnológicos y expresivos.</x:v>
      </x:c>
      <x:c r="L23" s="108" t="str">
        <x:v>Matriz/listado de Requisitos de Solución completado.</x:v>
      </x:c>
      <x:c r="M23" s="108" t="str">
        <x:v>Las tres categorías de requisitos han sido definidas con criterios suficientes para orientar diseño y mejora.</x:v>
      </x:c>
      <x:c r="N23" s="44" t="str">
        <x:v>Cualquiera</x:v>
      </x:c>
      <x:c r="O23" s="44" t="str">
        <x:v>Por validar</x:v>
      </x:c>
      <x:c r="P23" s="44"/>
      <x:c r="Q23" s="44"/>
      <x:c r="R23" s="44" t="str">
        <x:v>Por validar</x:v>
      </x:c>
      <x:c r="S23" s="44"/>
      <x:c r="T23" s="44"/>
      <x:c r="U23" s="44"/>
      <x:c r="V23" s="44" t="str">
        <x:v>Por validar</x:v>
      </x:c>
      <x:c r="W23" s="44" t="str">
        <x:v>Por validar</x:v>
      </x:c>
      <x:c r="X23" s="112" t="str">
        <x:v>PROTOTIPADO - Requisitos de Solución.pdf</x:v>
      </x:c>
      <x:c r="Y23" s="112"/>
      <x:c r="Z23" s="112" t="str">
        <x:v>Preliminar</x:v>
      </x:c>
      <x:c r="AA23" s="112" t="str">
        <x:v>Confirmar con CEDIA el nombre oficial: el archivo se denomina «Requisitos de Solución», pero el encabezado interno muestra «¿Qué debe hacer mi solución?». Validar con CEDIA la relación TRL/CRL, cadena de valor, modalidad, dificultad y reglas de recomendación.</x:v>
      </x:c>
      <x:c r="AB23" s="96" t="n">
        <x:f>IF(B23="","",COUNTA(D23:M23)/10)</x:f>
        <x:v>1</x:v>
      </x:c>
      <x:c r="AC23" s="44" t="str">
        <x:f>IF(B23="","",IF(AB23=1,"Completo",IF(AB23&gt;=0.6,"En desarrollo","Pendiente")))</x:f>
        <x:v>Completo</x:v>
      </x:c>
      <x:c r="AD23" s="136" t="str">
        <x:v>Por validar</x:v>
      </x:c>
      <x:c r="AE23" s="136" t="str">
        <x:v>Por validar</x:v>
      </x:c>
      <x:c r="AF23" s="136" t="str">
        <x:v>Por validar</x:v>
      </x:c>
      <x:c r="AG23" s="136" t="str">
        <x:v>Por validar</x:v>
      </x:c>
      <x:c r="AH23" s="138" t="str">
        <x:v>Documento CEDIA + inferencia sustentada</x:v>
      </x:c>
      <x:c r="AI23" s="138" t="str">
        <x:v>Mixto (directo + inferido)</x:v>
      </x:c>
      <x:c r="AJ23" s="138" t="str">
        <x:v>Las tres categorías y sus elementos están explícitos; el encabezado interno repite «¿Qué debe hacer mi solución?», por lo que el nombre oficial debe confirmarse.</x:v>
      </x:c>
      <x:c r="AK23" s="193" t="str">
        <x:v>NASA — Technical Requirements Definition</x:v>
      </x:c>
      <x:c r="AL23" s="193" t="str">
        <x:v>https://www.nasa.gov/reference/4-2-technical-requirements-definition/</x:v>
      </x:c>
      <x:c r="AM23" s="193" t="str">
        <x:v>NASA indica que los requisitos técnicos parten de expectativas de stakeholders, funciones, interfaces y restricciones y deben transformarse en criterios completos y validados para orientar el diseño.</x:v>
      </x:c>
      <x:c r="AN23" s="193" t="str">
        <x:v>Directo + adaptación a producto/servicio.</x:v>
      </x:c>
      <x:c r="AO23" s="193" t="str">
        <x:v>Depende de la complejidad del producto.</x:v>
      </x:c>
      <x:c r="AP23" s="193" t="str">
        <x:v>Por validar CEDIA</x:v>
      </x:c>
      <x:c r="AQ23" s="193" t="str">
        <x:v>Relacionar cada requisito con una necesidad/evidencia de origen y permitir versionado; evitar requisitos sin trazabilidad.</x:v>
      </x:c>
      <x:c r="AR23" s="193" t="str">
        <x:v>Verificado externamente</x:v>
      </x:c>
      <x:c r="AS23" s="193" t="str">
        <x:v>2026-09-10</x:v>
      </x:c>
    </x:row>
    <x:row r="24">
      <x:c r="A24" s="104" t="str">
        <x:v>PRO-005</x:v>
      </x:c>
      <x:c r="B24" s="104" t="str">
        <x:v>Storyboard</x:v>
      </x:c>
      <x:c r="C24" s="104" t="str">
        <x:v>Prototipado</x:v>
      </x:c>
      <x:c r="D24" s="108" t="str">
        <x:v>Prototipo visual secuencial que representa la interacción del usuario con un producto o servicio.</x:v>
      </x:c>
      <x:c r="E24" s="108" t="str">
        <x:v>Transmitir una idea de manera visual.</x:v>
      </x:c>
      <x:c r="F24" s="108" t="str">
        <x:v>Interacción o experiencia del usuario no visualizada, dificultando detectar fricciones y mejoras del prototipo.</x:v>
      </x:c>
      <x:c r="G24" s="108" t="str">
        <x:v>Principalmente en la fase de prototipado de ideas, para representar fragmentos de la experiencia del cliente o situaciones relevantes.</x:v>
      </x:c>
      <x:c r="H24" s="108" t="str">
        <x:v>No usar un Storyboard como prueba de que la experiencia funciona ni cuando no existe un escenario específico. El storyboard comunica una secuencia hipotética; después debe contrastarse con prototipos o usuarios.</x:v>
      </x:c>
      <x:c r="I24" s="108" t="str">
        <x:v>Problema que resuelve el producto/servicio, idea de interacción y situaciones clave del antes, durante y después.</x:v>
      </x:c>
      <x:c r="J24" s="108" t="str">
        <x:v>Dibujar el proceso en ocho frames que cubran antes/durante/después; acompañar cada viñeta con descripción; registrar problema, resumen de historia y observaciones/insights.</x:v>
      </x:c>
      <x:c r="K24" s="108" t="str">
        <x:v>Storyboard de ocho frames de la experiencia/interacción del usuario.</x:v>
      </x:c>
      <x:c r="L24" s="108" t="str">
        <x:v>Storyboard completado con viñetas, descripciones y observaciones.</x:v>
      </x:c>
      <x:c r="M24" s="108" t="str">
        <x:v>La secuencia representa de forma comprensible la interacción y registra puntos de fricción, insights o mejoras potenciales.</x:v>
      </x:c>
      <x:c r="N24" s="44" t="str">
        <x:v>Cualquiera</x:v>
      </x:c>
      <x:c r="O24" s="44" t="str">
        <x:v>Por validar</x:v>
      </x:c>
      <x:c r="P24" s="44"/>
      <x:c r="Q24" s="44"/>
      <x:c r="R24" s="44" t="str">
        <x:v>Por validar</x:v>
      </x:c>
      <x:c r="S24" s="44"/>
      <x:c r="T24" s="44"/>
      <x:c r="U24" s="44"/>
      <x:c r="V24" s="44" t="str">
        <x:v>Por validar</x:v>
      </x:c>
      <x:c r="W24" s="44" t="str">
        <x:v>Por validar</x:v>
      </x:c>
      <x:c r="X24" s="112" t="str">
        <x:v>PROTOTIPADO - Storyboard.pdf</x:v>
      </x:c>
      <x:c r="Y24" s="112"/>
      <x:c r="Z24" s="112" t="str">
        <x:v>Preliminar</x:v>
      </x:c>
      <x:c r="AA24" s="112" t="str">
        <x:v>Validar con CEDIA la relación TRL/CRL, cadena de valor, modalidad, dificultad y reglas de recomendación.</x:v>
      </x:c>
      <x:c r="AB24" s="96" t="n">
        <x:f>IF(B24="","",COUNTA(D24:M24)/10)</x:f>
        <x:v>1</x:v>
      </x:c>
      <x:c r="AC24" s="44" t="str">
        <x:f>IF(B24="","",IF(AB24=1,"Completo",IF(AB24&gt;=0.6,"En desarrollo","Pendiente")))</x:f>
        <x:v>Completo</x:v>
      </x:c>
      <x:c r="AD24" s="136" t="str">
        <x:v>Por validar</x:v>
      </x:c>
      <x:c r="AE24" s="136" t="str">
        <x:v>Por validar</x:v>
      </x:c>
      <x:c r="AF24" s="136" t="str">
        <x:v>Por validar</x:v>
      </x:c>
      <x:c r="AG24" s="136" t="str">
        <x:v>Por validar</x:v>
      </x:c>
      <x:c r="AH24" s="138" t="str">
        <x:v>Documento CEDIA + inferencia sustentada</x:v>
      </x:c>
      <x:c r="AI24" s="138" t="str">
        <x:v>Mixto (directo + inferido)</x:v>
      </x:c>
      <x:c r="AJ24" s="138" t="str">
        <x:v>Momento de uso, ocho frames e información adicional están explícitos; brecha y criterio son inferencias sustentadas.</x:v>
      </x:c>
      <x:c r="AK24" s="193" t="str">
        <x:v>Nielsen Norman Group — Storyboards Help Visualize UX Ideas</x:v>
      </x:c>
      <x:c r="AL24" s="193" t="str">
        <x:v>https://www.nngroup.com/articles/storyboards-visualize-ideas/</x:v>
      </x:c>
      <x:c r="AM24" s="193" t="str">
        <x:v>NN/g define el storyboard como una secuencia visual basada en un escenario específico para comunicar y priorizar ideas de experiencia.</x:v>
      </x:c>
      <x:c r="AN24" s="193" t="str">
        <x:v>Directo + inferencia de alcance.</x:v>
      </x:c>
      <x:c r="AO24" s="193" t="str">
        <x:v>No estandarizada.</x:v>
      </x:c>
      <x:c r="AP24" s="193" t="str">
        <x:v>Por validar CEDIA</x:v>
      </x:c>
      <x:c r="AQ24" s="193" t="str">
        <x:v>Exigir escenario/usuario antes de crear viñetas y marcar el resultado como hipótesis de experiencia hasta probarlo.</x:v>
      </x:c>
      <x:c r="AR24" s="193" t="str">
        <x:v>Verificado externamente</x:v>
      </x:c>
      <x:c r="AS24" s="193" t="str">
        <x:v>2026-09-10</x:v>
      </x:c>
    </x:row>
    <x:row r="25">
      <x:c r="A25" s="104" t="str">
        <x:v>PRO-006</x:v>
      </x:c>
      <x:c r="B25" s="104" t="str">
        <x:v>Tres Lupas</x:v>
      </x:c>
      <x:c r="C25" s="104" t="str">
        <x:v>Prototipado</x:v>
      </x:c>
      <x:c r="D25" s="108" t="str">
        <x:v>Evaluación de una idea desde tres perspectivas: deseabilidad del mercado, factibilidad técnica y viabilidad económica.</x:v>
      </x:c>
      <x:c r="E25" s="108" t="str">
        <x:v>Validar el potencial de una idea.</x:v>
      </x:c>
      <x:c r="F25" s="108" t="str">
        <x:v>Potencial de una idea no evaluado de forma conjunta en mercado, técnica y economía.</x:v>
      </x:c>
      <x:c r="G25" s="108" t="str">
        <x:v>Cuando se necesita decidir si una idea cuenta con condiciones mínimas de deseabilidad, factibilidad técnica y viabilidad económica antes de continuar.</x:v>
      </x:c>
      <x:c r="H25" s="108" t="str">
        <x:v>No usar Tres Lupas si se evaluará solo una dimensión. Una idea no debería considerarse lista para avanzar si no se ha revisado de forma conjunta la deseabilidad para las personas, factibilidad técnica y viabilidad para la organización.</x:v>
      </x:c>
      <x:c r="I25" s="108" t="str">
        <x:v>Hipótesis/necesidades de mercado, capacidades técnicas y recursos/costos/expectativas económicas.</x:v>
      </x:c>
      <x:c r="J25" s="108" t="str">
        <x:v>1) Evaluar qué demanda el mercado. 2) Evaluar qué es técnicamente posible. 3) Evaluar qué es económicamente viable. 4) Revisar los tres criterios y fortalecer cualquier componente débil.</x:v>
      </x:c>
      <x:c r="K25" s="108" t="str">
        <x:v>Evaluación integrada de deseabilidad, factibilidad técnica y viabilidad económica.</x:v>
      </x:c>
      <x:c r="L25" s="108" t="str">
        <x:v>Lienzo Tres Lupas completado con análisis de las tres perspectivas.</x:v>
      </x:c>
      <x:c r="M25" s="108" t="str">
        <x:v>Las tres perspectivas están analizadas y se ha identificado si existe algún componente que deba fortalecerse antes de continuar.</x:v>
      </x:c>
      <x:c r="N25" s="44" t="str">
        <x:v>Cualquiera</x:v>
      </x:c>
      <x:c r="O25" s="44" t="str">
        <x:v>Por validar</x:v>
      </x:c>
      <x:c r="P25" s="44"/>
      <x:c r="Q25" s="44"/>
      <x:c r="R25" s="44" t="str">
        <x:v>Por validar</x:v>
      </x:c>
      <x:c r="S25" s="44"/>
      <x:c r="T25" s="44"/>
      <x:c r="U25" s="44"/>
      <x:c r="V25" s="44" t="str">
        <x:v>Por validar</x:v>
      </x:c>
      <x:c r="W25" s="44" t="str">
        <x:v>Por validar</x:v>
      </x:c>
      <x:c r="X25" s="112" t="str">
        <x:v>PROTOTIPADO - Tres Lupas.pdf</x:v>
      </x:c>
      <x:c r="Y25" s="112"/>
      <x:c r="Z25" s="112" t="str">
        <x:v>Preliminar</x:v>
      </x:c>
      <x:c r="AA25" s="112" t="str">
        <x:v>Validar con CEDIA la relación TRL/CRL, cadena de valor, modalidad, dificultad y reglas de recomendación.</x:v>
      </x:c>
      <x:c r="AB25" s="96" t="n">
        <x:f>IF(B25="","",COUNTA(D25:M25)/10)</x:f>
        <x:v>1</x:v>
      </x:c>
      <x:c r="AC25" s="44" t="str">
        <x:f>IF(B25="","",IF(AB25=1,"Completo",IF(AB25&gt;=0.6,"En desarrollo","Pendiente")))</x:f>
        <x:v>Completo</x:v>
      </x:c>
      <x:c r="AD25" s="136" t="str">
        <x:v>Por validar</x:v>
      </x:c>
      <x:c r="AE25" s="136" t="str">
        <x:v>Por validar</x:v>
      </x:c>
      <x:c r="AF25" s="136" t="str">
        <x:v>Por validar</x:v>
      </x:c>
      <x:c r="AG25" s="136" t="str">
        <x:v>Por validar</x:v>
      </x:c>
      <x:c r="AH25" s="138" t="str">
        <x:v>Documento CEDIA + inferencia sustentada</x:v>
      </x:c>
      <x:c r="AI25" s="138" t="str">
        <x:v>Mixto (directo + inferido)</x:v>
      </x:c>
      <x:c r="AJ25" s="138" t="str">
        <x:v>Las tres perspectivas y la condición de no continuar si un componente es deficiente están explícitas; brecha y evidencia son normalizaciones.</x:v>
      </x:c>
      <x:c r="AK25" s="193" t="str">
        <x:v>IDEO — Design Thinking</x:v>
      </x:c>
      <x:c r="AL25" s="193" t="str">
        <x:v>https://designthinking.ideo.com/introduction</x:v>
      </x:c>
      <x:c r="AM25" s="193" t="str">
        <x:v>IDEO describe la innovación como un equilibrio entre deseabilidad humana, factibilidad tecnológica y viabilidad económica/organizacional.</x:v>
      </x:c>
      <x:c r="AN25" s="193" t="str">
        <x:v>Directo.</x:v>
      </x:c>
      <x:c r="AO25" s="193" t="str">
        <x:v>No estandarizada.</x:v>
      </x:c>
      <x:c r="AP25" s="193" t="str">
        <x:v>Por validar CEDIA</x:v>
      </x:c>
      <x:c r="AQ25" s="193" t="str">
        <x:v>No emitir «avanzar» si una de las tres lupas está sin evaluar; mostrar cuál dimensión necesita trabajo adicional.</x:v>
      </x:c>
      <x:c r="AR25" s="193" t="str">
        <x:v>Verificado externamente</x:v>
      </x:c>
      <x:c r="AS25" s="193" t="str">
        <x:v>2026-09-10</x:v>
      </x:c>
    </x:row>
    <x:row r="26">
      <x:c r="A26" s="104" t="str">
        <x:v>SER-001</x:v>
      </x:c>
      <x:c r="B26" s="104" t="str">
        <x:v>Servucción</x:v>
      </x:c>
      <x:c r="C26" s="104" t="str">
        <x:v>Servucción</x:v>
      </x:c>
      <x:c r="D26" s="108" t="str">
        <x:v>Herramienta para analizar y estructurar la producción de un servicio mediante modelo molecular, momentos de verdad y componentes del servicio.</x:v>
      </x:c>
      <x:c r="E26" s="108" t="str">
        <x:v>Analizar y estructurar de manera precisa el proceso de producción de un servicio, comprendiendo los elementos que interactúan para crear una experiencia completa y satisfactoria.</x:v>
      </x:c>
      <x:c r="F26" s="108" t="str">
        <x:v>Servicio no estructurado integralmente en su oferta, puntos de contacto, prestadores, entorno y sistema de entrega.</x:v>
      </x:c>
      <x:c r="G26" s="108" t="str">
        <x:v>Cuando se necesita diseñar, revisar u optimizar cómo se produce y entrega un servicio desde la perspectiva de la experiencia del cliente.</x:v>
      </x:c>
      <x:c r="H26" s="108" t="str">
        <x:v>No usar para idear desde cero un servicio todavía indefinido ni basarse únicamente en cómo el proceso «debería» funcionar. Para estructurar la prestación se necesita un servicio o escenario suficientemente definido y evidencia del funcionamiento real.</x:v>
      </x:c>
      <x:c r="I26" s="108" t="str">
        <x:v>Definición del servicio base, servicios asociados, experiencia del cliente, puntos de contacto, prestadores, estructura y sistema de operación.</x:v>
      </x:c>
      <x:c r="J26" s="108" t="str">
        <x:v>1) Construir el modelo molecular: servicio base, subsecuente, complementario, secundario y estrella. 2) Identificar momentos de verdad: primer contacto, bienvenida, uso, apoyo, problemas/conflictos, despedida y retroalimentación. 3) Analizar componentes: estructura, prestadores, personal de contacto, otros clientes y sistema.</x:v>
      </x:c>
      <x:c r="K26" s="108" t="str">
        <x:v>Modelo estructurado de servucción con oferta de servicios, momentos de verdad y componentes de prestación.</x:v>
      </x:c>
      <x:c r="L26" s="108" t="str">
        <x:v>Modelo de Servucción completado.</x:v>
      </x:c>
      <x:c r="M26" s="108" t="str">
        <x:v>Se encuentran definidos el modelo molecular, los momentos de verdad y los componentes que intervienen en la producción y experiencia del servicio.</x:v>
      </x:c>
      <x:c r="N26" s="44" t="str">
        <x:v>Servicio</x:v>
      </x:c>
      <x:c r="O26" s="44" t="str">
        <x:v>Por validar</x:v>
      </x:c>
      <x:c r="P26" s="44"/>
      <x:c r="Q26" s="44"/>
      <x:c r="R26" s="44" t="str">
        <x:v>Por validar</x:v>
      </x:c>
      <x:c r="S26" s="44"/>
      <x:c r="T26" s="44"/>
      <x:c r="U26" s="44"/>
      <x:c r="V26" s="44" t="str">
        <x:v>Por validar</x:v>
      </x:c>
      <x:c r="W26" s="44" t="str">
        <x:v>Por validar</x:v>
      </x:c>
      <x:c r="X26" s="112" t="str">
        <x:v>SERVUCCIÓN - servucción.pdf</x:v>
      </x:c>
      <x:c r="Y26" s="112"/>
      <x:c r="Z26" s="112" t="str">
        <x:v>Preliminar</x:v>
      </x:c>
      <x:c r="AA26" s="112" t="str">
        <x:v>En el texto se utiliza «Servicio Estrella», mientras que el esquema gráfico de la página 4 muestra «Servicio Expectativa»; confirmar la nomenclatura oficial con CEDIA. Validar con CEDIA relación TRL/CRL, cadena de valor, modalidad, dificultad y reglas de recomendación.</x:v>
      </x:c>
      <x:c r="AB26" s="96" t="n">
        <x:f>IF(B26="","",COUNTA(D26:M26)/10)</x:f>
        <x:v>1</x:v>
      </x:c>
      <x:c r="AC26" s="44" t="str">
        <x:f>IF(B26="","",IF(AB26=1,"Completo",IF(AB26&gt;=0.6,"En desarrollo","Pendiente")))</x:f>
        <x:v>Completo</x:v>
      </x:c>
      <x:c r="AD26" s="136" t="str">
        <x:v>Por validar</x:v>
      </x:c>
      <x:c r="AE26" s="136" t="str">
        <x:v>Por validar</x:v>
      </x:c>
      <x:c r="AF26" s="136" t="str">
        <x:v>Por validar</x:v>
      </x:c>
      <x:c r="AG26" s="136" t="str">
        <x:v>Por validar</x:v>
      </x:c>
      <x:c r="AH26" s="138" t="str">
        <x:v>Documento CEDIA + inferencia sustentada</x:v>
      </x:c>
      <x:c r="AI26" s="138" t="str">
        <x:v>Mixto (directo + inferido)</x:v>
      </x:c>
      <x:c r="AJ26" s="138" t="str">
        <x:v>El objetivo y los tres componentes principales están explícitos; la brecha y el criterio de cierre son inferencias sustentadas.</x:v>
      </x:c>
      <x:c r="AK26" s="193" t="str">
        <x:v>Service Design Tools — Service Blueprint</x:v>
      </x:c>
      <x:c r="AL26" s="193" t="str">
        <x:v>https://servicedesigntools.org/tools/service-blueprint</x:v>
      </x:c>
      <x:c r="AM26" s="193" t="str">
        <x:v>Service Design Tools recomienda mapear un servicio existente o un concepto bien definido y no utilizar el blueprint como herramienta de ideación; NN/g también recomienda validar acciones con investigación interna.</x:v>
      </x:c>
      <x:c r="AN26" s="193" t="str">
        <x:v>Fuente externa análoga de diseño de servicios; no sustituye la definición específica de Servucción de CEDIA.</x:v>
      </x:c>
      <x:c r="AO26" s="193" t="str">
        <x:v>Variable según alcance del servicio.</x:v>
      </x:c>
      <x:c r="AP26" s="193" t="str">
        <x:v>Por validar CEDIA</x:v>
      </x:c>
      <x:c r="AQ26" s="193" t="str">
        <x:v>Antes de abrir Servucción, pedir servicio base y escenario; diferenciar datos observados de supuestos sobre procesos internos.</x:v>
      </x:c>
      <x:c r="AR26" s="193" t="str">
        <x:v>Verificado externamente</x:v>
      </x:c>
      <x:c r="AS26" s="193" t="str">
        <x:v>2026-09-10</x:v>
      </x:c>
    </x:row>
    <x:row r="27">
      <x:c r="A27" s="104" t="str">
        <x:v>TEN-001</x:v>
      </x:c>
      <x:c r="B27" s="104" t="str">
        <x:v>Componentes de Tendencias</x:v>
      </x:c>
      <x:c r="C27" s="104" t="str">
        <x:v>Tendencias</x:v>
      </x:c>
      <x:c r="D27" s="108" t="str">
        <x:v>Herramienta de análisis que cruza tres tendencias relevantes para identificar patrones comunes y posibles áreas de innovación.</x:v>
      </x:c>
      <x:c r="E27" s="108" t="str">
        <x:v>Definir posibles áreas de innovación en una idea, producto o servicio.</x:v>
      </x:c>
      <x:c r="F27" s="108" t="str">
        <x:v>Oportunidades de innovación poco claras al no relacionar tendencias relevantes con capacidades técnicas, demanda y sostenibilidad futura.</x:v>
      </x:c>
      <x:c r="G27" s="108" t="str">
        <x:v>Cuando se desea identificar posibles mejoras o elementos innovadores a partir de la convergencia de tendencias alineadas con una propuesta.</x:v>
      </x:c>
      <x:c r="H27" s="108" t="str">
        <x:v>No usar únicamente con tendencias escogidas por intuición ni para afirmar que una oportunidad es viable. Las tendencias deben apoyarse en información externa y su intersección solo genera hipótesis de innovación que luego requieren validación.</x:v>
      </x:c>
      <x:c r="I27" s="108" t="str">
        <x:v>Idea/producto/servicio, conocimiento preliminar de tendencias, acceso técnico, evidencia de demanda y reflexión sobre sostenibilidad futura.</x:v>
      </x:c>
      <x:c r="J27" s="108" t="str">
        <x:v>1) Revisar conocimiento técnico, demanda y sostenibilidad a largo plazo. 2) Seleccionar tres tendencias alineadas con la propuesta. 3) Definir características clave de cada tendencia. 4) Identificar puntos comunes en sus intersecciones. 5) Traducir patrones en posibles mejoras o elementos adicionales.</x:v>
      </x:c>
      <x:c r="K27" s="108" t="str">
        <x:v>Mapa de tres tendencias con patrones comunes y áreas potenciales de innovación.</x:v>
      </x:c>
      <x:c r="L27" s="108" t="str">
        <x:v>Mapa de intersección de tendencias y patrones completado.</x:v>
      </x:c>
      <x:c r="M27" s="108" t="str">
        <x:v>Se han seleccionado tres tendencias relevantes, descrito sus características y documentado patrones comunes que puedan traducirse en oportunidades de innovación.</x:v>
      </x:c>
      <x:c r="N27" s="44" t="str">
        <x:v>Cualquiera</x:v>
      </x:c>
      <x:c r="O27" s="44" t="str">
        <x:v>Por validar</x:v>
      </x:c>
      <x:c r="P27" s="44"/>
      <x:c r="Q27" s="44"/>
      <x:c r="R27" s="44" t="str">
        <x:v>Por validar</x:v>
      </x:c>
      <x:c r="S27" s="44"/>
      <x:c r="T27" s="44"/>
      <x:c r="U27" s="44"/>
      <x:c r="V27" s="44" t="str">
        <x:v>Por validar</x:v>
      </x:c>
      <x:c r="W27" s="44" t="str">
        <x:v>Por validar</x:v>
      </x:c>
      <x:c r="X27" s="112" t="str">
        <x:v>TENDENCIAS - Componentes de Tendencias.pdf</x:v>
      </x:c>
      <x:c r="Y27" s="112"/>
      <x:c r="Z27" s="112" t="str">
        <x:v>Preliminar</x:v>
      </x:c>
      <x:c r="AA27" s="112" t="str">
        <x:v>El archivo se denomina «Componentes de Tendencias», pero el encabezado interno dice «Herramienta: Mapa de Tendencias». Se conserva el nombre del inventario y se deja la inconsistencia para validación. Validar con CEDIA relación TRL/CRL, cadena de valor, modalidad, dificultad y reglas de recomendación.</x:v>
      </x:c>
      <x:c r="AB27" s="96" t="n">
        <x:f>IF(B27="","",COUNTA(D27:M27)/10)</x:f>
        <x:v>1</x:v>
      </x:c>
      <x:c r="AC27" s="44" t="str">
        <x:f>IF(B27="","",IF(AB27=1,"Completo",IF(AB27&gt;=0.6,"En desarrollo","Pendiente")))</x:f>
        <x:v>Completo</x:v>
      </x:c>
      <x:c r="AD27" s="136" t="str">
        <x:v>Por validar</x:v>
      </x:c>
      <x:c r="AE27" s="136" t="str">
        <x:v>Por validar</x:v>
      </x:c>
      <x:c r="AF27" s="136" t="str">
        <x:v>Por validar</x:v>
      </x:c>
      <x:c r="AG27" s="136" t="str">
        <x:v>Por validar</x:v>
      </x:c>
      <x:c r="AH27" s="138" t="str">
        <x:v>Documento CEDIA + inferencia sustentada</x:v>
      </x:c>
      <x:c r="AI27" s="138" t="str">
        <x:v>Mixto (directo + inferido)</x:v>
      </x:c>
      <x:c r="AJ27" s="138" t="str">
        <x:v>El objetivo, las tres preguntas estratégicas y la lógica de seleccionar tres tendencias e identificar puntos comunes están explícitos; la brecha y el criterio son inferencias sustentadas.</x:v>
      </x:c>
      <x:c r="AK27" s="193" t="str">
        <x:v>TrendWatching — Consumer Trend Canvas</x:v>
      </x:c>
      <x:c r="AL27" s="193" t="str">
        <x:v>https://www.trendwatching.com/toolbox/consumer-trend-canvas</x:v>
      </x:c>
      <x:c r="AM27" s="193" t="str">
        <x:v>TrendWatching propone analizar una tendencia con insights, contexto y ejemplos y después aplicarla para generar innovaciones; la herramienta convierte señales en oportunidades, no en validación automática.</x:v>
      </x:c>
      <x:c r="AN27" s="193" t="str">
        <x:v>Fuente externa relacionada con análisis y aplicación de tendencias.</x:v>
      </x:c>
      <x:c r="AO27" s="193" t="str">
        <x:v>No estandarizada.</x:v>
      </x:c>
      <x:c r="AP27" s="193" t="str">
        <x:v>Por validar CEDIA</x:v>
      </x:c>
      <x:c r="AQ27" s="193" t="str">
        <x:v>Exigir al menos una fuente verificable por tendencia y etiquetar los patrones como hipótesis hasta validación.</x:v>
      </x:c>
      <x:c r="AR27" s="193" t="str">
        <x:v>Verificado externamente</x:v>
      </x:c>
      <x:c r="AS27" s="193" t="str">
        <x:v>2026-09-10</x:v>
      </x:c>
    </x:row>
    <x:row r="28">
      <x:c r="A28" s="104" t="str">
        <x:v>TEN-002</x:v>
      </x:c>
      <x:c r="B28" s="104" t="str">
        <x:v>Future Compass</x:v>
      </x:c>
      <x:c r="C28" s="104" t="str">
        <x:v>Tendencias</x:v>
      </x:c>
      <x:c r="D28" s="108" t="str">
        <x:v>Herramienta para comprender un problema desde sus causas, efectos, actores, testimonios y contexto espacio-temporal, incluyendo reformulaciones del problema.</x:v>
      </x:c>
      <x:c r="E28" s="108" t="str">
        <x:v>Identificar todos los escenarios de un problema.</x:v>
      </x:c>
      <x:c r="F28" s="108" t="str">
        <x:v>Problema analizado de manera parcial, sin suficiente comprensión de causas, efectos, actores, contexto o experiencias directas.</x:v>
      </x:c>
      <x:c r="G28" s="108" t="str">
        <x:v>Cuando un problema ya ha sido identificado y se necesita profundizar en sus escenarios, actores, causas, efectos y contexto antes de formular acciones.</x:v>
      </x:c>
      <x:c r="H28" s="108" t="str">
        <x:v>No usar Future Compass para predecir un único futuro cierto ni si el problema todavía no tiene un alcance mínimo definido. El análisis de futuros trabaja con contextos, actores, causas y posibilidades, no con certezas.</x:v>
      </x:c>
      <x:c r="I28" s="108" t="str">
        <x:v>Problema o situación observada identificada previamente e información preliminar sobre su contexto.</x:v>
      </x:c>
      <x:c r="J28" s="108" t="str">
        <x:v>1) Definición del problema. 2) Declaración del problema. 3) Nueva formulación. 4) Causas. 5) Efectos indeseados priorizados. 6) Contexto espacio-temporal. 7) Actores clave. 8) Testimonios.</x:v>
      </x:c>
      <x:c r="K28" s="108" t="str">
        <x:v>Future Compass con definición/reformulación del problema, causas, efectos, contexto, actores y testimonios.</x:v>
      </x:c>
      <x:c r="L28" s="108" t="str">
        <x:v>Future Compass completado.</x:v>
      </x:c>
      <x:c r="M28" s="108" t="str">
        <x:v>El problema se encuentra documentado desde múltiples perspectivas y se han registrado causas, efectos, contexto, actores y testimonios suficientes para orientar acciones posteriores.</x:v>
      </x:c>
      <x:c r="N28" s="44" t="str">
        <x:v>Cualquiera</x:v>
      </x:c>
      <x:c r="O28" s="44" t="str">
        <x:v>Por validar</x:v>
      </x:c>
      <x:c r="P28" s="44"/>
      <x:c r="Q28" s="44"/>
      <x:c r="R28" s="44" t="str">
        <x:v>Por validar</x:v>
      </x:c>
      <x:c r="S28" s="44"/>
      <x:c r="T28" s="44"/>
      <x:c r="U28" s="44"/>
      <x:c r="V28" s="44" t="str">
        <x:v>Por validar</x:v>
      </x:c>
      <x:c r="W28" s="44" t="str">
        <x:v>Por validar</x:v>
      </x:c>
      <x:c r="X28" s="112" t="str">
        <x:v>TENDENCIAS - Future Compass.pdf</x:v>
      </x:c>
      <x:c r="Y28" s="112"/>
      <x:c r="Z28" s="112" t="str">
        <x:v>Preliminar</x:v>
      </x:c>
      <x:c r="AA28" s="112" t="str">
        <x:v>Validar con CEDIA relación TRL/CRL, cadena de valor, modalidad, dificultad y reglas de recomendación.</x:v>
      </x:c>
      <x:c r="AB28" s="96" t="n">
        <x:f>IF(B28="","",COUNTA(D28:M28)/10)</x:f>
        <x:v>1</x:v>
      </x:c>
      <x:c r="AC28" s="44" t="str">
        <x:f>IF(B28="","",IF(AB28=1,"Completo",IF(AB28&gt;=0.6,"En desarrollo","Pendiente")))</x:f>
        <x:v>Completo</x:v>
      </x:c>
      <x:c r="AD28" s="136" t="str">
        <x:v>Por validar</x:v>
      </x:c>
      <x:c r="AE28" s="136" t="str">
        <x:v>Por validar</x:v>
      </x:c>
      <x:c r="AF28" s="136" t="str">
        <x:v>Por validar</x:v>
      </x:c>
      <x:c r="AG28" s="136" t="str">
        <x:v>Por validar</x:v>
      </x:c>
      <x:c r="AH28" s="138" t="str">
        <x:v>Documento CEDIA + inferencia sustentada</x:v>
      </x:c>
      <x:c r="AI28" s="138" t="str">
        <x:v>Mixto (directo + inferido)</x:v>
      </x:c>
      <x:c r="AJ28" s="138" t="str">
        <x:v>Los ocho elementos de análisis están explícitos; la brecha y el criterio de cierre son inferencias sustentadas.</x:v>
      </x:c>
      <x:c r="AK28" s="193" t="str">
        <x:v>UK Government Office for Science — The Futures Toolkit</x:v>
      </x:c>
      <x:c r="AL28" s="193" t="str">
        <x:v>https://www.gov.uk/government/publications/futures-toolkit-for-policy-makers-and-analysts/the-futures-toolkit-html</x:v>
      </x:c>
      <x:c r="AM28" s="193" t="str">
        <x:v>El Futures Toolkit utiliza herramientas de exploración para comprender fuerzas de cambio y futuros posibles; los escenarios son alternativas plausibles y no una predicción única.</x:v>
      </x:c>
      <x:c r="AN28" s="193" t="str">
        <x:v>Fuente externa de prospectiva; complementa la estructura particular de Future Compass de CEDIA.</x:v>
      </x:c>
      <x:c r="AO28" s="193" t="str">
        <x:v>Variable según alcance.</x:v>
      </x:c>
      <x:c r="AP28" s="193" t="str">
        <x:v>Por validar CEDIA</x:v>
      </x:c>
      <x:c r="AQ28" s="193" t="str">
        <x:v>La IA debe presentar escenarios como posibilidades y citar fuentes; nunca afirmar que un escenario ocurrirá.</x:v>
      </x:c>
      <x:c r="AR28" s="193" t="str">
        <x:v>Verificado externamente</x:v>
      </x:c>
      <x:c r="AS28" s="193" t="str">
        <x:v>2026-09-10</x:v>
      </x:c>
    </x:row>
    <x:row r="29">
      <x:c r="A29" s="104" t="str">
        <x:v>TEN-003</x:v>
      </x:c>
      <x:c r="B29" s="104" t="str">
        <x:v>Mapa de Tendencias</x:v>
      </x:c>
      <x:c r="C29" s="104" t="str">
        <x:v>Tendencias</x:v>
      </x:c>
      <x:c r="D29" s="108" t="str">
        <x:v>Mapa para interpretar líneas de tendencia, convergencias y posibles impactos futuros sobre un sector u organización.</x:v>
      </x:c>
      <x:c r="E29" s="108" t="str">
        <x:v>Entender cómo las tendencias y patrones se entrelazan e impactan a la organización.</x:v>
      </x:c>
      <x:c r="F29" s="108" t="str">
        <x:v>Falta de visión estructurada sobre tendencias emergentes, convergencias y su posible impacto en el sector o en futuros productos y servicios.</x:v>
      </x:c>
      <x:c r="G29" s="108" t="str">
        <x:v>Cuando se necesita explorar un sector, seleccionar líneas de tendencia relevantes y detectar patrones u oportunidades de innovación derivadas de su convergencia.</x:v>
      </x:c>
      <x:c r="H29" s="108" t="str">
        <x:v>No usar un Mapa de Tendencias basado en una búsqueda estrecha o en una sola fuente, ni confundir una señal con una tendencia consolidada. Se necesita escanear ampliamente, registrar fuentes y analizar impacto/relevancia.</x:v>
      </x:c>
      <x:c r="I29" s="108" t="str">
        <x:v>Sector o área de interés y referencias sobre tendencias relevantes en categorías como tecnología, sostenibilidad o comportamiento del consumidor.</x:v>
      </x:c>
      <x:c r="J29" s="108" t="str">
        <x:v>1) Identificar el sector o área de interés. 2) Seleccionar una línea de tendencia relevante. 3) Analizar factores clave de la línea. 4) Revisar puntos de la tendencia o convergencias entre varias tendencias. 5) Identificar oportunidades, nuevos servicios o impactos potenciales.</x:v>
      </x:c>
      <x:c r="K29" s="108" t="str">
        <x:v>Mapa interpretado de tendencias, patrones y convergencias relevantes para el proyecto u organización.</x:v>
      </x:c>
      <x:c r="L29" s="108" t="str">
        <x:v>Mapa de Tendencias analizado y documentado.</x:v>
      </x:c>
      <x:c r="M29" s="108" t="str">
        <x:v>Se ha definido el sector, seleccionado tendencias relevantes e identificado al menos patrones, convergencias o impactos que puedan orientar decisiones de innovación.</x:v>
      </x:c>
      <x:c r="N29" s="44" t="str">
        <x:v>Cualquiera</x:v>
      </x:c>
      <x:c r="O29" s="44" t="str">
        <x:v>Por validar</x:v>
      </x:c>
      <x:c r="P29" s="44"/>
      <x:c r="Q29" s="44"/>
      <x:c r="R29" s="44" t="str">
        <x:v>Por validar</x:v>
      </x:c>
      <x:c r="S29" s="44"/>
      <x:c r="T29" s="44"/>
      <x:c r="U29" s="44"/>
      <x:c r="V29" s="44" t="str">
        <x:v>Por validar</x:v>
      </x:c>
      <x:c r="W29" s="44" t="str">
        <x:v>Por validar</x:v>
      </x:c>
      <x:c r="X29" s="112" t="str">
        <x:v>TENDENCIAS - Mapa de Tendencias.pdf</x:v>
      </x:c>
      <x:c r="Y29" s="112"/>
      <x:c r="Z29" s="112" t="str">
        <x:v>Preliminar</x:v>
      </x:c>
      <x:c r="AA29" s="112" t="str">
        <x:v>El encabezado superior del PDF indica «PROTOTIPADO», aunque el archivo está ubicado en Tendencias y el contenido corresponde a Mapa de Tendencias. Confirmar clasificación oficial. Validar con CEDIA relación TRL/CRL, cadena de valor, modalidad, dificultad y reglas de recomendación.</x:v>
      </x:c>
      <x:c r="AB29" s="96" t="n">
        <x:f>IF(B29="","",COUNTA(D29:M29)/10)</x:f>
        <x:v>1</x:v>
      </x:c>
      <x:c r="AC29" s="44" t="str">
        <x:f>IF(B29="","",IF(AB29=1,"Completo",IF(AB29&gt;=0.6,"En desarrollo","Pendiente")))</x:f>
        <x:v>Completo</x:v>
      </x:c>
      <x:c r="AD29" s="136" t="str">
        <x:v>Por validar</x:v>
      </x:c>
      <x:c r="AE29" s="136" t="str">
        <x:v>Por validar</x:v>
      </x:c>
      <x:c r="AF29" s="136" t="str">
        <x:v>Por validar</x:v>
      </x:c>
      <x:c r="AG29" s="136" t="str">
        <x:v>Por validar</x:v>
      </x:c>
      <x:c r="AH29" s="138" t="str">
        <x:v>Documento CEDIA + inferencia sustentada</x:v>
      </x:c>
      <x:c r="AI29" s="138" t="str">
        <x:v>Mixto (directo + inferido)</x:v>
      </x:c>
      <x:c r="AJ29" s="138" t="str">
        <x:v>El objetivo, la selección de sector/línea y el análisis de convergencias están explícitos; la brecha y el criterio son inferencias sustentadas.</x:v>
      </x:c>
      <x:c r="AK29" s="193" t="str">
        <x:v>UK Government Office for Science — The Futures Toolkit</x:v>
      </x:c>
      <x:c r="AL29" s="193" t="str">
        <x:v>https://www.gov.uk/government/publications/futures-toolkit-for-policy-makers-and-analysts/the-futures-toolkit-html</x:v>
      </x:c>
      <x:c r="AM29" s="193" t="str">
        <x:v>La guía de Horizon Scanning recomienda buscar ampliamente, usar fuentes originales, registrar enlaces y analizar tendencias, señales, riesgos y oportunidades antes de priorizarlos.</x:v>
      </x:c>
      <x:c r="AN29" s="193" t="str">
        <x:v>Directo para el proceso de exploración de tendencias; adaptación al mapa CEDIA.</x:v>
      </x:c>
      <x:c r="AO29" s="193" t="str">
        <x:v>Variable; el Horizon Scanning puede ser un proceso continuo.</x:v>
      </x:c>
      <x:c r="AP29" s="193" t="str">
        <x:v>Por validar CEDIA</x:v>
      </x:c>
      <x:c r="AQ29" s="193" t="str">
        <x:v>Guardar URL, fecha, tipo de señal y evidencia para cada tendencia; permitir actualización periódica.</x:v>
      </x:c>
      <x:c r="AR29" s="193" t="str">
        <x:v>Verificado externamente</x:v>
      </x:c>
      <x:c r="AS29" s="193" t="str">
        <x:v>2026-09-10</x:v>
      </x:c>
    </x:row>
    <x:row r="30">
      <x:c r="A30" s="104" t="str">
        <x:v>TEN-004</x:v>
      </x:c>
      <x:c r="B30" s="104" t="str">
        <x:v>Trend Canvas</x:v>
      </x:c>
      <x:c r="C30" s="104" t="str">
        <x:v>Tendencias</x:v>
      </x:c>
      <x:c r="D30" s="108" t="str">
        <x:v>Lienzo que analiza una tendencia de consumo y la traduce en oportunidades de innovación, segmentos y conceptos de producto o servicio.</x:v>
      </x:c>
      <x:c r="E30" s="108" t="str">
        <x:v>Desarrollar productos innovadores alineados con tendencias.</x:v>
      </x:c>
      <x:c r="F30" s="108" t="str">
        <x:v>Tendencias identificadas pero no traducidas en necesidades de consumidor, oportunidades, segmentos o conceptos aplicables al proyecto.</x:v>
      </x:c>
      <x:c r="G30" s="108" t="str">
        <x:v>Cuando se desea analizar una tendencia específica y convertirla en decisiones concretas de innovación, adaptación, diversificación o desarrollo de nuevos productos/servicios.</x:v>
      </x:c>
      <x:c r="H30" s="108" t="str">
        <x:v>No usar el Trend Canvas sin una tendencia previamente seleccionada e investigada, ni asumir que una idea generada por el lienzo ya tiene aceptación de mercado. Primero se analiza la tendencia y luego se aplica; la validación ocurre después.</x:v>
      </x:c>
      <x:c r="I30" s="108" t="str">
        <x:v>Una tendencia seleccionada, investigación de contexto, comportamiento del consumidor y ejemplos de aplicación en otras organizaciones o sectores.</x:v>
      </x:c>
      <x:c r="J30" s="108" t="str">
        <x:v>Análisis: seleccionar tendencia; necesidades básicas; causas del cambio; expectativas emergentes; inspiración de otros sectores. Aplicación: potencial de innovación; visión a largo plazo; expansión/diversificación; nuevos productos/servicios; adaptación de oferta; segmento objetivo; conceptualización de la innovación.</x:v>
      </x:c>
      <x:c r="K30" s="108" t="str">
        <x:v>Trend Canvas con análisis de la tendencia y concepto inicial de innovación aplicable al proyecto.</x:v>
      </x:c>
      <x:c r="L30" s="108" t="str">
        <x:v>Trend Canvas completado.</x:v>
      </x:c>
      <x:c r="M30" s="108" t="str">
        <x:v>La tendencia ha sido analizada y conectada con necesidades, causas, expectativas, referentes, potencial de innovación, segmento objetivo y una conceptualización inicial.</x:v>
      </x:c>
      <x:c r="N30" s="44" t="str">
        <x:v>Cualquiera</x:v>
      </x:c>
      <x:c r="O30" s="44" t="str">
        <x:v>Por validar</x:v>
      </x:c>
      <x:c r="P30" s="44"/>
      <x:c r="Q30" s="44"/>
      <x:c r="R30" s="44" t="str">
        <x:v>Por validar</x:v>
      </x:c>
      <x:c r="S30" s="44"/>
      <x:c r="T30" s="44"/>
      <x:c r="U30" s="44"/>
      <x:c r="V30" s="44" t="str">
        <x:v>Por validar</x:v>
      </x:c>
      <x:c r="W30" s="44" t="str">
        <x:v>Por validar</x:v>
      </x:c>
      <x:c r="X30" s="112" t="str">
        <x:v>TENDENCIAS - Trend Canvas.pdf</x:v>
      </x:c>
      <x:c r="Y30" s="112"/>
      <x:c r="Z30" s="112" t="str">
        <x:v>Preliminar</x:v>
      </x:c>
      <x:c r="AA30" s="112" t="str">
        <x:v>Validar con CEDIA relación TRL/CRL, cadena de valor, modalidad, dificultad y reglas de recomendación.</x:v>
      </x:c>
      <x:c r="AB30" s="96" t="n">
        <x:f>IF(B30="","",COUNTA(D30:M30)/10)</x:f>
        <x:v>1</x:v>
      </x:c>
      <x:c r="AC30" s="44" t="str">
        <x:f>IF(B30="","",IF(AB30=1,"Completo",IF(AB30&gt;=0.6,"En desarrollo","Pendiente")))</x:f>
        <x:v>Completo</x:v>
      </x:c>
      <x:c r="AD30" s="136" t="str">
        <x:v>Por validar</x:v>
      </x:c>
      <x:c r="AE30" s="136" t="str">
        <x:v>Por validar</x:v>
      </x:c>
      <x:c r="AF30" s="136" t="str">
        <x:v>Por validar</x:v>
      </x:c>
      <x:c r="AG30" s="136" t="str">
        <x:v>Por validar</x:v>
      </x:c>
      <x:c r="AH30" s="138" t="str">
        <x:v>Documento CEDIA + inferencia sustentada</x:v>
      </x:c>
      <x:c r="AI30" s="138" t="str">
        <x:v>Mixto (directo + inferido)</x:v>
      </x:c>
      <x:c r="AJ30" s="138" t="str">
        <x:v>La estructura Análisis/Aplicación y los bloques de trabajo están explícitos; la brecha y el criterio son inferencias sustentadas.</x:v>
      </x:c>
      <x:c r="AK30" s="193" t="str">
        <x:v>TrendWatching — Consumer Trend Canvas</x:v>
      </x:c>
      <x:c r="AL30" s="193" t="str">
        <x:v>https://www.trendwatching.com/toolbox/consumer-trend-canvas/examples</x:v>
      </x:c>
      <x:c r="AM30" s="193" t="str">
        <x:v>TrendWatching estructura el recorrido en dos grandes momentos: analizar con datos/ejemplos y después aplicar la tendencia para identificar dónde, cómo y para qué consumidores innovar.</x:v>
      </x:c>
      <x:c r="AN30" s="193" t="str">
        <x:v>Directo + adaptación al Trend Canvas de CEDIA.</x:v>
      </x:c>
      <x:c r="AO30" s="193" t="str">
        <x:v>Variable según profundidad.</x:v>
      </x:c>
      <x:c r="AP30" s="193" t="str">
        <x:v>Por validar CEDIA</x:v>
      </x:c>
      <x:c r="AQ30" s="193" t="str">
        <x:v>Bloquear «Aplicar» hasta registrar tendencia, fuentes e insights; la salida debe quedar como concepto por validar.</x:v>
      </x:c>
      <x:c r="AR30" s="193" t="str">
        <x:v>Verificado externamente</x:v>
      </x:c>
      <x:c r="AS30" s="193" t="str">
        <x:v>2026-09-10</x:v>
      </x:c>
    </x:row>
    <x:row r="31">
      <x:c r="A31" s="411" t="str">
        <x:v>VAL-001</x:v>
      </x:c>
      <x:c r="B31" s="411" t="str">
        <x:v>Mapa de Supuestos e Hipótesis Críticas</x:v>
      </x:c>
      <x:c r="C31" s="411" t="str">
        <x:v>Validación</x:v>
      </x:c>
      <x:c r="D31" s="408" t="str">
        <x:v>Herramienta para hacer explícitos los supuestos de una idea y priorizar las hipótesis más críticas según su importancia y la evidencia disponible.</x:v>
      </x:c>
      <x:c r="E31" s="408" t="str">
        <x:v>Identificar qué debe ser cierto para que una idea funcione y decidir qué incertidumbres probar primero.</x:v>
      </x:c>
      <x:c r="F31" s="408" t="str">
        <x:v>Decisiones basadas en supuestos no explicitados, con incertidumbres críticas sin priorizar ni evidencia suficiente.</x:v>
      </x:c>
      <x:c r="G31" s="408" t="str">
        <x:v>Cuando ya existe una idea, propuesta de valor, solución o modelo preliminar y el equipo necesita identificar qué supuestos representan mayor riesgo antes de invertir más recursos.</x:v>
      </x:c>
      <x:c r="H31" s="408" t="str">
        <x:v>No usar como sustituto de investigación o experimentación. Tampoco es necesario cuando la decisión está sustentada por evidencia suficiente y vigente y no existe una incertidumbre material pendiente.</x:v>
      </x:c>
      <x:c r="I31" s="408" t="str">
        <x:v>Idea, propuesta, modelo o decisión preliminar; supuestos iniciales y cualquier evidencia ya disponible.</x:v>
      </x:c>
      <x:c r="J31" s="408" t="str">
        <x:v>1) Delimitar la idea/decisión. 2) Extraer supuestos de deseabilidad, factibilidad, viabilidad y adaptación/supervivencia. 3) Convertirlos en hipótesis testables. 4) Valorar importancia y fuerza de evidencia. 5) Priorizar hipótesis críticas de alto riesgo y baja evidencia.</x:v>
      </x:c>
      <x:c r="K31" s="408" t="str">
        <x:v>Mapa priorizado de hipótesis críticas listo para orientar experimentos y búsqueda de evidencia.</x:v>
      </x:c>
      <x:c r="L31" s="408" t="str">
        <x:v>Mapa de supuestos con hipótesis priorizadas, nivel de evidencia y orden de prueba.</x:v>
      </x:c>
      <x:c r="M31" s="408" t="str">
        <x:v>Las hipótesis críticas están formuladas de forma testable y existe una prioridad explícita basada en riesgo/importancia y evidencia disponible.</x:v>
      </x:c>
      <x:c r="N31" s="408" t="str">
        <x:v>Cualquiera</x:v>
      </x:c>
      <x:c r="O31" s="408" t="str">
        <x:v>Transversal; organiza incertidumbre y evidencia, pero no determina un TRL por sí sola.</x:v>
      </x:c>
      <x:c r="P31" s="408"/>
      <x:c r="Q31" s="408"/>
      <x:c r="R31" s="408" t="str">
        <x:v>Transversal; puede revelar riesgos de mercado y modelo de negocio sin sustituir el CRL.</x:v>
      </x:c>
      <x:c r="S31" s="408"/>
      <x:c r="T31" s="408"/>
      <x:c r="U31" s="408"/>
      <x:c r="V31" s="408" t="str">
        <x:v>Media</x:v>
      </x:c>
      <x:c r="W31" s="408" t="str">
        <x:v>Autogestión asistida / taller</x:v>
      </x:c>
      <x:c r="X31" s="408" t="str">
        <x:v>Propuesta basada en benchmark internacional</x:v>
      </x:c>
      <x:c r="Y31" s="408" t="str">
        <x:v>https://www.strategyzer.com/programs/assumptions-mapping-prepare-to-test-your-business-idea-part-1</x:v>
      </x:c>
      <x:c r="Z31" s="408" t="str">
        <x:v>Propuesta sustentada externamente — validar CEDIA</x:v>
      </x:c>
      <x:c r="AA31" s="408" t="str">
        <x:v>No forma parte del inventario CEDIA actual. Validar adopción, nombre institucional, guía visual y responsable funcional.</x:v>
      </x:c>
      <x:c r="AB31" s="409" t="n">
        <x:v>1</x:v>
      </x:c>
      <x:c r="AC31" s="408" t="str">
        <x:v>Completo</x:v>
      </x:c>
      <x:c r="AD31" s="410" t="str">
        <x:v>PROTOTIPACIÓN</x:v>
      </x:c>
      <x:c r="AE31" s="410" t="str">
        <x:v>Evidencia y riesgos técnicos/contextuales</x:v>
      </x:c>
      <x:c r="AF31" s="410" t="str">
        <x:v>Mercado, propuesta de valor y viabilidad</x:v>
      </x:c>
      <x:c r="AG31" s="410" t="str">
        <x:v>Complementaria</x:v>
      </x:c>
      <x:c r="AH31" s="410" t="str">
        <x:v>Fuente externa + adaptación propuesta</x:v>
      </x:c>
      <x:c r="AI31" s="410" t="str">
        <x:v>Directo + adaptación propuesta</x:v>
      </x:c>
      <x:c r="AJ31" s="410" t="str">
        <x:v>Strategyzer propone mapear y priorizar supuestos críticos antes de experimentar; la adaptación a Ruta CEDIA conecta esas hipótesis con evidencia y brechas.</x:v>
      </x:c>
      <x:c r="AK31" s="410" t="str">
        <x:v>Strategyzer — Assumptions Mapping</x:v>
      </x:c>
      <x:c r="AL31" s="410" t="str">
        <x:v>https://www.strategyzer.com/programs/assumptions-mapping-prepare-to-test-your-business-idea-part-1</x:v>
      </x:c>
      <x:c r="AM31" s="410" t="str">
        <x:v>La metodología hace explícitos los supuestos, los organiza por tipos de riesgo y prioriza los de alta importancia y baja evidencia antes de invertir en pruebas.</x:v>
      </x:c>
      <x:c r="AN31" s="410" t="str">
        <x:v>Inferencia metodológica sustentada.</x:v>
      </x:c>
      <x:c r="AO31" s="410" t="str">
        <x:v>No existe un tiempo único oficial.</x:v>
      </x:c>
      <x:c r="AP31" s="410" t="str">
        <x:v>Media, dependiente de la complejidad del proyecto.</x:v>
      </x:c>
      <x:c r="AQ31" s="410" t="str">
        <x:v>Mostrar hipótesis por cuadrante y permitir convertir una hipótesis crítica directamente en una Tarjeta de Experimento.</x:v>
      </x:c>
      <x:c r="AR31" s="410" t="str">
        <x:v>Verificado externamente</x:v>
      </x:c>
      <x:c r="AS31" s="410" t="str">
        <x:v>2026-09-14</x:v>
      </x:c>
    </x:row>
    <x:row r="32">
      <x:c r="A32" s="411" t="str">
        <x:v>VAL-002</x:v>
      </x:c>
      <x:c r="B32" s="411" t="str">
        <x:v>Tarjeta de Experimento (Test Card)</x:v>
      </x:c>
      <x:c r="C32" s="411" t="str">
        <x:v>Validación</x:v>
      </x:c>
      <x:c r="D32" s="408" t="str">
        <x:v>Plantilla para diseñar una prueba explícita de una hipótesis definiendo experimento, métrica y umbral de éxito.</x:v>
      </x:c>
      <x:c r="E32" s="408" t="str">
        <x:v>Convertir una incertidumbre crítica en un experimento medible que pueda producir evidencia.</x:v>
      </x:c>
      <x:c r="F32" s="408" t="str">
        <x:v>Pruebas improvisadas que no especifican qué se está validando, cómo se medirá ni qué resultado se considerará suficiente.</x:v>
      </x:c>
      <x:c r="G32" s="408" t="str">
        <x:v>Cuando existe una hipótesis prioritaria y se necesita diseñar una prueba concreta antes de ejecutar el experimento.</x:v>
      </x:c>
      <x:c r="H32" s="408" t="str">
        <x:v>No usar si aún no existe una hipótesis clara y testable. La tarjeta diseña la prueba; no reemplaza la ejecución del experimento ni la interpretación posterior.</x:v>
      </x:c>
      <x:c r="I32" s="408" t="str">
        <x:v>Hipótesis crítica formulada de forma testable, objetivo de aprendizaje y contexto del proyecto.</x:v>
      </x:c>
      <x:c r="J32" s="408" t="str">
        <x:v>1) Escribir qué debe ser cierto. 2) Definir cómo se probará. 3) Establecer qué se medirá. 4) Definir umbral/criterio de éxito antes de ejecutar. 5) Registrar participantes, condiciones y evidencia esperada cuando aplique.</x:v>
      </x:c>
      <x:c r="K32" s="408" t="str">
        <x:v>Diseño de experimento listo para ejecución con hipótesis, método, métrica y umbral.</x:v>
      </x:c>
      <x:c r="L32" s="408" t="str">
        <x:v>Test Card / Tarjeta de Experimento completada.</x:v>
      </x:c>
      <x:c r="M32" s="408" t="str">
        <x:v>La prueba tiene una hipótesis precisa, método ejecutable, métrica observable y umbral definido antes de obtener resultados.</x:v>
      </x:c>
      <x:c r="N32" s="408" t="str">
        <x:v>Cualquiera</x:v>
      </x:c>
      <x:c r="O32" s="408" t="str">
        <x:v>Puede generar evidencia útil para TRL si la hipótesis es técnica; no asigna TRL automáticamente.</x:v>
      </x:c>
      <x:c r="P32" s="408"/>
      <x:c r="Q32" s="408"/>
      <x:c r="R32" s="408" t="str">
        <x:v>Puede generar evidencia comercial si la hipótesis es de cliente/mercado; no sustituye CRL.</x:v>
      </x:c>
      <x:c r="S32" s="408"/>
      <x:c r="T32" s="408"/>
      <x:c r="U32" s="408"/>
      <x:c r="V32" s="408" t="str">
        <x:v>Media</x:v>
      </x:c>
      <x:c r="W32" s="408" t="str">
        <x:v>Autogestión asistida / IA / taller</x:v>
      </x:c>
      <x:c r="X32" s="408" t="str">
        <x:v>Propuesta basada en benchmark internacional</x:v>
      </x:c>
      <x:c r="Y32" s="408" t="str">
        <x:v>https://www.strategyzer.com/library/validate-your-ideas-with-the-test-card</x:v>
      </x:c>
      <x:c r="Z32" s="408" t="str">
        <x:v>Propuesta sustentada externamente — validar CEDIA</x:v>
      </x:c>
      <x:c r="AA32" s="408" t="str">
        <x:v>Validar adaptación del formato y tipos de experimentos permitidos en CEDIA.</x:v>
      </x:c>
      <x:c r="AB32" s="409" t="n">
        <x:v>1</x:v>
      </x:c>
      <x:c r="AC32" s="408" t="str">
        <x:v>Completo</x:v>
      </x:c>
      <x:c r="AD32" s="410" t="str">
        <x:v>PROTOTIPACIÓN</x:v>
      </x:c>
      <x:c r="AE32" s="410" t="str">
        <x:v>Pruebas, validación y evidencia</x:v>
      </x:c>
      <x:c r="AF32" s="410" t="str">
        <x:v>Validación de cliente/mercado</x:v>
      </x:c>
      <x:c r="AG32" s="410" t="str">
        <x:v>Directa</x:v>
      </x:c>
      <x:c r="AH32" s="410" t="str">
        <x:v>Fuente externa + adaptación propuesta</x:v>
      </x:c>
      <x:c r="AI32" s="410" t="str">
        <x:v>Directo + adaptación propuesta</x:v>
      </x:c>
      <x:c r="AJ32" s="410" t="str">
        <x:v>Strategyzer define la Test Card alrededor de hipótesis, prueba, métrica y umbral; Ruta CEDIA la usa como puente entre brecha y evidencia.</x:v>
      </x:c>
      <x:c r="AK32" s="410" t="str">
        <x:v>Strategyzer — Test Card</x:v>
      </x:c>
      <x:c r="AL32" s="410" t="str">
        <x:v>https://www.strategyzer.com/library/validate-your-ideas-with-the-test-card</x:v>
      </x:c>
      <x:c r="AM32" s="410" t="str">
        <x:v>La Test Card obliga a explicitar qué debe ser cierto, cómo se probará, qué se medirá y cuál será el umbral de éxito.</x:v>
      </x:c>
      <x:c r="AN32" s="410" t="str">
        <x:v>Directo + inferencia.</x:v>
      </x:c>
      <x:c r="AO32" s="410" t="str">
        <x:v>No existe un tiempo único oficial.</x:v>
      </x:c>
      <x:c r="AP32" s="410" t="str">
        <x:v>Media.</x:v>
      </x:c>
      <x:c r="AQ32" s="410" t="str">
        <x:v>Permitir crear la prueba desde una hipótesis crítica y bloquear la conclusión hasta que exista resultado/evidencia.</x:v>
      </x:c>
      <x:c r="AR32" s="410" t="str">
        <x:v>Verificado externamente</x:v>
      </x:c>
      <x:c r="AS32" s="410" t="str">
        <x:v>2026-09-14</x:v>
      </x:c>
    </x:row>
    <x:row r="33">
      <x:c r="A33" s="411" t="str">
        <x:v>VAL-003</x:v>
      </x:c>
      <x:c r="B33" s="411" t="str">
        <x:v>Tarjeta de Aprendizaje (Learning Card)</x:v>
      </x:c>
      <x:c r="C33" s="411" t="str">
        <x:v>Validación</x:v>
      </x:c>
      <x:c r="D33" s="408" t="str">
        <x:v>Plantilla para convertir los resultados de un experimento en observaciones, aprendizajes y decisiones accionables.</x:v>
      </x:c>
      <x:c r="E33" s="408" t="str">
        <x:v>Cerrar el ciclo de experimentación registrando qué se aprendió y qué decisión cambia como consecuencia de la evidencia.</x:v>
      </x:c>
      <x:c r="F33" s="408" t="str">
        <x:v>Experimentos realizados cuyos resultados no se convierten en aprendizaje explícito ni en una decisión trazable.</x:v>
      </x:c>
      <x:c r="G33" s="408" t="str">
        <x:v>Después de ejecutar una prueba o experimento y disponer de datos, observaciones o evidencia que deba interpretarse.</x:v>
      </x:c>
      <x:c r="H33" s="408" t="str">
        <x:v>No usar antes de ejecutar una prueba ni para reemplazar datos ausentes. Si la evidencia es insuficiente, debe registrarse esa limitación y diseñarse una nueva prueba.</x:v>
      </x:c>
      <x:c r="I33" s="408" t="str">
        <x:v>Test o experimento ejecutado, datos/resultados observados, hipótesis original y criterio de éxito.</x:v>
      </x:c>
      <x:c r="J33" s="408" t="str">
        <x:v>1) Registrar la hipótesis y prueba realizada. 2) Capturar observaciones y datos. 3) Comparar con el umbral definido. 4) Formular el aprendizaje. 5) Decidir acción: perseverar, ajustar/pivotar, detener o volver a probar. 6) Registrar qué evidencia o herramienta debe actualizarse.</x:v>
      </x:c>
      <x:c r="K33" s="408" t="str">
        <x:v>Aprendizaje documentado y decisión posterior vinculada a la evidencia obtenida.</x:v>
      </x:c>
      <x:c r="L33" s="408" t="str">
        <x:v>Learning Card con observaciones, aprendizaje, decisión y acción siguiente.</x:v>
      </x:c>
      <x:c r="M33" s="408" t="str">
        <x:v>La evidencia observada está separada de la interpretación y existe una decisión/acción explícita trazable a los resultados.</x:v>
      </x:c>
      <x:c r="N33" s="408" t="str">
        <x:v>Cualquiera</x:v>
      </x:c>
      <x:c r="O33" s="408" t="str">
        <x:v>Puede justificar cambios de madurez cuando la evidencia sea técnica y cumpla criterios de calidad; no altera TRL por sí sola.</x:v>
      </x:c>
      <x:c r="P33" s="408"/>
      <x:c r="Q33" s="408"/>
      <x:c r="R33" s="408" t="str">
        <x:v>Puede fortalecer o debilitar hipótesis comerciales y de cliente; no sustituye el CRL.</x:v>
      </x:c>
      <x:c r="S33" s="408"/>
      <x:c r="T33" s="408"/>
      <x:c r="U33" s="408"/>
      <x:c r="V33" s="408" t="str">
        <x:v>Media</x:v>
      </x:c>
      <x:c r="W33" s="408" t="str">
        <x:v>Autogestión asistida / IA / taller</x:v>
      </x:c>
      <x:c r="X33" s="408" t="str">
        <x:v>Propuesta basada en benchmark internacional</x:v>
      </x:c>
      <x:c r="Y33" s="408" t="str">
        <x:v>https://www.strategyzer.com/library/capture-customer-insights-and-actions-with-the-learning-card</x:v>
      </x:c>
      <x:c r="Z33" s="408" t="str">
        <x:v>Propuesta sustentada externamente — validar CEDIA</x:v>
      </x:c>
      <x:c r="AA33" s="408" t="str">
        <x:v>Validar formato de decisiones y trazabilidad con expediente del proyecto.</x:v>
      </x:c>
      <x:c r="AB33" s="409" t="n">
        <x:v>1</x:v>
      </x:c>
      <x:c r="AC33" s="408" t="str">
        <x:v>Completo</x:v>
      </x:c>
      <x:c r="AD33" s="410" t="str">
        <x:v>PROTOTIPACIÓN</x:v>
      </x:c>
      <x:c r="AE33" s="410" t="str">
        <x:v>Evidencia de pruebas</x:v>
      </x:c>
      <x:c r="AF33" s="410" t="str">
        <x:v>Aprendizaje de mercado/cliente</x:v>
      </x:c>
      <x:c r="AG33" s="410" t="str">
        <x:v>Directa</x:v>
      </x:c>
      <x:c r="AH33" s="410" t="str">
        <x:v>Fuente externa + adaptación propuesta</x:v>
      </x:c>
      <x:c r="AI33" s="410" t="str">
        <x:v>Directo + adaptación propuesta</x:v>
      </x:c>
      <x:c r="AJ33" s="410" t="str">
        <x:v>Strategyzer vincula Learning Card con Test Card para capturar insights y convertirlos en acciones; Ruta CEDIA la usa como evidencia de aprendizaje iterativo.</x:v>
      </x:c>
      <x:c r="AK33" s="410" t="str">
        <x:v>Strategyzer — Learning Card</x:v>
      </x:c>
      <x:c r="AL33" s="410" t="str">
        <x:v>https://www.strategyzer.com/library/capture-customer-insights-and-actions-with-the-learning-card</x:v>
      </x:c>
      <x:c r="AM33" s="410" t="str">
        <x:v>La Learning Card sistematiza aprendizajes de experimentos y hace explícitas las decisiones y acciones resultantes.</x:v>
      </x:c>
      <x:c r="AN33" s="410" t="str">
        <x:v>Directo + inferencia.</x:v>
      </x:c>
      <x:c r="AO33" s="410" t="str">
        <x:v>No existe un tiempo único oficial.</x:v>
      </x:c>
      <x:c r="AP33" s="410" t="str">
        <x:v>Media.</x:v>
      </x:c>
      <x:c r="AQ33" s="410" t="str">
        <x:v>Vincular cada Learning Card con la Test Card origen y recalcular brechas/ruta tras la decisión.</x:v>
      </x:c>
      <x:c r="AR33" s="410" t="str">
        <x:v>Verificado externamente</x:v>
      </x:c>
      <x:c r="AS33" s="410" t="str">
        <x:v>2026-09-14</x:v>
      </x:c>
    </x:row>
    <x:row r="34">
      <x:c r="A34" s="411" t="str">
        <x:v>MAD-001</x:v>
      </x:c>
      <x:c r="B34" s="411" t="str">
        <x:v>Plan de Maduración Tecnológica</x:v>
      </x:c>
      <x:c r="C34" s="411" t="str">
        <x:v>Maduración tecnológica</x:v>
      </x:c>
      <x:c r="D34" s="408" t="str">
        <x:v>Hoja de ruta para llevar una tecnología desde su madurez actual hacia un TRL objetivo mediante actividades, pruebas, métricas, hitos y criterios de salida.</x:v>
      </x:c>
      <x:c r="E34" s="408" t="str">
        <x:v>Traducir una brecha TRL en un plan verificable de desarrollo y reducción de riesgo técnico.</x:v>
      </x:c>
      <x:c r="F34" s="408" t="str">
        <x:v>Se conoce el TRL actual, pero no existe una ruta concreta para cerrar brechas técnicas y alcanzar el nivel objetivo.</x:v>
      </x:c>
      <x:c r="G34" s="408" t="str">
        <x:v>Cuando una evaluación TRL identifica tecnologías/elementos críticos por debajo del nivel requerido para una decisión, integración, piloto o transferencia.</x:v>
      </x:c>
      <x:c r="H34" s="408" t="str">
        <x:v>No usar como sustituto de una evaluación TRL ni cuando todavía no existe una tecnología suficientemente definida para identificar brechas técnicas y resultados de maduración.</x:v>
      </x:c>
      <x:c r="I34" s="408" t="str">
        <x:v>TRL actual sustentado, TRL objetivo, tecnología/elementos críticos, brechas y evidencia disponible.</x:v>
      </x:c>
      <x:c r="J34" s="408" t="str">
        <x:v>1) Confirmar TRL actual y objetivo. 2) Identificar elementos/brechas críticas. 3) Definir actividades de desarrollo y pruebas. 4) Establecer métricas, hitos y criterios de decisión. 5) Asignar responsables/recursos y calendario. 6) Definir evidencia de salida. 7) Reevaluar TRL al cerrar actividades.</x:v>
      </x:c>
      <x:c r="K34" s="408" t="str">
        <x:v>Roadmap de maduración con actividades, hitos, métricas, riesgos, evidencia y criterio para avanzar.</x:v>
      </x:c>
      <x:c r="L34" s="408" t="str">
        <x:v>Plan de Maduración Tecnológica con brechas, actividades, hitos y criterios de salida.</x:v>
      </x:c>
      <x:c r="M34" s="408" t="str">
        <x:v>Cada brecha prioritaria tiene una actividad de maduración, evidencia esperada, responsable/hito y criterio que permitirá reevaluar la madurez.</x:v>
      </x:c>
      <x:c r="N34" s="408" t="str">
        <x:v>Tecnología / Producto; Software; Farmacéutico</x:v>
      </x:c>
      <x:c r="O34" s="408" t="str">
        <x:v>Directa y contextual: usa TRL actual/objetivo para planificar; el nivel solo cambia cuando existe evidencia de cumplimiento.</x:v>
      </x:c>
      <x:c r="P34" s="408"/>
      <x:c r="Q34" s="408"/>
      <x:c r="R34" s="408" t="str">
        <x:v>Complementaria; no sustituye madurez comercial.</x:v>
      </x:c>
      <x:c r="S34" s="408"/>
      <x:c r="T34" s="408"/>
      <x:c r="U34" s="408"/>
      <x:c r="V34" s="408" t="str">
        <x:v>Alta</x:v>
      </x:c>
      <x:c r="W34" s="408" t="str">
        <x:v>Acompañamiento / taller técnico</x:v>
      </x:c>
      <x:c r="X34" s="408" t="str">
        <x:v>Propuesta basada en benchmark internacional</x:v>
      </x:c>
      <x:c r="Y34" s="408" t="str">
        <x:v>https://www.energy.gov/documents/archivedoe-g-413-3-4doe-technology-readiness-assessment-guide2009-10-12pdf</x:v>
      </x:c>
      <x:c r="Z34" s="408" t="str">
        <x:v>Propuesta sustentada externamente — validar CEDIA</x:v>
      </x:c>
      <x:c r="AA34" s="408" t="str">
        <x:v>Adaptar complejidad al contexto universitario y definir quién valida hitos/evidencias.</x:v>
      </x:c>
      <x:c r="AB34" s="409" t="n">
        <x:v>1</x:v>
      </x:c>
      <x:c r="AC34" s="408" t="str">
        <x:v>Completo</x:v>
      </x:c>
      <x:c r="AD34" s="410" t="str">
        <x:v>PROTOTIPACIÓN</x:v>
      </x:c>
      <x:c r="AE34" s="410" t="str">
        <x:v>TRL actual, brechas y criterios de entrada al nivel objetivo</x:v>
      </x:c>
      <x:c r="AF34" s="410" t="str">
        <x:v>No aplica directamente</x:v>
      </x:c>
      <x:c r="AG34" s="410" t="str">
        <x:v>Directa</x:v>
      </x:c>
      <x:c r="AH34" s="410" t="str">
        <x:v>Fuente oficial externa + adaptación propuesta</x:v>
      </x:c>
      <x:c r="AI34" s="410" t="str">
        <x:v>Directo + adaptación propuesta</x:v>
      </x:c>
      <x:c r="AJ34" s="410" t="str">
        <x:v>DOE utiliza Technology Maturation Plans para describir las actividades de desarrollo e ingeniería necesarias para madurar tecnologías por debajo del nivel requerido.</x:v>
      </x:c>
      <x:c r="AK34" s="410" t="str">
        <x:v>U.S. DOE — Technology Readiness Assessment Guide / Technology Maturation Plan</x:v>
      </x:c>
      <x:c r="AL34" s="410" t="str">
        <x:v>https://www.energy.gov/documents/archivedoe-g-413-3-4doe-technology-readiness-assessment-guide2009-10-12pdf</x:v>
      </x:c>
      <x:c r="AM34" s="410" t="str">
        <x:v>DOE define el TMP como un plan de actividades de desarrollo e ingeniería para llevar tecnologías inmaduras a un nivel aceptable, con roadmap de maduración.</x:v>
      </x:c>
      <x:c r="AN34" s="410" t="str">
        <x:v>Directo + adaptación.</x:v>
      </x:c>
      <x:c r="AO34" s="410" t="str">
        <x:v>Depende del proyecto y de la brecha tecnológica.</x:v>
      </x:c>
      <x:c r="AP34" s="410" t="str">
        <x:v>Alta.</x:v>
      </x:c>
      <x:c r="AQ34" s="410" t="str">
        <x:v>Generar automáticamente la brecha entre TRL actual y objetivo y convertirla en actividades/evidencias, sin prometer ascenso automático de nivel.</x:v>
      </x:c>
      <x:c r="AR34" s="410" t="str">
        <x:v>Verificado externamente</x:v>
      </x:c>
      <x:c r="AS34" s="410" t="str">
        <x:v>2026-09-14</x:v>
      </x:c>
    </x:row>
    <x:row r="35">
      <x:c r="A35" s="411" t="str">
        <x:v>TRA-001</x:v>
      </x:c>
      <x:c r="B35" s="411" t="str">
        <x:v>Libertad de Operación (Freedom to Operate)</x:v>
      </x:c>
      <x:c r="C35" s="411" t="str">
        <x:v>Transferencia / PI</x:v>
      </x:c>
      <x:c r="D35" s="408" t="str">
        <x:v>Herramienta de cribado para identificar derechos de propiedad intelectual de terceros que podrían afectar el desarrollo, fabricación, uso o comercialización de una solución.</x:v>
      </x:c>
      <x:c r="E35" s="408" t="str">
        <x:v>Detectar tempranamente riesgos de PI de terceros y definir acciones antes de avanzar hacia mercado o transferencia.</x:v>
      </x:c>
      <x:c r="F35" s="408" t="str">
        <x:v>Desconocimiento sobre si la explotación prevista de una solución puede entrar en conflicto con derechos de PI de terceros.</x:v>
      </x:c>
      <x:c r="G35" s="408" t="str">
        <x:v>Cuando la tecnología/producto y el uso/mercado objetivo están suficientemente definidos para revisar derechos relevantes antes de lanzamiento, licencia, fabricación o inversión significativa.</x:v>
      </x:c>
      <x:c r="H35" s="408" t="str">
        <x:v>No usar como opinión jurídica definitiva ni como sustituto de asesoría especializada. No aporta valor suficiente si la solución, características o jurisdicción objetivo todavía no están definidas.</x:v>
      </x:c>
      <x:c r="I35" s="408" t="str">
        <x:v>Descripción técnica/funcional de la solución, componentes críticos, uso previsto, mercado/jurisdicción objetivo y resultados de búsqueda de PI disponibles.</x:v>
      </x:c>
      <x:c r="J35" s="408" t="str">
        <x:v>1) Delimitar producto/proceso y jurisdicción. 2) Identificar derechos/patentes potencialmente relevantes. 3) Comparar alcance técnico y derechos con la explotación prevista. 4) Clasificar riesgos/incertidumbres. 5) Definir acciones: profundizar búsqueda, rediseñar, licenciar, esperar vencimiento o solicitar análisis jurídico.</x:v>
      </x:c>
      <x:c r="K35" s="408" t="str">
        <x:v>Mapa preliminar de riesgos FTO y acciones de mitigación/consulta especializada.</x:v>
      </x:c>
      <x:c r="L35" s="408" t="str">
        <x:v>Matriz FTO con derechos relevantes, riesgo preliminar, incertidumbres y acción recomendada.</x:v>
      </x:c>
      <x:c r="M35" s="408" t="str">
        <x:v>Existe un registro trazable de derechos relevantes, su relación con la explotación prevista y la acción requerida para cada riesgo material.</x:v>
      </x:c>
      <x:c r="N35" s="408" t="str">
        <x:v>Cualquiera</x:v>
      </x:c>
      <x:c r="O35" s="408" t="str">
        <x:v>No es TRL técnico; complemento de preparación para transferencia/mercado.</x:v>
      </x:c>
      <x:c r="P35" s="408"/>
      <x:c r="Q35" s="408"/>
      <x:c r="R35" s="408" t="str">
        <x:v>Alta relación con preparación comercial y licencia para operar, sin sustituir el CRL.</x:v>
      </x:c>
      <x:c r="S35" s="408"/>
      <x:c r="T35" s="408"/>
      <x:c r="U35" s="408"/>
      <x:c r="V35" s="408" t="str">
        <x:v>Alta</x:v>
      </x:c>
      <x:c r="W35" s="408" t="str">
        <x:v>Acompañamiento especializado</x:v>
      </x:c>
      <x:c r="X35" s="408" t="str">
        <x:v>Propuesta basada en benchmark internacional</x:v>
      </x:c>
      <x:c r="Y35" s="408" t="str">
        <x:v>https://www.wipo.int/en/web/tisc/inventions-public-domain</x:v>
      </x:c>
      <x:c r="Z35" s="408" t="str">
        <x:v>Propuesta sustentada externamente — validar CEDIA</x:v>
      </x:c>
      <x:c r="AA35" s="408" t="str">
        <x:v>Definir alcance institucional y advertencia jurídica. La herramienta debe presentarse como cribado, no como dictamen legal.</x:v>
      </x:c>
      <x:c r="AB35" s="409" t="n">
        <x:v>1</x:v>
      </x:c>
      <x:c r="AC35" s="408" t="str">
        <x:v>Completo</x:v>
      </x:c>
      <x:c r="AD35" s="410" t="str">
        <x:v>PROPIEDAD INTELECTUAL</x:v>
      </x:c>
      <x:c r="AE35" s="410" t="str">
        <x:v>No aplica directamente</x:v>
      </x:c>
      <x:c r="AF35" s="410" t="str">
        <x:v>Comercialización / licencia para operar</x:v>
      </x:c>
      <x:c r="AG35" s="410" t="str">
        <x:v>Complementaria</x:v>
      </x:c>
      <x:c r="AH35" s="410" t="str">
        <x:v>Fuente oficial externa + adaptación propuesta</x:v>
      </x:c>
      <x:c r="AI35" s="410" t="str">
        <x:v>Directo + adaptación propuesta</x:v>
      </x:c>
      <x:c r="AJ35" s="410" t="str">
        <x:v>WIPO incluye Freedom to Operate como herramienta para comprobar si un producto/servicio puede avanzar sin infringir PI ajena.</x:v>
      </x:c>
      <x:c r="AK35" s="410" t="str">
        <x:v>WIPO — Toolkit on New Product Development / Freedom to Operate</x:v>
      </x:c>
      <x:c r="AL35" s="410" t="str">
        <x:v>https://www.wipo.int/en/web/tisc/inventions-public-domain</x:v>
      </x:c>
      <x:c r="AM35" s="410" t="str">
        <x:v>WIPO define FTO como la capacidad de avanzar con un producto o servicio sin infringir PI de terceros y subraya su importancia antes del lanzamiento.</x:v>
      </x:c>
      <x:c r="AN35" s="410" t="str">
        <x:v>Directo + adaptación.</x:v>
      </x:c>
      <x:c r="AO35" s="410" t="str">
        <x:v>No existe un tiempo único; depende del campo, jurisdicciones y profundidad de búsqueda.</x:v>
      </x:c>
      <x:c r="AP35" s="410" t="str">
        <x:v>Alta; requiere apoyo experto.</x:v>
      </x:c>
      <x:c r="AQ35" s="410" t="str">
        <x:v>Mostrarla como cribado con semáforo de riesgo y derivación obligatoria a apoyo especializado cuando exista riesgo material.</x:v>
      </x:c>
      <x:c r="AR35" s="410" t="str">
        <x:v>Verificado externamente</x:v>
      </x:c>
      <x:c r="AS35" s="410" t="str">
        <x:v>2026-09-14</x:v>
      </x:c>
    </x:row>
    <x:row r="36">
      <x:c r="A36" s="411" t="str">
        <x:v>TRA-002</x:v>
      </x:c>
      <x:c r="B36" s="411" t="str">
        <x:v>Mapa de Cadena de Valor y Actores</x:v>
      </x:c>
      <x:c r="C36" s="411" t="str">
        <x:v>Transferencia / PI</x:v>
      </x:c>
      <x:c r="D36" s="408" t="str">
        <x:v>Mapa de actividades, capacidades y actores necesarios para desarrollar, comercializar, entregar y sostener una innovación.</x:v>
      </x:c>
      <x:c r="E36" s="408" t="str">
        <x:v>Identificar capacidades faltantes, socios críticos, dependencias y cuellos de botella de la ruta desde desarrollo hasta uso/mercado.</x:v>
      </x:c>
      <x:c r="F36" s="408" t="str">
        <x:v>Proyecto técnicamente prometedor sin claridad sobre quién ejecutará actividades clave ni qué capacidades faltan para desarrollar, comercializar y sostener la solución.</x:v>
      </x:c>
      <x:c r="G36" s="408" t="str">
        <x:v>Cuando existe una solución suficientemente definida y se necesita diseñar la red de capacidades, socios y actividades para desarrollo, transferencia, fabricación, comercialización o soporte.</x:v>
      </x:c>
      <x:c r="H36" s="408" t="str">
        <x:v>No usar como sustituto del Business Model Canvas ni cuando todavía no existe una solución o aplicación suficientemente definida para identificar actividades y actores relevantes.</x:v>
      </x:c>
      <x:c r="I36" s="408" t="str">
        <x:v>Solución/aplicación definida, propuesta de valor preliminar, actores conocidos, capacidades internas y ruta de entrega/comercialización preliminar.</x:v>
      </x:c>
      <x:c r="J36" s="408" t="str">
        <x:v>1) Definir valor/resultado entregado. 2) Mapear actividades desde desarrollo hasta soporte. 3) Identificar capacidades requeridas y disponibles. 4) Asociar actores/socios por actividad. 5) Detectar brechas, dependencias y cuellos de botella. 6) Priorizar alianzas o capacidades a desarrollar.</x:v>
      </x:c>
      <x:c r="K36" s="408" t="str">
        <x:v>Mapa de cadena de valor con actores, capacidades, brechas y acciones de articulación.</x:v>
      </x:c>
      <x:c r="L36" s="408" t="str">
        <x:v>Mapa de cadena de valor y actores con capacidades/gaps priorizados.</x:v>
      </x:c>
      <x:c r="M36" s="408" t="str">
        <x:v>Las actividades críticas tienen actor/capacidad identificada y las brechas de capacidad o dependencia cuentan con una acción o responsable preliminar.</x:v>
      </x:c>
      <x:c r="N36" s="408" t="str">
        <x:v>Cualquiera</x:v>
      </x:c>
      <x:c r="O36" s="408" t="str">
        <x:v>No determina TRL; puede revelar capacidades necesarias para madurar o desplegar tecnología.</x:v>
      </x:c>
      <x:c r="P36" s="408"/>
      <x:c r="Q36" s="408"/>
      <x:c r="R36" s="408" t="str">
        <x:v>Relacionada con escalabilidad, socios, canales, recursos y adopción.</x:v>
      </x:c>
      <x:c r="S36" s="408"/>
      <x:c r="T36" s="408"/>
      <x:c r="U36" s="408"/>
      <x:c r="V36" s="408" t="str">
        <x:v>Media</x:v>
      </x:c>
      <x:c r="W36" s="408" t="str">
        <x:v>Taller / acompañamiento</x:v>
      </x:c>
      <x:c r="X36" s="408" t="str">
        <x:v>Propuesta basada en benchmark internacional</x:v>
      </x:c>
      <x:c r="Y36" s="408" t="str">
        <x:v>https://www.wipo.int/en/web/tisc/inventions-public-domain</x:v>
      </x:c>
      <x:c r="Z36" s="408" t="str">
        <x:v>Propuesta sustentada externamente — validar CEDIA</x:v>
      </x:c>
      <x:c r="AA36" s="408" t="str">
        <x:v>Integrar con 13_CADENA_VALOR sin duplicar funciones; definir versión visual para el usuario.</x:v>
      </x:c>
      <x:c r="AB36" s="409" t="n">
        <x:v>1</x:v>
      </x:c>
      <x:c r="AC36" s="408" t="str">
        <x:v>Completo</x:v>
      </x:c>
      <x:c r="AD36" s="410" t="str">
        <x:v>TRANSFERENCIA</x:v>
      </x:c>
      <x:c r="AE36" s="410" t="str">
        <x:v>Escalamiento/implementación contextual</x:v>
      </x:c>
      <x:c r="AF36" s="410" t="str">
        <x:v>Desarrollo comercial, recursos, socios y escalabilidad</x:v>
      </x:c>
      <x:c r="AG36" s="410" t="str">
        <x:v>Complementaria</x:v>
      </x:c>
      <x:c r="AH36" s="410" t="str">
        <x:v>Fuente oficial externa + adaptación propuesta</x:v>
      </x:c>
      <x:c r="AI36" s="410" t="str">
        <x:v>Directo + adaptación propuesta</x:v>
      </x:c>
      <x:c r="AJ36" s="410" t="str">
        <x:v>WIPO usa Value Chain para establecer si existen capacidades y capacidades necesarias para desarrollar, comercializar y soportar un nuevo producto/servicio.</x:v>
      </x:c>
      <x:c r="AK36" s="410" t="str">
        <x:v>WIPO — Toolkit on New Product Development / Value Chain</x:v>
      </x:c>
      <x:c r="AL36" s="410" t="str">
        <x:v>https://www.wipo.int/en/web/tisc/inventions-public-domain</x:v>
      </x:c>
      <x:c r="AM36" s="410" t="str">
        <x:v>WIPO señala que Value Chain permite comprobar si existen capacidades suficientes para desarrollar, comercializar y apoyar una oferta después del lanzamiento.</x:v>
      </x:c>
      <x:c r="AN36" s="410" t="str">
        <x:v>Directo + adaptación.</x:v>
      </x:c>
      <x:c r="AO36" s="410" t="str">
        <x:v>No existe un tiempo único oficial.</x:v>
      </x:c>
      <x:c r="AP36" s="410" t="str">
        <x:v>Media/Alta según complejidad de la cadena.</x:v>
      </x:c>
      <x:c r="AQ36" s="410" t="str">
        <x:v>Conectar visualmente actores/capacidades con brechas y permitir derivar necesidades de alianza o servicio.</x:v>
      </x:c>
      <x:c r="AR36" s="410" t="str">
        <x:v>Verificado externamente</x:v>
      </x:c>
      <x:c r="AS36" s="410" t="str">
        <x:v>2026-09-14</x:v>
      </x:c>
    </x:row>
    <x:row r="37">
      <x:c r="A37" s="411" t="str">
        <x:v>TRA-003</x:v>
      </x:c>
      <x:c r="B37" s="411" t="str">
        <x:v>Ficha de Divulgación de Invención</x:v>
      </x:c>
      <x:c r="C37" s="411" t="str">
        <x:v>Transferencia / PI</x:v>
      </x:c>
      <x:c r="D37" s="408" t="str">
        <x:v>Plantilla institucional propuesta para documentar una invención o resultado con potencial de transferencia y remitirlo a la función/OTRI correspondiente.</x:v>
      </x:c>
      <x:c r="E37" s="408" t="str">
        <x:v>Iniciar de forma ordenada la evaluación de una invención, preservando información clave sobre inventores, evidencia, financiación y divulgaciones.</x:v>
      </x:c>
      <x:c r="F37" s="408" t="str">
        <x:v>Resultados de investigación con potencial de protección/transferencia que no están documentados ni comunicados formalmente para evaluación.</x:v>
      </x:c>
      <x:c r="G37" s="408" t="str">
        <x:v>Cuando existe un resultado técnico/inventivo suficientemente concreto y se considera su protección, transferencia, licenciamiento o colaboración con terceros.</x:v>
      </x:c>
      <x:c r="H37" s="408" t="str">
        <x:v>No usar como solicitud de patente ni como evaluación de patentabilidad/FTO. Si solo existe una idea general sin resultado inventivo o evidencia mínima, primero debe madurarse/documentarse.</x:v>
      </x:c>
      <x:c r="I37" s="408" t="str">
        <x:v>Descripción del resultado/invención, inventores y contribuciones, evidencia disponible, financiación/acuerdos, publicaciones o divulgaciones previas/planificadas y posibles aplicaciones.</x:v>
      </x:c>
      <x:c r="J37" s="408" t="str">
        <x:v>1) Describir invención y problema resuelto. 2) Identificar inventores/contribuyentes. 3) Registrar financiación y acuerdos. 4) Registrar divulgaciones previas o previstas. 5) Adjuntar evidencia técnica y aplicaciones. 6) Identificar terceros/interés conocido. 7) Remitir a la función de transferencia/PI para evaluación.</x:v>
      </x:c>
      <x:c r="K37" s="408" t="str">
        <x:v>Expediente inicial de invención listo para revisión institucional de PI y transferencia.</x:v>
      </x:c>
      <x:c r="L37" s="408" t="str">
        <x:v>Ficha de Divulgación de Invención con anexos y trazabilidad básica.</x:v>
      </x:c>
      <x:c r="M37" s="408" t="str">
        <x:v>La información mínima permite a la función de transferencia entender el resultado, autores, contexto contractual/divulgaciones y evidencia para decidir la evaluación siguiente.</x:v>
      </x:c>
      <x:c r="N37" s="408" t="str">
        <x:v>Cualquiera con resultado inventivo</x:v>
      </x:c>
      <x:c r="O37" s="408" t="str">
        <x:v>No determina TRL; puede ocurrir en distintos niveles según el resultado.</x:v>
      </x:c>
      <x:c r="P37" s="408"/>
      <x:c r="Q37" s="408"/>
      <x:c r="R37" s="408" t="str">
        <x:v>Complementaria a transferencia/comercialización; no sustituye CRL.</x:v>
      </x:c>
      <x:c r="S37" s="408"/>
      <x:c r="T37" s="408"/>
      <x:c r="U37" s="408"/>
      <x:c r="V37" s="408" t="str">
        <x:v>Media</x:v>
      </x:c>
      <x:c r="W37" s="408" t="str">
        <x:v>Autogestión asistida + revisión institucional</x:v>
      </x:c>
      <x:c r="X37" s="408" t="str">
        <x:v>Propuesta basada en benchmark internacional</x:v>
      </x:c>
      <x:c r="Y37" s="408" t="str">
        <x:v>https://www.wipo.int/es/web/technology-transfer/</x:v>
      </x:c>
      <x:c r="Z37" s="408" t="str">
        <x:v>Propuesta sustentada externamente — validar CEDIA</x:v>
      </x:c>
      <x:c r="AA37" s="408" t="str">
        <x:v>WIPO respalda la necesidad de identificar/divulgar innovaciones a OTT; la plantilla concreta es una adaptación propuesta para CEDIA.</x:v>
      </x:c>
      <x:c r="AB37" s="409" t="n">
        <x:v>1</x:v>
      </x:c>
      <x:c r="AC37" s="408" t="str">
        <x:v>Completo</x:v>
      </x:c>
      <x:c r="AD37" s="410" t="str">
        <x:v>PROPIEDAD INTELECTUAL</x:v>
      </x:c>
      <x:c r="AE37" s="410" t="str">
        <x:v>No aplica directamente</x:v>
      </x:c>
      <x:c r="AF37" s="410" t="str">
        <x:v>Transferencia / preparación comercial</x:v>
      </x:c>
      <x:c r="AG37" s="410" t="str">
        <x:v>Directa</x:v>
      </x:c>
      <x:c r="AH37" s="410" t="str">
        <x:v>Fuente oficial externa + adaptación propuesta</x:v>
      </x:c>
      <x:c r="AI37" s="410" t="str">
        <x:v>Directo para necesidad de divulgación + adaptación propuesta de plantilla</x:v>
      </x:c>
      <x:c r="AJ37" s="410" t="str">
        <x:v>WIPO describe la identificación y divulgación de la innovación a la oficina de transferencia como el inicio del proceso de transferencia; Ruta CEDIA propone una ficha para operacionalizar ese paso.</x:v>
      </x:c>
      <x:c r="AK37" s="410" t="str">
        <x:v>WIPO — Knowledge and Technology Transfer</x:v>
      </x:c>
      <x:c r="AL37" s="410" t="str">
        <x:v>https://www.wipo.int/es/web/technology-transfer/</x:v>
      </x:c>
      <x:c r="AM37" s="410" t="str">
        <x:v>WIPO sitúa la identificación y divulgación de innovaciones a la oficina de transferencia como el primer paso del proceso de transferencia tecnológica.</x:v>
      </x:c>
      <x:c r="AN37" s="410" t="str">
        <x:v>Directo + adaptación.</x:v>
      </x:c>
      <x:c r="AO37" s="410" t="str">
        <x:v>No estandarizada.</x:v>
      </x:c>
      <x:c r="AP37" s="410" t="str">
        <x:v>Media.</x:v>
      </x:c>
      <x:c r="AQ37" s="410" t="str">
        <x:v>Crear formulario estructurado, adjuntar evidencias y generar un expediente exportable para revisión institucional.</x:v>
      </x:c>
      <x:c r="AR37" s="410" t="str">
        <x:v>Verificado externamente</x:v>
      </x:c>
      <x:c r="AS37" s="410" t="str">
        <x:v>2026-09-14</x:v>
      </x:c>
    </x:row>
    <x:row r="38">
      <x:c r="A38" s="411" t="str">
        <x:v>ADO-001</x:v>
      </x:c>
      <x:c r="B38" s="411" t="str">
        <x:v>Mapa de Riesgos de Adopción / Comercialización</x:v>
      </x:c>
      <x:c r="C38" s="411" t="str">
        <x:v>Adopción / Comercialización</x:v>
      </x:c>
      <x:c r="D38" s="408" t="str">
        <x:v>Evaluación estructurada de barreras no técnicas de adopción inspirada en el marco Adoption Readiness Levels del U.S. DOE.</x:v>
      </x:c>
      <x:c r="E38" s="408" t="str">
        <x:v>Identificar qué barreras de valor, mercado, recursos o licencia para operar pueden impedir la adopción aunque la tecnología funcione.</x:v>
      </x:c>
      <x:c r="F38" s="408" t="str">
        <x:v>Tecnología con avance técnico pero con riesgos de adopción/comercialización no identificados o tratados de manera fragmentada.</x:v>
      </x:c>
      <x:c r="G38" s="408" t="str">
        <x:v>Cuando existe una aplicación/mercado objetivo suficientemente definido y se necesita comprender riesgos no técnicos antes de escalar, transferir o desplegar.</x:v>
      </x:c>
      <x:c r="H38" s="408" t="str">
        <x:v>No usar para calcular TRL ni para reemplazar el CRL institucional mientras no exista una decisión de integración. En investigación muy básica sin aplicación/mercado definido, su utilidad es limitada.</x:v>
      </x:c>
      <x:c r="I38" s="408" t="str">
        <x:v>Aplicación y mercado objetivo, propuesta de valor, evidencia de cliente/mercado, capacidades/recursos, contexto regulatorio/social y cadena de valor disponible.</x:v>
      </x:c>
      <x:c r="J38" s="408" t="str">
        <x:v>1) Definir aplicación y objetivo de adopción. 2) Revisar riesgos de propuesta de valor. 3) Revisar aceptación de mercado. 4) Revisar madurez de recursos. 5) Revisar licencia para operar. 6) Calificar evidencia/riesgo por dimensión. 7) Priorizar barreras y acciones. 8) Reevaluar periódicamente.</x:v>
      </x:c>
      <x:c r="K38" s="408" t="str">
        <x:v>Mapa priorizado de riesgos no técnicos de adopción con acciones y responsables.</x:v>
      </x:c>
      <x:c r="L38" s="408" t="str">
        <x:v>Matriz de riesgos de adopción por dimensiones y cuatro áreas, con prioridades y acciones.</x:v>
      </x:c>
      <x:c r="M38" s="408" t="str">
        <x:v>Las barreras materiales están identificadas por área, existe evidencia que sustenta su evaluación y las de mayor riesgo tienen acción priorizada.</x:v>
      </x:c>
      <x:c r="N38" s="408" t="str">
        <x:v>Cualquiera con aplicación definida</x:v>
      </x:c>
      <x:c r="O38" s="408" t="str">
        <x:v>Complementaria: DOE plantea ARL como complemento del TRL para riesgos no técnicos.</x:v>
      </x:c>
      <x:c r="P38" s="408"/>
      <x:c r="Q38" s="408"/>
      <x:c r="R38" s="408" t="str">
        <x:v>Alta relación temática; debe coexistir o integrarse con CRL solo después de validación metodológica CEDIA.</x:v>
      </x:c>
      <x:c r="S38" s="408"/>
      <x:c r="T38" s="408"/>
      <x:c r="U38" s="408"/>
      <x:c r="V38" s="408" t="str">
        <x:v>Alta</x:v>
      </x:c>
      <x:c r="W38" s="408" t="str">
        <x:v>Taller / acompañamiento / IA asistida</x:v>
      </x:c>
      <x:c r="X38" s="408" t="str">
        <x:v>Propuesta basada en benchmark internacional</x:v>
      </x:c>
      <x:c r="Y38" s="408" t="str">
        <x:v>https://www.energy.gov/technologycommercialization/adoption-readiness-levels-arl-framework</x:v>
      </x:c>
      <x:c r="Z38" s="408" t="str">
        <x:v>Propuesta sustentada externamente — validar CEDIA</x:v>
      </x:c>
      <x:c r="AA38" s="408" t="str">
        <x:v>No incorporar puntaje ARL oficial dentro del CRL CEDIA sin decisión institucional. Usar inicialmente como mapa de riesgos.</x:v>
      </x:c>
      <x:c r="AB38" s="409" t="n">
        <x:v>1</x:v>
      </x:c>
      <x:c r="AC38" s="408" t="str">
        <x:v>Completo</x:v>
      </x:c>
      <x:c r="AD38" s="410" t="str">
        <x:v>TRANSFERENCIA</x:v>
      </x:c>
      <x:c r="AE38" s="410" t="str">
        <x:v>Complemento no técnico al TRL</x:v>
      </x:c>
      <x:c r="AF38" s="410" t="str">
        <x:v>Mercado, propuesta de valor, recursos, escalabilidad y licencia para operar</x:v>
      </x:c>
      <x:c r="AG38" s="410" t="str">
        <x:v>Complementaria</x:v>
      </x:c>
      <x:c r="AH38" s="410" t="str">
        <x:v>Fuente oficial externa + adaptación propuesta</x:v>
      </x:c>
      <x:c r="AI38" s="410" t="str">
        <x:v>Directo + adaptación propuesta</x:v>
      </x:c>
      <x:c r="AJ38" s="410" t="str">
        <x:v>DOE creó ARL como complemento del TRL para 17 riesgos de adopción agrupados en propuesta de valor, aceptación del mercado, madurez de recursos y licencia para operar.</x:v>
      </x:c>
      <x:c r="AK38" s="410" t="str">
        <x:v>U.S. DOE — Adoption Readiness Levels (ARL) Framework</x:v>
      </x:c>
      <x:c r="AL38" s="410" t="str">
        <x:v>https://www.energy.gov/technologycommercialization/adoption-readiness-levels-arl-framework</x:v>
      </x:c>
      <x:c r="AM38" s="410" t="str">
        <x:v>DOE señala que resolver retos técnicos no es suficiente para comercializar; ARL evalúa 17 riesgos no técnicos en cuatro áreas y complementa el TRL.</x:v>
      </x:c>
      <x:c r="AN38" s="410" t="str">
        <x:v>Directo + adaptación.</x:v>
      </x:c>
      <x:c r="AO38" s="410" t="str">
        <x:v>No existe un tiempo único oficial.</x:v>
      </x:c>
      <x:c r="AP38" s="410" t="str">
        <x:v>Alta.</x:v>
      </x:c>
      <x:c r="AQ38" s="410" t="str">
        <x:v>Mostrar radar/semáforo por cuatro áreas y lista priorizada de dimensiones críticas; mantener separado de TRL y CRL hasta validación.</x:v>
      </x:c>
      <x:c r="AR38" s="410" t="str">
        <x:v>Verificado externamente</x:v>
      </x:c>
      <x:c r="AS38" s="410" t="str">
        <x:v>2026-09-14</x:v>
      </x:c>
    </x:row>
    <x:row r="39">
      <x:c r="A39" s="104"/>
      <x:c r="B39" s="104"/>
      <x:c r="C39" s="104"/>
      <x:c r="D39" s="108"/>
      <x:c r="E39" s="108"/>
      <x:c r="F39" s="108"/>
      <x:c r="G39" s="108"/>
      <x:c r="H39" s="108"/>
      <x:c r="I39" s="108"/>
      <x:c r="J39" s="108"/>
      <x:c r="K39" s="108"/>
      <x:c r="L39" s="108"/>
      <x:c r="M39" s="108"/>
      <x:c r="N39" s="44"/>
      <x:c r="O39" s="44"/>
      <x:c r="P39" s="44"/>
      <x:c r="Q39" s="44"/>
      <x:c r="R39" s="44"/>
      <x:c r="S39" s="44"/>
      <x:c r="T39" s="44"/>
      <x:c r="U39" s="44"/>
      <x:c r="V39" s="44"/>
      <x:c r="W39" s="44"/>
      <x:c r="X39" s="112"/>
      <x:c r="Y39" s="112"/>
      <x:c r="Z39" s="112"/>
      <x:c r="AA39" s="112"/>
      <x:c r="AB39" s="96" t="str">
        <x:f>IF(B39="","",COUNTA(D39:M39)/10)</x:f>
      </x:c>
      <x:c r="AC39" s="44" t="str">
        <x:f>IF(B39="","",IF(AB39=1,"Completo",IF(AB39&gt;=0.6,"En desarrollo","Pendiente")))</x:f>
      </x:c>
      <x:c r="AD39" s="136"/>
      <x:c r="AE39" s="136"/>
      <x:c r="AF39" s="136"/>
      <x:c r="AG39" s="136"/>
      <x:c r="AH39" s="138"/>
      <x:c r="AI39" s="138"/>
      <x:c r="AJ39" s="138"/>
      <x:c r="AK39" s="136"/>
      <x:c r="AL39" s="136"/>
      <x:c r="AM39" s="136"/>
      <x:c r="AN39" s="136"/>
      <x:c r="AO39" s="136"/>
      <x:c r="AP39" s="136"/>
      <x:c r="AQ39" s="136"/>
      <x:c r="AR39" s="136"/>
      <x:c r="AS39" s="136"/>
    </x:row>
    <x:row r="40">
      <x:c r="A40" s="104"/>
      <x:c r="B40" s="104"/>
      <x:c r="C40" s="104"/>
      <x:c r="D40" s="108"/>
      <x:c r="E40" s="108"/>
      <x:c r="F40" s="108"/>
      <x:c r="G40" s="108"/>
      <x:c r="H40" s="108"/>
      <x:c r="I40" s="108"/>
      <x:c r="J40" s="108"/>
      <x:c r="K40" s="108"/>
      <x:c r="L40" s="108"/>
      <x:c r="M40" s="108"/>
      <x:c r="N40" s="44"/>
      <x:c r="O40" s="44"/>
      <x:c r="P40" s="44"/>
      <x:c r="Q40" s="44"/>
      <x:c r="R40" s="44"/>
      <x:c r="S40" s="44"/>
      <x:c r="T40" s="44"/>
      <x:c r="U40" s="44"/>
      <x:c r="V40" s="44"/>
      <x:c r="W40" s="44"/>
      <x:c r="X40" s="112"/>
      <x:c r="Y40" s="112"/>
      <x:c r="Z40" s="112"/>
      <x:c r="AA40" s="112"/>
      <x:c r="AB40" s="96" t="str">
        <x:f>IF(B40="","",COUNTA(D40:M40)/10)</x:f>
      </x:c>
      <x:c r="AC40" s="44" t="str">
        <x:f>IF(B40="","",IF(AB40=1,"Completo",IF(AB40&gt;=0.6,"En desarrollo","Pendiente")))</x:f>
      </x:c>
      <x:c r="AD40" s="136"/>
      <x:c r="AE40" s="136"/>
      <x:c r="AF40" s="136"/>
      <x:c r="AG40" s="136"/>
      <x:c r="AH40" s="138"/>
      <x:c r="AI40" s="138"/>
      <x:c r="AJ40" s="138"/>
      <x:c r="AK40" s="136"/>
      <x:c r="AL40" s="136"/>
      <x:c r="AM40" s="136"/>
      <x:c r="AN40" s="136"/>
      <x:c r="AO40" s="136"/>
      <x:c r="AP40" s="136"/>
      <x:c r="AQ40" s="136"/>
      <x:c r="AR40" s="136"/>
      <x:c r="AS40" s="136"/>
    </x:row>
    <x:row r="41">
      <x:c r="A41" s="104"/>
      <x:c r="B41" s="104"/>
      <x:c r="C41" s="104"/>
      <x:c r="D41" s="108"/>
      <x:c r="E41" s="108"/>
      <x:c r="F41" s="108"/>
      <x:c r="G41" s="108"/>
      <x:c r="H41" s="108"/>
      <x:c r="I41" s="108"/>
      <x:c r="J41" s="108"/>
      <x:c r="K41" s="108"/>
      <x:c r="L41" s="108"/>
      <x:c r="M41" s="108"/>
      <x:c r="N41" s="44"/>
      <x:c r="O41" s="44"/>
      <x:c r="P41" s="44"/>
      <x:c r="Q41" s="44"/>
      <x:c r="R41" s="44"/>
      <x:c r="S41" s="44"/>
      <x:c r="T41" s="44"/>
      <x:c r="U41" s="44"/>
      <x:c r="V41" s="44"/>
      <x:c r="W41" s="44"/>
      <x:c r="X41" s="112"/>
      <x:c r="Y41" s="112"/>
      <x:c r="Z41" s="112"/>
      <x:c r="AA41" s="112"/>
      <x:c r="AB41" s="96" t="str">
        <x:f>IF(B41="","",COUNTA(D41:M41)/10)</x:f>
      </x:c>
      <x:c r="AC41" s="44" t="str">
        <x:f>IF(B41="","",IF(AB41=1,"Completo",IF(AB41&gt;=0.6,"En desarrollo","Pendiente")))</x:f>
      </x:c>
      <x:c r="AD41" s="136"/>
      <x:c r="AE41" s="136"/>
      <x:c r="AF41" s="136"/>
      <x:c r="AG41" s="136"/>
      <x:c r="AH41" s="138"/>
      <x:c r="AI41" s="138"/>
      <x:c r="AJ41" s="138"/>
      <x:c r="AK41" s="136"/>
      <x:c r="AL41" s="136"/>
      <x:c r="AM41" s="136"/>
      <x:c r="AN41" s="136"/>
      <x:c r="AO41" s="136"/>
      <x:c r="AP41" s="136"/>
      <x:c r="AQ41" s="136"/>
      <x:c r="AR41" s="136"/>
      <x:c r="AS41" s="136"/>
    </x:row>
    <x:row r="42">
      <x:c r="A42" s="104"/>
      <x:c r="B42" s="104"/>
      <x:c r="C42" s="104"/>
      <x:c r="D42" s="108"/>
      <x:c r="E42" s="108"/>
      <x:c r="F42" s="108"/>
      <x:c r="G42" s="108"/>
      <x:c r="H42" s="108"/>
      <x:c r="I42" s="108"/>
      <x:c r="J42" s="108"/>
      <x:c r="K42" s="108"/>
      <x:c r="L42" s="108"/>
      <x:c r="M42" s="108"/>
      <x:c r="N42" s="44"/>
      <x:c r="O42" s="44"/>
      <x:c r="P42" s="44"/>
      <x:c r="Q42" s="44"/>
      <x:c r="R42" s="44"/>
      <x:c r="S42" s="44"/>
      <x:c r="T42" s="44"/>
      <x:c r="U42" s="44"/>
      <x:c r="V42" s="44"/>
      <x:c r="W42" s="44"/>
      <x:c r="X42" s="112"/>
      <x:c r="Y42" s="112"/>
      <x:c r="Z42" s="112"/>
      <x:c r="AA42" s="112"/>
      <x:c r="AB42" s="96" t="str">
        <x:f>IF(B42="","",COUNTA(D42:M42)/10)</x:f>
      </x:c>
      <x:c r="AC42" s="44" t="str">
        <x:f>IF(B42="","",IF(AB42=1,"Completo",IF(AB42&gt;=0.6,"En desarrollo","Pendiente")))</x:f>
      </x:c>
      <x:c r="AD42" s="136"/>
      <x:c r="AE42" s="136"/>
      <x:c r="AF42" s="136"/>
      <x:c r="AG42" s="136"/>
      <x:c r="AH42" s="138"/>
      <x:c r="AI42" s="138"/>
      <x:c r="AJ42" s="138"/>
      <x:c r="AK42" s="136"/>
      <x:c r="AL42" s="136"/>
      <x:c r="AM42" s="136"/>
      <x:c r="AN42" s="136"/>
      <x:c r="AO42" s="136"/>
      <x:c r="AP42" s="136"/>
      <x:c r="AQ42" s="136"/>
      <x:c r="AR42" s="136"/>
      <x:c r="AS42" s="136"/>
    </x:row>
    <x:row r="43">
      <x:c r="A43" s="104"/>
      <x:c r="B43" s="104"/>
      <x:c r="C43" s="104"/>
      <x:c r="D43" s="108"/>
      <x:c r="E43" s="108"/>
      <x:c r="F43" s="108"/>
      <x:c r="G43" s="108"/>
      <x:c r="H43" s="108"/>
      <x:c r="I43" s="108"/>
      <x:c r="J43" s="108"/>
      <x:c r="K43" s="108"/>
      <x:c r="L43" s="108"/>
      <x:c r="M43" s="108"/>
      <x:c r="N43" s="44"/>
      <x:c r="O43" s="44"/>
      <x:c r="P43" s="44"/>
      <x:c r="Q43" s="44"/>
      <x:c r="R43" s="44"/>
      <x:c r="S43" s="44"/>
      <x:c r="T43" s="44"/>
      <x:c r="U43" s="44"/>
      <x:c r="V43" s="44"/>
      <x:c r="W43" s="44"/>
      <x:c r="X43" s="112"/>
      <x:c r="Y43" s="112"/>
      <x:c r="Z43" s="112"/>
      <x:c r="AA43" s="112"/>
      <x:c r="AB43" s="96" t="str">
        <x:f>IF(B43="","",COUNTA(D43:M43)/10)</x:f>
      </x:c>
      <x:c r="AC43" s="44" t="str">
        <x:f>IF(B43="","",IF(AB43=1,"Completo",IF(AB43&gt;=0.6,"En desarrollo","Pendiente")))</x:f>
      </x:c>
      <x:c r="AD43" s="136"/>
      <x:c r="AE43" s="136"/>
      <x:c r="AF43" s="136"/>
      <x:c r="AG43" s="136"/>
      <x:c r="AH43" s="138"/>
      <x:c r="AI43" s="138"/>
      <x:c r="AJ43" s="138"/>
      <x:c r="AK43" s="136"/>
      <x:c r="AL43" s="136"/>
      <x:c r="AM43" s="136"/>
      <x:c r="AN43" s="136"/>
      <x:c r="AO43" s="136"/>
      <x:c r="AP43" s="136"/>
      <x:c r="AQ43" s="136"/>
      <x:c r="AR43" s="136"/>
      <x:c r="AS43" s="136"/>
    </x:row>
    <x:row r="44">
      <x:c r="A44" s="104"/>
      <x:c r="B44" s="104"/>
      <x:c r="C44" s="104"/>
      <x:c r="D44" s="108"/>
      <x:c r="E44" s="108"/>
      <x:c r="F44" s="108"/>
      <x:c r="G44" s="108"/>
      <x:c r="H44" s="108"/>
      <x:c r="I44" s="108"/>
      <x:c r="J44" s="108"/>
      <x:c r="K44" s="108"/>
      <x:c r="L44" s="108"/>
      <x:c r="M44" s="108"/>
      <x:c r="N44" s="44"/>
      <x:c r="O44" s="44"/>
      <x:c r="P44" s="44"/>
      <x:c r="Q44" s="44"/>
      <x:c r="R44" s="44"/>
      <x:c r="S44" s="44"/>
      <x:c r="T44" s="44"/>
      <x:c r="U44" s="44"/>
      <x:c r="V44" s="44"/>
      <x:c r="W44" s="44"/>
      <x:c r="X44" s="112"/>
      <x:c r="Y44" s="112"/>
      <x:c r="Z44" s="112"/>
      <x:c r="AA44" s="112"/>
      <x:c r="AB44" s="96" t="str">
        <x:f>IF(B44="","",COUNTA(D44:M44)/10)</x:f>
      </x:c>
      <x:c r="AC44" s="44" t="str">
        <x:f>IF(B44="","",IF(AB44=1,"Completo",IF(AB44&gt;=0.6,"En desarrollo","Pendiente")))</x:f>
      </x:c>
      <x:c r="AD44" s="136"/>
      <x:c r="AE44" s="136"/>
      <x:c r="AF44" s="136"/>
      <x:c r="AG44" s="136"/>
      <x:c r="AH44" s="138"/>
      <x:c r="AI44" s="138"/>
      <x:c r="AJ44" s="138"/>
      <x:c r="AK44" s="136"/>
      <x:c r="AL44" s="136"/>
      <x:c r="AM44" s="136"/>
      <x:c r="AN44" s="136"/>
      <x:c r="AO44" s="136"/>
      <x:c r="AP44" s="136"/>
      <x:c r="AQ44" s="136"/>
      <x:c r="AR44" s="136"/>
      <x:c r="AS44" s="136"/>
    </x:row>
    <x:row r="45">
      <x:c r="A45" s="104"/>
      <x:c r="B45" s="104"/>
      <x:c r="C45" s="104"/>
      <x:c r="D45" s="108"/>
      <x:c r="E45" s="108"/>
      <x:c r="F45" s="108"/>
      <x:c r="G45" s="108"/>
      <x:c r="H45" s="108"/>
      <x:c r="I45" s="108"/>
      <x:c r="J45" s="108"/>
      <x:c r="K45" s="108"/>
      <x:c r="L45" s="108"/>
      <x:c r="M45" s="108"/>
      <x:c r="N45" s="44"/>
      <x:c r="O45" s="44"/>
      <x:c r="P45" s="44"/>
      <x:c r="Q45" s="44"/>
      <x:c r="R45" s="44"/>
      <x:c r="S45" s="44"/>
      <x:c r="T45" s="44"/>
      <x:c r="U45" s="44"/>
      <x:c r="V45" s="44"/>
      <x:c r="W45" s="44"/>
      <x:c r="X45" s="112"/>
      <x:c r="Y45" s="112"/>
      <x:c r="Z45" s="112"/>
      <x:c r="AA45" s="112"/>
      <x:c r="AB45" s="96" t="str">
        <x:f>IF(B45="","",COUNTA(D45:M45)/10)</x:f>
      </x:c>
      <x:c r="AC45" s="44" t="str">
        <x:f>IF(B45="","",IF(AB45=1,"Completo",IF(AB45&gt;=0.6,"En desarrollo","Pendiente")))</x:f>
      </x:c>
      <x:c r="AD45" s="136"/>
      <x:c r="AE45" s="136"/>
      <x:c r="AF45" s="136"/>
      <x:c r="AG45" s="136"/>
      <x:c r="AH45" s="138"/>
      <x:c r="AI45" s="138"/>
      <x:c r="AJ45" s="138"/>
      <x:c r="AK45" s="136"/>
      <x:c r="AL45" s="136"/>
      <x:c r="AM45" s="136"/>
      <x:c r="AN45" s="136"/>
      <x:c r="AO45" s="136"/>
      <x:c r="AP45" s="136"/>
      <x:c r="AQ45" s="136"/>
      <x:c r="AR45" s="136"/>
      <x:c r="AS45" s="136"/>
    </x:row>
    <x:row r="46">
      <x:c r="A46" s="104"/>
      <x:c r="B46" s="104"/>
      <x:c r="C46" s="104"/>
      <x:c r="D46" s="108"/>
      <x:c r="E46" s="108"/>
      <x:c r="F46" s="108"/>
      <x:c r="G46" s="108"/>
      <x:c r="H46" s="108"/>
      <x:c r="I46" s="108"/>
      <x:c r="J46" s="108"/>
      <x:c r="K46" s="108"/>
      <x:c r="L46" s="108"/>
      <x:c r="M46" s="108"/>
      <x:c r="N46" s="44"/>
      <x:c r="O46" s="44"/>
      <x:c r="P46" s="44"/>
      <x:c r="Q46" s="44"/>
      <x:c r="R46" s="44"/>
      <x:c r="S46" s="44"/>
      <x:c r="T46" s="44"/>
      <x:c r="U46" s="44"/>
      <x:c r="V46" s="44"/>
      <x:c r="W46" s="44"/>
      <x:c r="X46" s="112"/>
      <x:c r="Y46" s="112"/>
      <x:c r="Z46" s="112"/>
      <x:c r="AA46" s="112"/>
      <x:c r="AB46" s="96" t="str">
        <x:f>IF(B46="","",COUNTA(D46:M46)/10)</x:f>
      </x:c>
      <x:c r="AC46" s="44" t="str">
        <x:f>IF(B46="","",IF(AB46=1,"Completo",IF(AB46&gt;=0.6,"En desarrollo","Pendiente")))</x:f>
      </x:c>
      <x:c r="AD46" s="136"/>
      <x:c r="AE46" s="136"/>
      <x:c r="AF46" s="136"/>
      <x:c r="AG46" s="136"/>
      <x:c r="AH46" s="138"/>
      <x:c r="AI46" s="138"/>
      <x:c r="AJ46" s="138"/>
      <x:c r="AK46" s="136"/>
      <x:c r="AL46" s="136"/>
      <x:c r="AM46" s="136"/>
      <x:c r="AN46" s="136"/>
      <x:c r="AO46" s="136"/>
      <x:c r="AP46" s="136"/>
      <x:c r="AQ46" s="136"/>
      <x:c r="AR46" s="136"/>
      <x:c r="AS46" s="136"/>
    </x:row>
    <x:row r="47">
      <x:c r="A47" s="104"/>
      <x:c r="B47" s="104"/>
      <x:c r="C47" s="104"/>
      <x:c r="D47" s="108"/>
      <x:c r="E47" s="108"/>
      <x:c r="F47" s="108"/>
      <x:c r="G47" s="108"/>
      <x:c r="H47" s="108"/>
      <x:c r="I47" s="108"/>
      <x:c r="J47" s="108"/>
      <x:c r="K47" s="108"/>
      <x:c r="L47" s="108"/>
      <x:c r="M47" s="108"/>
      <x:c r="N47" s="44"/>
      <x:c r="O47" s="44"/>
      <x:c r="P47" s="44"/>
      <x:c r="Q47" s="44"/>
      <x:c r="R47" s="44"/>
      <x:c r="S47" s="44"/>
      <x:c r="T47" s="44"/>
      <x:c r="U47" s="44"/>
      <x:c r="V47" s="44"/>
      <x:c r="W47" s="44"/>
      <x:c r="X47" s="112"/>
      <x:c r="Y47" s="112"/>
      <x:c r="Z47" s="112"/>
      <x:c r="AA47" s="112"/>
      <x:c r="AB47" s="96" t="str">
        <x:f>IF(B47="","",COUNTA(D47:M47)/10)</x:f>
      </x:c>
      <x:c r="AC47" s="44" t="str">
        <x:f>IF(B47="","",IF(AB47=1,"Completo",IF(AB47&gt;=0.6,"En desarrollo","Pendiente")))</x:f>
      </x:c>
      <x:c r="AD47" s="136"/>
      <x:c r="AE47" s="136"/>
      <x:c r="AF47" s="136"/>
      <x:c r="AG47" s="136"/>
      <x:c r="AH47" s="138"/>
      <x:c r="AI47" s="138"/>
      <x:c r="AJ47" s="138"/>
      <x:c r="AK47" s="136"/>
      <x:c r="AL47" s="136"/>
      <x:c r="AM47" s="136"/>
      <x:c r="AN47" s="136"/>
      <x:c r="AO47" s="136"/>
      <x:c r="AP47" s="136"/>
      <x:c r="AQ47" s="136"/>
      <x:c r="AR47" s="136"/>
      <x:c r="AS47" s="136"/>
    </x:row>
    <x:row r="48">
      <x:c r="A48" s="104"/>
      <x:c r="B48" s="104"/>
      <x:c r="C48" s="104"/>
      <x:c r="D48" s="108"/>
      <x:c r="E48" s="108"/>
      <x:c r="F48" s="108"/>
      <x:c r="G48" s="108"/>
      <x:c r="H48" s="108"/>
      <x:c r="I48" s="108"/>
      <x:c r="J48" s="108"/>
      <x:c r="K48" s="108"/>
      <x:c r="L48" s="108"/>
      <x:c r="M48" s="108"/>
      <x:c r="N48" s="44"/>
      <x:c r="O48" s="44"/>
      <x:c r="P48" s="44"/>
      <x:c r="Q48" s="44"/>
      <x:c r="R48" s="44"/>
      <x:c r="S48" s="44"/>
      <x:c r="T48" s="44"/>
      <x:c r="U48" s="44"/>
      <x:c r="V48" s="44"/>
      <x:c r="W48" s="44"/>
      <x:c r="X48" s="112"/>
      <x:c r="Y48" s="112"/>
      <x:c r="Z48" s="112"/>
      <x:c r="AA48" s="112"/>
      <x:c r="AB48" s="96" t="str">
        <x:f>IF(B48="","",COUNTA(D48:M48)/10)</x:f>
      </x:c>
      <x:c r="AC48" s="44" t="str">
        <x:f>IF(B48="","",IF(AB48=1,"Completo",IF(AB48&gt;=0.6,"En desarrollo","Pendiente")))</x:f>
      </x:c>
      <x:c r="AD48" s="136"/>
      <x:c r="AE48" s="136"/>
      <x:c r="AF48" s="136"/>
      <x:c r="AG48" s="136"/>
      <x:c r="AH48" s="138"/>
      <x:c r="AI48" s="138"/>
      <x:c r="AJ48" s="138"/>
      <x:c r="AK48" s="136"/>
      <x:c r="AL48" s="136"/>
      <x:c r="AM48" s="136"/>
      <x:c r="AN48" s="136"/>
      <x:c r="AO48" s="136"/>
      <x:c r="AP48" s="136"/>
      <x:c r="AQ48" s="136"/>
      <x:c r="AR48" s="136"/>
      <x:c r="AS48" s="136"/>
    </x:row>
    <x:row r="49">
      <x:c r="A49" s="104"/>
      <x:c r="B49" s="104"/>
      <x:c r="C49" s="104"/>
      <x:c r="D49" s="108"/>
      <x:c r="E49" s="108"/>
      <x:c r="F49" s="108"/>
      <x:c r="G49" s="108"/>
      <x:c r="H49" s="108"/>
      <x:c r="I49" s="108"/>
      <x:c r="J49" s="108"/>
      <x:c r="K49" s="108"/>
      <x:c r="L49" s="108"/>
      <x:c r="M49" s="108"/>
      <x:c r="N49" s="44"/>
      <x:c r="O49" s="44"/>
      <x:c r="P49" s="44"/>
      <x:c r="Q49" s="44"/>
      <x:c r="R49" s="44"/>
      <x:c r="S49" s="44"/>
      <x:c r="T49" s="44"/>
      <x:c r="U49" s="44"/>
      <x:c r="V49" s="44"/>
      <x:c r="W49" s="44"/>
      <x:c r="X49" s="112"/>
      <x:c r="Y49" s="112"/>
      <x:c r="Z49" s="112"/>
      <x:c r="AA49" s="112"/>
      <x:c r="AB49" s="96" t="str">
        <x:f>IF(B49="","",COUNTA(D49:M49)/10)</x:f>
      </x:c>
      <x:c r="AC49" s="44" t="str">
        <x:f>IF(B49="","",IF(AB49=1,"Completo",IF(AB49&gt;=0.6,"En desarrollo","Pendiente")))</x:f>
      </x:c>
      <x:c r="AD49" s="136"/>
      <x:c r="AE49" s="136"/>
      <x:c r="AF49" s="136"/>
      <x:c r="AG49" s="136"/>
      <x:c r="AH49" s="138"/>
      <x:c r="AI49" s="138"/>
      <x:c r="AJ49" s="138"/>
      <x:c r="AK49" s="136"/>
      <x:c r="AL49" s="136"/>
      <x:c r="AM49" s="136"/>
      <x:c r="AN49" s="136"/>
      <x:c r="AO49" s="136"/>
      <x:c r="AP49" s="136"/>
      <x:c r="AQ49" s="136"/>
      <x:c r="AR49" s="136"/>
      <x:c r="AS49" s="136"/>
    </x:row>
    <x:row r="50">
      <x:c r="A50" s="104"/>
      <x:c r="B50" s="104"/>
      <x:c r="C50" s="104"/>
      <x:c r="D50" s="108"/>
      <x:c r="E50" s="108"/>
      <x:c r="F50" s="108"/>
      <x:c r="G50" s="108"/>
      <x:c r="H50" s="108"/>
      <x:c r="I50" s="108"/>
      <x:c r="J50" s="108"/>
      <x:c r="K50" s="108"/>
      <x:c r="L50" s="108"/>
      <x:c r="M50" s="108"/>
      <x:c r="N50" s="44"/>
      <x:c r="O50" s="44"/>
      <x:c r="P50" s="44"/>
      <x:c r="Q50" s="44"/>
      <x:c r="R50" s="44"/>
      <x:c r="S50" s="44"/>
      <x:c r="T50" s="44"/>
      <x:c r="U50" s="44"/>
      <x:c r="V50" s="44"/>
      <x:c r="W50" s="44"/>
      <x:c r="X50" s="112"/>
      <x:c r="Y50" s="112"/>
      <x:c r="Z50" s="112"/>
      <x:c r="AA50" s="112"/>
      <x:c r="AB50" s="96" t="str">
        <x:f>IF(B50="","",COUNTA(D50:M50)/10)</x:f>
      </x:c>
      <x:c r="AC50" s="44" t="str">
        <x:f>IF(B50="","",IF(AB50=1,"Completo",IF(AB50&gt;=0.6,"En desarrollo","Pendiente")))</x:f>
      </x:c>
      <x:c r="AD50" s="136"/>
      <x:c r="AE50" s="136"/>
      <x:c r="AF50" s="136"/>
      <x:c r="AG50" s="136"/>
      <x:c r="AH50" s="138"/>
      <x:c r="AI50" s="138"/>
      <x:c r="AJ50" s="138"/>
      <x:c r="AK50" s="136"/>
      <x:c r="AL50" s="136"/>
      <x:c r="AM50" s="136"/>
      <x:c r="AN50" s="136"/>
      <x:c r="AO50" s="136"/>
      <x:c r="AP50" s="136"/>
      <x:c r="AQ50" s="136"/>
      <x:c r="AR50" s="136"/>
      <x:c r="AS50" s="136"/>
    </x:row>
    <x:row r="51">
      <x:c r="A51" s="104"/>
      <x:c r="B51" s="104"/>
      <x:c r="C51" s="104"/>
      <x:c r="D51" s="108"/>
      <x:c r="E51" s="108"/>
      <x:c r="F51" s="108"/>
      <x:c r="G51" s="108"/>
      <x:c r="H51" s="108"/>
      <x:c r="I51" s="108"/>
      <x:c r="J51" s="108"/>
      <x:c r="K51" s="108"/>
      <x:c r="L51" s="108"/>
      <x:c r="M51" s="108"/>
      <x:c r="N51" s="44"/>
      <x:c r="O51" s="44"/>
      <x:c r="P51" s="44"/>
      <x:c r="Q51" s="44"/>
      <x:c r="R51" s="44"/>
      <x:c r="S51" s="44"/>
      <x:c r="T51" s="44"/>
      <x:c r="U51" s="44"/>
      <x:c r="V51" s="44"/>
      <x:c r="W51" s="44"/>
      <x:c r="X51" s="112"/>
      <x:c r="Y51" s="112"/>
      <x:c r="Z51" s="112"/>
      <x:c r="AA51" s="112"/>
      <x:c r="AB51" s="96" t="str">
        <x:f>IF(B51="","",COUNTA(D51:M51)/10)</x:f>
      </x:c>
      <x:c r="AC51" s="44" t="str">
        <x:f>IF(B51="","",IF(AB51=1,"Completo",IF(AB51&gt;=0.6,"En desarrollo","Pendiente")))</x:f>
      </x:c>
      <x:c r="AD51" s="136"/>
      <x:c r="AE51" s="136"/>
      <x:c r="AF51" s="136"/>
      <x:c r="AG51" s="136"/>
      <x:c r="AH51" s="138"/>
      <x:c r="AI51" s="138"/>
      <x:c r="AJ51" s="138"/>
      <x:c r="AK51" s="136"/>
      <x:c r="AL51" s="136"/>
      <x:c r="AM51" s="136"/>
      <x:c r="AN51" s="136"/>
      <x:c r="AO51" s="136"/>
      <x:c r="AP51" s="136"/>
      <x:c r="AQ51" s="136"/>
      <x:c r="AR51" s="136"/>
      <x:c r="AS51" s="136"/>
    </x:row>
    <x:row r="52">
      <x:c r="A52" s="104"/>
      <x:c r="B52" s="104"/>
      <x:c r="C52" s="104"/>
      <x:c r="D52" s="108"/>
      <x:c r="E52" s="108"/>
      <x:c r="F52" s="108"/>
      <x:c r="G52" s="108"/>
      <x:c r="H52" s="108"/>
      <x:c r="I52" s="108"/>
      <x:c r="J52" s="108"/>
      <x:c r="K52" s="108"/>
      <x:c r="L52" s="108"/>
      <x:c r="M52" s="108"/>
      <x:c r="N52" s="44"/>
      <x:c r="O52" s="44"/>
      <x:c r="P52" s="44"/>
      <x:c r="Q52" s="44"/>
      <x:c r="R52" s="44"/>
      <x:c r="S52" s="44"/>
      <x:c r="T52" s="44"/>
      <x:c r="U52" s="44"/>
      <x:c r="V52" s="44"/>
      <x:c r="W52" s="44"/>
      <x:c r="X52" s="112"/>
      <x:c r="Y52" s="112"/>
      <x:c r="Z52" s="112"/>
      <x:c r="AA52" s="112"/>
      <x:c r="AB52" s="96" t="str">
        <x:f>IF(B52="","",COUNTA(D52:M52)/10)</x:f>
      </x:c>
      <x:c r="AC52" s="44" t="str">
        <x:f>IF(B52="","",IF(AB52=1,"Completo",IF(AB52&gt;=0.6,"En desarrollo","Pendiente")))</x:f>
      </x:c>
      <x:c r="AD52" s="136"/>
      <x:c r="AE52" s="136"/>
      <x:c r="AF52" s="136"/>
      <x:c r="AG52" s="136"/>
      <x:c r="AH52" s="138"/>
      <x:c r="AI52" s="138"/>
      <x:c r="AJ52" s="138"/>
      <x:c r="AK52" s="136"/>
      <x:c r="AL52" s="136"/>
      <x:c r="AM52" s="136"/>
      <x:c r="AN52" s="136"/>
      <x:c r="AO52" s="136"/>
      <x:c r="AP52" s="136"/>
      <x:c r="AQ52" s="136"/>
      <x:c r="AR52" s="136"/>
      <x:c r="AS52" s="136"/>
    </x:row>
    <x:row r="53">
      <x:c r="A53" s="104"/>
      <x:c r="B53" s="104"/>
      <x:c r="C53" s="104"/>
      <x:c r="D53" s="108"/>
      <x:c r="E53" s="108"/>
      <x:c r="F53" s="108"/>
      <x:c r="G53" s="108"/>
      <x:c r="H53" s="108"/>
      <x:c r="I53" s="108"/>
      <x:c r="J53" s="108"/>
      <x:c r="K53" s="108"/>
      <x:c r="L53" s="108"/>
      <x:c r="M53" s="108"/>
      <x:c r="N53" s="44"/>
      <x:c r="O53" s="44"/>
      <x:c r="P53" s="44"/>
      <x:c r="Q53" s="44"/>
      <x:c r="R53" s="44"/>
      <x:c r="S53" s="44"/>
      <x:c r="T53" s="44"/>
      <x:c r="U53" s="44"/>
      <x:c r="V53" s="44"/>
      <x:c r="W53" s="44"/>
      <x:c r="X53" s="112"/>
      <x:c r="Y53" s="112"/>
      <x:c r="Z53" s="112"/>
      <x:c r="AA53" s="112"/>
      <x:c r="AB53" s="96" t="str">
        <x:f>IF(B53="","",COUNTA(D53:M53)/10)</x:f>
      </x:c>
      <x:c r="AC53" s="44" t="str">
        <x:f>IF(B53="","",IF(AB53=1,"Completo",IF(AB53&gt;=0.6,"En desarrollo","Pendiente")))</x:f>
      </x:c>
      <x:c r="AD53" s="136"/>
      <x:c r="AE53" s="136"/>
      <x:c r="AF53" s="136"/>
      <x:c r="AG53" s="136"/>
      <x:c r="AH53" s="138"/>
      <x:c r="AI53" s="138"/>
      <x:c r="AJ53" s="138"/>
      <x:c r="AK53" s="136"/>
      <x:c r="AL53" s="136"/>
      <x:c r="AM53" s="136"/>
      <x:c r="AN53" s="136"/>
      <x:c r="AO53" s="136"/>
      <x:c r="AP53" s="136"/>
      <x:c r="AQ53" s="136"/>
      <x:c r="AR53" s="136"/>
      <x:c r="AS53" s="136"/>
    </x:row>
    <x:row r="54">
      <x:c r="A54" s="104"/>
      <x:c r="B54" s="104"/>
      <x:c r="C54" s="104"/>
      <x:c r="D54" s="108"/>
      <x:c r="E54" s="108"/>
      <x:c r="F54" s="108"/>
      <x:c r="G54" s="108"/>
      <x:c r="H54" s="108"/>
      <x:c r="I54" s="108"/>
      <x:c r="J54" s="108"/>
      <x:c r="K54" s="108"/>
      <x:c r="L54" s="108"/>
      <x:c r="M54" s="108"/>
      <x:c r="N54" s="44"/>
      <x:c r="O54" s="44"/>
      <x:c r="P54" s="44"/>
      <x:c r="Q54" s="44"/>
      <x:c r="R54" s="44"/>
      <x:c r="S54" s="44"/>
      <x:c r="T54" s="44"/>
      <x:c r="U54" s="44"/>
      <x:c r="V54" s="44"/>
      <x:c r="W54" s="44"/>
      <x:c r="X54" s="112"/>
      <x:c r="Y54" s="112"/>
      <x:c r="Z54" s="112"/>
      <x:c r="AA54" s="112"/>
      <x:c r="AB54" s="96" t="str">
        <x:f>IF(B54="","",COUNTA(D54:M54)/10)</x:f>
      </x:c>
      <x:c r="AC54" s="44" t="str">
        <x:f>IF(B54="","",IF(AB54=1,"Completo",IF(AB54&gt;=0.6,"En desarrollo","Pendiente")))</x:f>
      </x:c>
      <x:c r="AD54" s="136"/>
      <x:c r="AE54" s="136"/>
      <x:c r="AF54" s="136"/>
      <x:c r="AG54" s="136"/>
      <x:c r="AH54" s="138"/>
      <x:c r="AI54" s="138"/>
      <x:c r="AJ54" s="138"/>
      <x:c r="AK54" s="136"/>
      <x:c r="AL54" s="136"/>
      <x:c r="AM54" s="136"/>
      <x:c r="AN54" s="136"/>
      <x:c r="AO54" s="136"/>
      <x:c r="AP54" s="136"/>
      <x:c r="AQ54" s="136"/>
      <x:c r="AR54" s="136"/>
      <x:c r="AS54" s="136"/>
    </x:row>
    <x:row r="55">
      <x:c r="A55" s="104"/>
      <x:c r="B55" s="104"/>
      <x:c r="C55" s="104"/>
      <x:c r="D55" s="108"/>
      <x:c r="E55" s="108"/>
      <x:c r="F55" s="108"/>
      <x:c r="G55" s="108"/>
      <x:c r="H55" s="108"/>
      <x:c r="I55" s="108"/>
      <x:c r="J55" s="108"/>
      <x:c r="K55" s="108"/>
      <x:c r="L55" s="108"/>
      <x:c r="M55" s="108"/>
      <x:c r="N55" s="44"/>
      <x:c r="O55" s="44"/>
      <x:c r="P55" s="44"/>
      <x:c r="Q55" s="44"/>
      <x:c r="R55" s="44"/>
      <x:c r="S55" s="44"/>
      <x:c r="T55" s="44"/>
      <x:c r="U55" s="44"/>
      <x:c r="V55" s="44"/>
      <x:c r="W55" s="44"/>
      <x:c r="X55" s="112"/>
      <x:c r="Y55" s="112"/>
      <x:c r="Z55" s="112"/>
      <x:c r="AA55" s="112"/>
      <x:c r="AB55" s="96" t="str">
        <x:f>IF(B55="","",COUNTA(D55:M55)/10)</x:f>
      </x:c>
      <x:c r="AC55" s="44" t="str">
        <x:f>IF(B55="","",IF(AB55=1,"Completo",IF(AB55&gt;=0.6,"En desarrollo","Pendiente")))</x:f>
      </x:c>
      <x:c r="AD55" s="136"/>
      <x:c r="AE55" s="136"/>
      <x:c r="AF55" s="136"/>
      <x:c r="AG55" s="136"/>
      <x:c r="AH55" s="138"/>
      <x:c r="AI55" s="138"/>
      <x:c r="AJ55" s="138"/>
      <x:c r="AK55" s="136"/>
      <x:c r="AL55" s="136"/>
      <x:c r="AM55" s="136"/>
      <x:c r="AN55" s="136"/>
      <x:c r="AO55" s="136"/>
      <x:c r="AP55" s="136"/>
      <x:c r="AQ55" s="136"/>
      <x:c r="AR55" s="136"/>
      <x:c r="AS55" s="136"/>
    </x:row>
    <x:row r="56">
      <x:c r="A56" s="104"/>
      <x:c r="B56" s="104"/>
      <x:c r="C56" s="104"/>
      <x:c r="D56" s="108"/>
      <x:c r="E56" s="108"/>
      <x:c r="F56" s="108"/>
      <x:c r="G56" s="108"/>
      <x:c r="H56" s="108"/>
      <x:c r="I56" s="108"/>
      <x:c r="J56" s="108"/>
      <x:c r="K56" s="108"/>
      <x:c r="L56" s="108"/>
      <x:c r="M56" s="108"/>
      <x:c r="N56" s="44"/>
      <x:c r="O56" s="44"/>
      <x:c r="P56" s="44"/>
      <x:c r="Q56" s="44"/>
      <x:c r="R56" s="44"/>
      <x:c r="S56" s="44"/>
      <x:c r="T56" s="44"/>
      <x:c r="U56" s="44"/>
      <x:c r="V56" s="44"/>
      <x:c r="W56" s="44"/>
      <x:c r="X56" s="112"/>
      <x:c r="Y56" s="112"/>
      <x:c r="Z56" s="112"/>
      <x:c r="AA56" s="112"/>
      <x:c r="AB56" s="96" t="str">
        <x:f>IF(B56="","",COUNTA(D56:M56)/10)</x:f>
      </x:c>
      <x:c r="AC56" s="44" t="str">
        <x:f>IF(B56="","",IF(AB56=1,"Completo",IF(AB56&gt;=0.6,"En desarrollo","Pendiente")))</x:f>
      </x:c>
      <x:c r="AD56" s="136"/>
      <x:c r="AE56" s="136"/>
      <x:c r="AF56" s="136"/>
      <x:c r="AG56" s="136"/>
      <x:c r="AH56" s="138"/>
      <x:c r="AI56" s="138"/>
      <x:c r="AJ56" s="138"/>
      <x:c r="AK56" s="136"/>
      <x:c r="AL56" s="136"/>
      <x:c r="AM56" s="136"/>
      <x:c r="AN56" s="136"/>
      <x:c r="AO56" s="136"/>
      <x:c r="AP56" s="136"/>
      <x:c r="AQ56" s="136"/>
      <x:c r="AR56" s="136"/>
      <x:c r="AS56" s="136"/>
    </x:row>
    <x:row r="57">
      <x:c r="A57" s="104"/>
      <x:c r="B57" s="104"/>
      <x:c r="C57" s="104"/>
      <x:c r="D57" s="108"/>
      <x:c r="E57" s="108"/>
      <x:c r="F57" s="108"/>
      <x:c r="G57" s="108"/>
      <x:c r="H57" s="108"/>
      <x:c r="I57" s="108"/>
      <x:c r="J57" s="108"/>
      <x:c r="K57" s="108"/>
      <x:c r="L57" s="108"/>
      <x:c r="M57" s="108"/>
      <x:c r="N57" s="44"/>
      <x:c r="O57" s="44"/>
      <x:c r="P57" s="44"/>
      <x:c r="Q57" s="44"/>
      <x:c r="R57" s="44"/>
      <x:c r="S57" s="44"/>
      <x:c r="T57" s="44"/>
      <x:c r="U57" s="44"/>
      <x:c r="V57" s="44"/>
      <x:c r="W57" s="44"/>
      <x:c r="X57" s="112"/>
      <x:c r="Y57" s="112"/>
      <x:c r="Z57" s="112"/>
      <x:c r="AA57" s="112"/>
      <x:c r="AB57" s="96" t="str">
        <x:f>IF(B57="","",COUNTA(D57:M57)/10)</x:f>
      </x:c>
      <x:c r="AC57" s="44" t="str">
        <x:f>IF(B57="","",IF(AB57=1,"Completo",IF(AB57&gt;=0.6,"En desarrollo","Pendiente")))</x:f>
      </x:c>
      <x:c r="AD57" s="136"/>
      <x:c r="AE57" s="136"/>
      <x:c r="AF57" s="136"/>
      <x:c r="AG57" s="136"/>
      <x:c r="AH57" s="138"/>
      <x:c r="AI57" s="138"/>
      <x:c r="AJ57" s="138"/>
      <x:c r="AK57" s="136"/>
      <x:c r="AL57" s="136"/>
      <x:c r="AM57" s="136"/>
      <x:c r="AN57" s="136"/>
      <x:c r="AO57" s="136"/>
      <x:c r="AP57" s="136"/>
      <x:c r="AQ57" s="136"/>
      <x:c r="AR57" s="136"/>
      <x:c r="AS57" s="136"/>
    </x:row>
    <x:row r="58">
      <x:c r="A58" s="104"/>
      <x:c r="B58" s="104"/>
      <x:c r="C58" s="104"/>
      <x:c r="D58" s="108"/>
      <x:c r="E58" s="108"/>
      <x:c r="F58" s="108"/>
      <x:c r="G58" s="108"/>
      <x:c r="H58" s="108"/>
      <x:c r="I58" s="108"/>
      <x:c r="J58" s="108"/>
      <x:c r="K58" s="108"/>
      <x:c r="L58" s="108"/>
      <x:c r="M58" s="108"/>
      <x:c r="N58" s="44"/>
      <x:c r="O58" s="44"/>
      <x:c r="P58" s="44"/>
      <x:c r="Q58" s="44"/>
      <x:c r="R58" s="44"/>
      <x:c r="S58" s="44"/>
      <x:c r="T58" s="44"/>
      <x:c r="U58" s="44"/>
      <x:c r="V58" s="44"/>
      <x:c r="W58" s="44"/>
      <x:c r="X58" s="112"/>
      <x:c r="Y58" s="112"/>
      <x:c r="Z58" s="112"/>
      <x:c r="AA58" s="112"/>
      <x:c r="AB58" s="96" t="str">
        <x:f>IF(B58="","",COUNTA(D58:M58)/10)</x:f>
      </x:c>
      <x:c r="AC58" s="44" t="str">
        <x:f>IF(B58="","",IF(AB58=1,"Completo",IF(AB58&gt;=0.6,"En desarrollo","Pendiente")))</x:f>
      </x:c>
      <x:c r="AD58" s="136"/>
      <x:c r="AE58" s="136"/>
      <x:c r="AF58" s="136"/>
      <x:c r="AG58" s="136"/>
      <x:c r="AH58" s="138"/>
      <x:c r="AI58" s="138"/>
      <x:c r="AJ58" s="138"/>
      <x:c r="AK58" s="136"/>
      <x:c r="AL58" s="136"/>
      <x:c r="AM58" s="136"/>
      <x:c r="AN58" s="136"/>
      <x:c r="AO58" s="136"/>
      <x:c r="AP58" s="136"/>
      <x:c r="AQ58" s="136"/>
      <x:c r="AR58" s="136"/>
      <x:c r="AS58" s="136"/>
    </x:row>
    <x:row r="59">
      <x:c r="A59" s="104"/>
      <x:c r="B59" s="104"/>
      <x:c r="C59" s="104"/>
      <x:c r="D59" s="108"/>
      <x:c r="E59" s="108"/>
      <x:c r="F59" s="108"/>
      <x:c r="G59" s="108"/>
      <x:c r="H59" s="108"/>
      <x:c r="I59" s="108"/>
      <x:c r="J59" s="108"/>
      <x:c r="K59" s="108"/>
      <x:c r="L59" s="108"/>
      <x:c r="M59" s="108"/>
      <x:c r="N59" s="44"/>
      <x:c r="O59" s="44"/>
      <x:c r="P59" s="44"/>
      <x:c r="Q59" s="44"/>
      <x:c r="R59" s="44"/>
      <x:c r="S59" s="44"/>
      <x:c r="T59" s="44"/>
      <x:c r="U59" s="44"/>
      <x:c r="V59" s="44"/>
      <x:c r="W59" s="44"/>
      <x:c r="X59" s="112"/>
      <x:c r="Y59" s="112"/>
      <x:c r="Z59" s="112"/>
      <x:c r="AA59" s="112"/>
      <x:c r="AB59" s="96" t="str">
        <x:f>IF(B59="","",COUNTA(D59:M59)/10)</x:f>
      </x:c>
      <x:c r="AC59" s="44" t="str">
        <x:f>IF(B59="","",IF(AB59=1,"Completo",IF(AB59&gt;=0.6,"En desarrollo","Pendiente")))</x:f>
      </x:c>
      <x:c r="AD59" s="136"/>
      <x:c r="AE59" s="136"/>
      <x:c r="AF59" s="136"/>
      <x:c r="AG59" s="136"/>
      <x:c r="AH59" s="138"/>
      <x:c r="AI59" s="138"/>
      <x:c r="AJ59" s="138"/>
      <x:c r="AK59" s="136"/>
      <x:c r="AL59" s="136"/>
      <x:c r="AM59" s="136"/>
      <x:c r="AN59" s="136"/>
      <x:c r="AO59" s="136"/>
      <x:c r="AP59" s="136"/>
      <x:c r="AQ59" s="136"/>
      <x:c r="AR59" s="136"/>
      <x:c r="AS59" s="136"/>
    </x:row>
    <x:row r="60">
      <x:c r="A60" s="104"/>
      <x:c r="B60" s="104"/>
      <x:c r="C60" s="104"/>
      <x:c r="D60" s="108"/>
      <x:c r="E60" s="108"/>
      <x:c r="F60" s="108"/>
      <x:c r="G60" s="108"/>
      <x:c r="H60" s="108"/>
      <x:c r="I60" s="108"/>
      <x:c r="J60" s="108"/>
      <x:c r="K60" s="108"/>
      <x:c r="L60" s="108"/>
      <x:c r="M60" s="108"/>
      <x:c r="N60" s="44"/>
      <x:c r="O60" s="44"/>
      <x:c r="P60" s="44"/>
      <x:c r="Q60" s="44"/>
      <x:c r="R60" s="44"/>
      <x:c r="S60" s="44"/>
      <x:c r="T60" s="44"/>
      <x:c r="U60" s="44"/>
      <x:c r="V60" s="44"/>
      <x:c r="W60" s="44"/>
      <x:c r="X60" s="112"/>
      <x:c r="Y60" s="112"/>
      <x:c r="Z60" s="112"/>
      <x:c r="AA60" s="112"/>
      <x:c r="AB60" s="96" t="str">
        <x:f>IF(B60="","",COUNTA(D60:M60)/10)</x:f>
      </x:c>
      <x:c r="AC60" s="44" t="str">
        <x:f>IF(B60="","",IF(AB60=1,"Completo",IF(AB60&gt;=0.6,"En desarrollo","Pendiente")))</x:f>
      </x:c>
      <x:c r="AD60" s="136"/>
      <x:c r="AE60" s="136"/>
      <x:c r="AF60" s="136"/>
      <x:c r="AG60" s="136"/>
      <x:c r="AH60" s="138"/>
      <x:c r="AI60" s="138"/>
      <x:c r="AJ60" s="138"/>
      <x:c r="AK60" s="136"/>
      <x:c r="AL60" s="136"/>
      <x:c r="AM60" s="136"/>
      <x:c r="AN60" s="136"/>
      <x:c r="AO60" s="136"/>
      <x:c r="AP60" s="136"/>
      <x:c r="AQ60" s="136"/>
      <x:c r="AR60" s="136"/>
      <x:c r="AS60" s="136"/>
    </x:row>
    <x:row r="61">
      <x:c r="A61" s="104"/>
      <x:c r="B61" s="104"/>
      <x:c r="C61" s="104"/>
      <x:c r="D61" s="108"/>
      <x:c r="E61" s="108"/>
      <x:c r="F61" s="108"/>
      <x:c r="G61" s="108"/>
      <x:c r="H61" s="108"/>
      <x:c r="I61" s="108"/>
      <x:c r="J61" s="108"/>
      <x:c r="K61" s="108"/>
      <x:c r="L61" s="108"/>
      <x:c r="M61" s="108"/>
      <x:c r="N61" s="44"/>
      <x:c r="O61" s="44"/>
      <x:c r="P61" s="44"/>
      <x:c r="Q61" s="44"/>
      <x:c r="R61" s="44"/>
      <x:c r="S61" s="44"/>
      <x:c r="T61" s="44"/>
      <x:c r="U61" s="44"/>
      <x:c r="V61" s="44"/>
      <x:c r="W61" s="44"/>
      <x:c r="X61" s="112"/>
      <x:c r="Y61" s="112"/>
      <x:c r="Z61" s="112"/>
      <x:c r="AA61" s="112"/>
      <x:c r="AB61" s="96" t="str">
        <x:f>IF(B61="","",COUNTA(D61:M61)/10)</x:f>
      </x:c>
      <x:c r="AC61" s="44" t="str">
        <x:f>IF(B61="","",IF(AB61=1,"Completo",IF(AB61&gt;=0.6,"En desarrollo","Pendiente")))</x:f>
      </x:c>
      <x:c r="AD61" s="136"/>
      <x:c r="AE61" s="136"/>
      <x:c r="AF61" s="136"/>
      <x:c r="AG61" s="136"/>
      <x:c r="AH61" s="138"/>
      <x:c r="AI61" s="138"/>
      <x:c r="AJ61" s="138"/>
      <x:c r="AK61" s="136"/>
      <x:c r="AL61" s="136"/>
      <x:c r="AM61" s="136"/>
      <x:c r="AN61" s="136"/>
      <x:c r="AO61" s="136"/>
      <x:c r="AP61" s="136"/>
      <x:c r="AQ61" s="136"/>
      <x:c r="AR61" s="136"/>
      <x:c r="AS61" s="136"/>
    </x:row>
    <x:row r="62">
      <x:c r="A62" s="104"/>
      <x:c r="B62" s="104"/>
      <x:c r="C62" s="104"/>
      <x:c r="D62" s="108"/>
      <x:c r="E62" s="108"/>
      <x:c r="F62" s="108"/>
      <x:c r="G62" s="108"/>
      <x:c r="H62" s="108"/>
      <x:c r="I62" s="108"/>
      <x:c r="J62" s="108"/>
      <x:c r="K62" s="108"/>
      <x:c r="L62" s="108"/>
      <x:c r="M62" s="108"/>
      <x:c r="N62" s="44"/>
      <x:c r="O62" s="44"/>
      <x:c r="P62" s="44"/>
      <x:c r="Q62" s="44"/>
      <x:c r="R62" s="44"/>
      <x:c r="S62" s="44"/>
      <x:c r="T62" s="44"/>
      <x:c r="U62" s="44"/>
      <x:c r="V62" s="44"/>
      <x:c r="W62" s="44"/>
      <x:c r="X62" s="112"/>
      <x:c r="Y62" s="112"/>
      <x:c r="Z62" s="112"/>
      <x:c r="AA62" s="112"/>
      <x:c r="AB62" s="96" t="str">
        <x:f>IF(B62="","",COUNTA(D62:M62)/10)</x:f>
      </x:c>
      <x:c r="AC62" s="44" t="str">
        <x:f>IF(B62="","",IF(AB62=1,"Completo",IF(AB62&gt;=0.6,"En desarrollo","Pendiente")))</x:f>
      </x:c>
      <x:c r="AD62" s="136"/>
      <x:c r="AE62" s="136"/>
      <x:c r="AF62" s="136"/>
      <x:c r="AG62" s="136"/>
      <x:c r="AH62" s="138"/>
      <x:c r="AI62" s="138"/>
      <x:c r="AJ62" s="138"/>
      <x:c r="AK62" s="136"/>
      <x:c r="AL62" s="136"/>
      <x:c r="AM62" s="136"/>
      <x:c r="AN62" s="136"/>
      <x:c r="AO62" s="136"/>
      <x:c r="AP62" s="136"/>
      <x:c r="AQ62" s="136"/>
      <x:c r="AR62" s="136"/>
      <x:c r="AS62" s="136"/>
    </x:row>
    <x:row r="63">
      <x:c r="A63" s="104"/>
      <x:c r="B63" s="104"/>
      <x:c r="C63" s="104"/>
      <x:c r="D63" s="108"/>
      <x:c r="E63" s="108"/>
      <x:c r="F63" s="108"/>
      <x:c r="G63" s="108"/>
      <x:c r="H63" s="108"/>
      <x:c r="I63" s="108"/>
      <x:c r="J63" s="108"/>
      <x:c r="K63" s="108"/>
      <x:c r="L63" s="108"/>
      <x:c r="M63" s="108"/>
      <x:c r="N63" s="44"/>
      <x:c r="O63" s="44"/>
      <x:c r="P63" s="44"/>
      <x:c r="Q63" s="44"/>
      <x:c r="R63" s="44"/>
      <x:c r="S63" s="44"/>
      <x:c r="T63" s="44"/>
      <x:c r="U63" s="44"/>
      <x:c r="V63" s="44"/>
      <x:c r="W63" s="44"/>
      <x:c r="X63" s="112"/>
      <x:c r="Y63" s="112"/>
      <x:c r="Z63" s="112"/>
      <x:c r="AA63" s="112"/>
      <x:c r="AB63" s="96" t="str">
        <x:f>IF(B63="","",COUNTA(D63:M63)/10)</x:f>
      </x:c>
      <x:c r="AC63" s="44" t="str">
        <x:f>IF(B63="","",IF(AB63=1,"Completo",IF(AB63&gt;=0.6,"En desarrollo","Pendiente")))</x:f>
      </x:c>
      <x:c r="AD63" s="136"/>
      <x:c r="AE63" s="136"/>
      <x:c r="AF63" s="136"/>
      <x:c r="AG63" s="136"/>
      <x:c r="AH63" s="138"/>
      <x:c r="AI63" s="138"/>
      <x:c r="AJ63" s="138"/>
      <x:c r="AK63" s="136"/>
      <x:c r="AL63" s="136"/>
      <x:c r="AM63" s="136"/>
      <x:c r="AN63" s="136"/>
      <x:c r="AO63" s="136"/>
      <x:c r="AP63" s="136"/>
      <x:c r="AQ63" s="136"/>
      <x:c r="AR63" s="136"/>
      <x:c r="AS63" s="136"/>
    </x:row>
    <x:row r="64">
      <x:c r="A64" s="104"/>
      <x:c r="B64" s="104"/>
      <x:c r="C64" s="104"/>
      <x:c r="D64" s="108"/>
      <x:c r="E64" s="108"/>
      <x:c r="F64" s="108"/>
      <x:c r="G64" s="108"/>
      <x:c r="H64" s="108"/>
      <x:c r="I64" s="108"/>
      <x:c r="J64" s="108"/>
      <x:c r="K64" s="108"/>
      <x:c r="L64" s="108"/>
      <x:c r="M64" s="108"/>
      <x:c r="N64" s="44"/>
      <x:c r="O64" s="44"/>
      <x:c r="P64" s="44"/>
      <x:c r="Q64" s="44"/>
      <x:c r="R64" s="44"/>
      <x:c r="S64" s="44"/>
      <x:c r="T64" s="44"/>
      <x:c r="U64" s="44"/>
      <x:c r="V64" s="44"/>
      <x:c r="W64" s="44"/>
      <x:c r="X64" s="112"/>
      <x:c r="Y64" s="112"/>
      <x:c r="Z64" s="112"/>
      <x:c r="AA64" s="112"/>
      <x:c r="AB64" s="96" t="str">
        <x:f>IF(B64="","",COUNTA(D64:M64)/10)</x:f>
      </x:c>
      <x:c r="AC64" s="44" t="str">
        <x:f>IF(B64="","",IF(AB64=1,"Completo",IF(AB64&gt;=0.6,"En desarrollo","Pendiente")))</x:f>
      </x:c>
      <x:c r="AD64" s="136"/>
      <x:c r="AE64" s="136"/>
      <x:c r="AF64" s="136"/>
      <x:c r="AG64" s="136"/>
      <x:c r="AH64" s="138"/>
      <x:c r="AI64" s="138"/>
      <x:c r="AJ64" s="138"/>
      <x:c r="AK64" s="136"/>
      <x:c r="AL64" s="136"/>
      <x:c r="AM64" s="136"/>
      <x:c r="AN64" s="136"/>
      <x:c r="AO64" s="136"/>
      <x:c r="AP64" s="136"/>
      <x:c r="AQ64" s="136"/>
      <x:c r="AR64" s="136"/>
      <x:c r="AS64" s="136"/>
    </x:row>
    <x:row r="65">
      <x:c r="A65" s="104"/>
      <x:c r="B65" s="104"/>
      <x:c r="C65" s="104"/>
      <x:c r="D65" s="108"/>
      <x:c r="E65" s="108"/>
      <x:c r="F65" s="108"/>
      <x:c r="G65" s="108"/>
      <x:c r="H65" s="108"/>
      <x:c r="I65" s="108"/>
      <x:c r="J65" s="108"/>
      <x:c r="K65" s="108"/>
      <x:c r="L65" s="108"/>
      <x:c r="M65" s="108"/>
      <x:c r="N65" s="44"/>
      <x:c r="O65" s="44"/>
      <x:c r="P65" s="44"/>
      <x:c r="Q65" s="44"/>
      <x:c r="R65" s="44"/>
      <x:c r="S65" s="44"/>
      <x:c r="T65" s="44"/>
      <x:c r="U65" s="44"/>
      <x:c r="V65" s="44"/>
      <x:c r="W65" s="44"/>
      <x:c r="X65" s="112"/>
      <x:c r="Y65" s="112"/>
      <x:c r="Z65" s="112"/>
      <x:c r="AA65" s="112"/>
      <x:c r="AB65" s="96" t="str">
        <x:f>IF(B65="","",COUNTA(D65:M65)/10)</x:f>
      </x:c>
      <x:c r="AC65" s="44" t="str">
        <x:f>IF(B65="","",IF(AB65=1,"Completo",IF(AB65&gt;=0.6,"En desarrollo","Pendiente")))</x:f>
      </x:c>
      <x:c r="AD65" s="136"/>
      <x:c r="AE65" s="136"/>
      <x:c r="AF65" s="136"/>
      <x:c r="AG65" s="136"/>
      <x:c r="AH65" s="138"/>
      <x:c r="AI65" s="138"/>
      <x:c r="AJ65" s="138"/>
      <x:c r="AK65" s="136"/>
      <x:c r="AL65" s="136"/>
      <x:c r="AM65" s="136"/>
      <x:c r="AN65" s="136"/>
      <x:c r="AO65" s="136"/>
      <x:c r="AP65" s="136"/>
      <x:c r="AQ65" s="136"/>
      <x:c r="AR65" s="136"/>
      <x:c r="AS65" s="136"/>
    </x:row>
    <x:row r="66">
      <x:c r="A66" s="104"/>
      <x:c r="B66" s="104"/>
      <x:c r="C66" s="104"/>
      <x:c r="D66" s="108"/>
      <x:c r="E66" s="108"/>
      <x:c r="F66" s="108"/>
      <x:c r="G66" s="108"/>
      <x:c r="H66" s="108"/>
      <x:c r="I66" s="108"/>
      <x:c r="J66" s="108"/>
      <x:c r="K66" s="108"/>
      <x:c r="L66" s="108"/>
      <x:c r="M66" s="108"/>
      <x:c r="N66" s="44"/>
      <x:c r="O66" s="44"/>
      <x:c r="P66" s="44"/>
      <x:c r="Q66" s="44"/>
      <x:c r="R66" s="44"/>
      <x:c r="S66" s="44"/>
      <x:c r="T66" s="44"/>
      <x:c r="U66" s="44"/>
      <x:c r="V66" s="44"/>
      <x:c r="W66" s="44"/>
      <x:c r="X66" s="112"/>
      <x:c r="Y66" s="112"/>
      <x:c r="Z66" s="112"/>
      <x:c r="AA66" s="112"/>
      <x:c r="AB66" s="96" t="str">
        <x:f>IF(B66="","",COUNTA(D66:M66)/10)</x:f>
      </x:c>
      <x:c r="AC66" s="44" t="str">
        <x:f>IF(B66="","",IF(AB66=1,"Completo",IF(AB66&gt;=0.6,"En desarrollo","Pendiente")))</x:f>
      </x:c>
      <x:c r="AD66" s="136"/>
      <x:c r="AE66" s="136"/>
      <x:c r="AF66" s="136"/>
      <x:c r="AG66" s="136"/>
      <x:c r="AH66" s="138"/>
      <x:c r="AI66" s="138"/>
      <x:c r="AJ66" s="138"/>
      <x:c r="AK66" s="136"/>
      <x:c r="AL66" s="136"/>
      <x:c r="AM66" s="136"/>
      <x:c r="AN66" s="136"/>
      <x:c r="AO66" s="136"/>
      <x:c r="AP66" s="136"/>
      <x:c r="AQ66" s="136"/>
      <x:c r="AR66" s="136"/>
      <x:c r="AS66" s="136"/>
    </x:row>
    <x:row r="67">
      <x:c r="A67" s="104"/>
      <x:c r="B67" s="104"/>
      <x:c r="C67" s="104"/>
      <x:c r="D67" s="108"/>
      <x:c r="E67" s="108"/>
      <x:c r="F67" s="108"/>
      <x:c r="G67" s="108"/>
      <x:c r="H67" s="108"/>
      <x:c r="I67" s="108"/>
      <x:c r="J67" s="108"/>
      <x:c r="K67" s="108"/>
      <x:c r="L67" s="108"/>
      <x:c r="M67" s="108"/>
      <x:c r="N67" s="44"/>
      <x:c r="O67" s="44"/>
      <x:c r="P67" s="44"/>
      <x:c r="Q67" s="44"/>
      <x:c r="R67" s="44"/>
      <x:c r="S67" s="44"/>
      <x:c r="T67" s="44"/>
      <x:c r="U67" s="44"/>
      <x:c r="V67" s="44"/>
      <x:c r="W67" s="44"/>
      <x:c r="X67" s="112"/>
      <x:c r="Y67" s="112"/>
      <x:c r="Z67" s="112"/>
      <x:c r="AA67" s="112"/>
      <x:c r="AB67" s="96" t="str">
        <x:f>IF(B67="","",COUNTA(D67:M67)/10)</x:f>
      </x:c>
      <x:c r="AC67" s="44" t="str">
        <x:f>IF(B67="","",IF(AB67=1,"Completo",IF(AB67&gt;=0.6,"En desarrollo","Pendiente")))</x:f>
      </x:c>
      <x:c r="AD67" s="136"/>
      <x:c r="AE67" s="136"/>
      <x:c r="AF67" s="136"/>
      <x:c r="AG67" s="136"/>
      <x:c r="AH67" s="138"/>
      <x:c r="AI67" s="138"/>
      <x:c r="AJ67" s="138"/>
      <x:c r="AK67" s="136"/>
      <x:c r="AL67" s="136"/>
      <x:c r="AM67" s="136"/>
      <x:c r="AN67" s="136"/>
      <x:c r="AO67" s="136"/>
      <x:c r="AP67" s="136"/>
      <x:c r="AQ67" s="136"/>
      <x:c r="AR67" s="136"/>
      <x:c r="AS67" s="136"/>
    </x:row>
    <x:row r="68">
      <x:c r="A68" s="104"/>
      <x:c r="B68" s="104"/>
      <x:c r="C68" s="104"/>
      <x:c r="D68" s="108"/>
      <x:c r="E68" s="108"/>
      <x:c r="F68" s="108"/>
      <x:c r="G68" s="108"/>
      <x:c r="H68" s="108"/>
      <x:c r="I68" s="108"/>
      <x:c r="J68" s="108"/>
      <x:c r="K68" s="108"/>
      <x:c r="L68" s="108"/>
      <x:c r="M68" s="108"/>
      <x:c r="N68" s="44"/>
      <x:c r="O68" s="44"/>
      <x:c r="P68" s="44"/>
      <x:c r="Q68" s="44"/>
      <x:c r="R68" s="44"/>
      <x:c r="S68" s="44"/>
      <x:c r="T68" s="44"/>
      <x:c r="U68" s="44"/>
      <x:c r="V68" s="44"/>
      <x:c r="W68" s="44"/>
      <x:c r="X68" s="112"/>
      <x:c r="Y68" s="112"/>
      <x:c r="Z68" s="112"/>
      <x:c r="AA68" s="112"/>
      <x:c r="AB68" s="96" t="str">
        <x:f>IF(B68="","",COUNTA(D68:M68)/10)</x:f>
      </x:c>
      <x:c r="AC68" s="44" t="str">
        <x:f>IF(B68="","",IF(AB68=1,"Completo",IF(AB68&gt;=0.6,"En desarrollo","Pendiente")))</x:f>
      </x:c>
      <x:c r="AD68" s="136"/>
      <x:c r="AE68" s="136"/>
      <x:c r="AF68" s="136"/>
      <x:c r="AG68" s="136"/>
      <x:c r="AH68" s="138"/>
      <x:c r="AI68" s="138"/>
      <x:c r="AJ68" s="138"/>
      <x:c r="AK68" s="136"/>
      <x:c r="AL68" s="136"/>
      <x:c r="AM68" s="136"/>
      <x:c r="AN68" s="136"/>
      <x:c r="AO68" s="136"/>
      <x:c r="AP68" s="136"/>
      <x:c r="AQ68" s="136"/>
      <x:c r="AR68" s="136"/>
      <x:c r="AS68" s="136"/>
    </x:row>
    <x:row r="69">
      <x:c r="A69" s="104"/>
      <x:c r="B69" s="104"/>
      <x:c r="C69" s="104"/>
      <x:c r="D69" s="108"/>
      <x:c r="E69" s="108"/>
      <x:c r="F69" s="108"/>
      <x:c r="G69" s="108"/>
      <x:c r="H69" s="108"/>
      <x:c r="I69" s="108"/>
      <x:c r="J69" s="108"/>
      <x:c r="K69" s="108"/>
      <x:c r="L69" s="108"/>
      <x:c r="M69" s="108"/>
      <x:c r="N69" s="44"/>
      <x:c r="O69" s="44"/>
      <x:c r="P69" s="44"/>
      <x:c r="Q69" s="44"/>
      <x:c r="R69" s="44"/>
      <x:c r="S69" s="44"/>
      <x:c r="T69" s="44"/>
      <x:c r="U69" s="44"/>
      <x:c r="V69" s="44"/>
      <x:c r="W69" s="44"/>
      <x:c r="X69" s="112"/>
      <x:c r="Y69" s="112"/>
      <x:c r="Z69" s="112"/>
      <x:c r="AA69" s="112"/>
      <x:c r="AB69" s="96" t="str">
        <x:f>IF(B69="","",COUNTA(D69:M69)/10)</x:f>
      </x:c>
      <x:c r="AC69" s="44" t="str">
        <x:f>IF(B69="","",IF(AB69=1,"Completo",IF(AB69&gt;=0.6,"En desarrollo","Pendiente")))</x:f>
      </x:c>
      <x:c r="AD69" s="136"/>
      <x:c r="AE69" s="136"/>
      <x:c r="AF69" s="136"/>
      <x:c r="AG69" s="136"/>
      <x:c r="AH69" s="138"/>
      <x:c r="AI69" s="138"/>
      <x:c r="AJ69" s="138"/>
      <x:c r="AK69" s="136"/>
      <x:c r="AL69" s="136"/>
      <x:c r="AM69" s="136"/>
      <x:c r="AN69" s="136"/>
      <x:c r="AO69" s="136"/>
      <x:c r="AP69" s="136"/>
      <x:c r="AQ69" s="136"/>
      <x:c r="AR69" s="136"/>
      <x:c r="AS69" s="136"/>
    </x:row>
    <x:row r="70">
      <x:c r="A70" s="104"/>
      <x:c r="B70" s="104"/>
      <x:c r="C70" s="104"/>
      <x:c r="D70" s="108"/>
      <x:c r="E70" s="108"/>
      <x:c r="F70" s="108"/>
      <x:c r="G70" s="108"/>
      <x:c r="H70" s="108"/>
      <x:c r="I70" s="108"/>
      <x:c r="J70" s="108"/>
      <x:c r="K70" s="108"/>
      <x:c r="L70" s="108"/>
      <x:c r="M70" s="108"/>
      <x:c r="N70" s="44"/>
      <x:c r="O70" s="44"/>
      <x:c r="P70" s="44"/>
      <x:c r="Q70" s="44"/>
      <x:c r="R70" s="44"/>
      <x:c r="S70" s="44"/>
      <x:c r="T70" s="44"/>
      <x:c r="U70" s="44"/>
      <x:c r="V70" s="44"/>
      <x:c r="W70" s="44"/>
      <x:c r="X70" s="112"/>
      <x:c r="Y70" s="112"/>
      <x:c r="Z70" s="112"/>
      <x:c r="AA70" s="112"/>
      <x:c r="AB70" s="96" t="str">
        <x:f>IF(B70="","",COUNTA(D70:M70)/10)</x:f>
      </x:c>
      <x:c r="AC70" s="44" t="str">
        <x:f>IF(B70="","",IF(AB70=1,"Completo",IF(AB70&gt;=0.6,"En desarrollo","Pendiente")))</x:f>
      </x:c>
      <x:c r="AD70" s="136"/>
      <x:c r="AE70" s="136"/>
      <x:c r="AF70" s="136"/>
      <x:c r="AG70" s="136"/>
      <x:c r="AH70" s="138"/>
      <x:c r="AI70" s="138"/>
      <x:c r="AJ70" s="138"/>
      <x:c r="AK70" s="136"/>
      <x:c r="AL70" s="136"/>
      <x:c r="AM70" s="136"/>
      <x:c r="AN70" s="136"/>
      <x:c r="AO70" s="136"/>
      <x:c r="AP70" s="136"/>
      <x:c r="AQ70" s="136"/>
      <x:c r="AR70" s="136"/>
      <x:c r="AS70" s="136"/>
    </x:row>
    <x:row r="71">
      <x:c r="A71" s="104"/>
      <x:c r="B71" s="104"/>
      <x:c r="C71" s="104"/>
      <x:c r="D71" s="108"/>
      <x:c r="E71" s="108"/>
      <x:c r="F71" s="108"/>
      <x:c r="G71" s="108"/>
      <x:c r="H71" s="108"/>
      <x:c r="I71" s="108"/>
      <x:c r="J71" s="108"/>
      <x:c r="K71" s="108"/>
      <x:c r="L71" s="108"/>
      <x:c r="M71" s="108"/>
      <x:c r="N71" s="44"/>
      <x:c r="O71" s="44"/>
      <x:c r="P71" s="44"/>
      <x:c r="Q71" s="44"/>
      <x:c r="R71" s="44"/>
      <x:c r="S71" s="44"/>
      <x:c r="T71" s="44"/>
      <x:c r="U71" s="44"/>
      <x:c r="V71" s="44"/>
      <x:c r="W71" s="44"/>
      <x:c r="X71" s="112"/>
      <x:c r="Y71" s="112"/>
      <x:c r="Z71" s="112"/>
      <x:c r="AA71" s="112"/>
      <x:c r="AB71" s="96" t="str">
        <x:f>IF(B71="","",COUNTA(D71:M71)/10)</x:f>
      </x:c>
      <x:c r="AC71" s="44" t="str">
        <x:f>IF(B71="","",IF(AB71=1,"Completo",IF(AB71&gt;=0.6,"En desarrollo","Pendiente")))</x:f>
      </x:c>
      <x:c r="AD71" s="136"/>
      <x:c r="AE71" s="136"/>
      <x:c r="AF71" s="136"/>
      <x:c r="AG71" s="136"/>
      <x:c r="AH71" s="138"/>
      <x:c r="AI71" s="138"/>
      <x:c r="AJ71" s="138"/>
      <x:c r="AK71" s="136"/>
      <x:c r="AL71" s="136"/>
      <x:c r="AM71" s="136"/>
      <x:c r="AN71" s="136"/>
      <x:c r="AO71" s="136"/>
      <x:c r="AP71" s="136"/>
      <x:c r="AQ71" s="136"/>
      <x:c r="AR71" s="136"/>
      <x:c r="AS71" s="136"/>
    </x:row>
    <x:row r="72">
      <x:c r="A72" s="104"/>
      <x:c r="B72" s="104"/>
      <x:c r="C72" s="104"/>
      <x:c r="D72" s="108"/>
      <x:c r="E72" s="108"/>
      <x:c r="F72" s="108"/>
      <x:c r="G72" s="108"/>
      <x:c r="H72" s="108"/>
      <x:c r="I72" s="108"/>
      <x:c r="J72" s="108"/>
      <x:c r="K72" s="108"/>
      <x:c r="L72" s="108"/>
      <x:c r="M72" s="108"/>
      <x:c r="N72" s="44"/>
      <x:c r="O72" s="44"/>
      <x:c r="P72" s="44"/>
      <x:c r="Q72" s="44"/>
      <x:c r="R72" s="44"/>
      <x:c r="S72" s="44"/>
      <x:c r="T72" s="44"/>
      <x:c r="U72" s="44"/>
      <x:c r="V72" s="44"/>
      <x:c r="W72" s="44"/>
      <x:c r="X72" s="112"/>
      <x:c r="Y72" s="112"/>
      <x:c r="Z72" s="112"/>
      <x:c r="AA72" s="112"/>
      <x:c r="AB72" s="96" t="str">
        <x:f>IF(B72="","",COUNTA(D72:M72)/10)</x:f>
      </x:c>
      <x:c r="AC72" s="44" t="str">
        <x:f>IF(B72="","",IF(AB72=1,"Completo",IF(AB72&gt;=0.6,"En desarrollo","Pendiente")))</x:f>
      </x:c>
      <x:c r="AD72" s="136"/>
      <x:c r="AE72" s="136"/>
      <x:c r="AF72" s="136"/>
      <x:c r="AG72" s="136"/>
      <x:c r="AH72" s="138"/>
      <x:c r="AI72" s="138"/>
      <x:c r="AJ72" s="138"/>
      <x:c r="AK72" s="136"/>
      <x:c r="AL72" s="136"/>
      <x:c r="AM72" s="136"/>
      <x:c r="AN72" s="136"/>
      <x:c r="AO72" s="136"/>
      <x:c r="AP72" s="136"/>
      <x:c r="AQ72" s="136"/>
      <x:c r="AR72" s="136"/>
      <x:c r="AS72" s="136"/>
    </x:row>
    <x:row r="73">
      <x:c r="A73" s="104"/>
      <x:c r="B73" s="104"/>
      <x:c r="C73" s="104"/>
      <x:c r="D73" s="108"/>
      <x:c r="E73" s="108"/>
      <x:c r="F73" s="108"/>
      <x:c r="G73" s="108"/>
      <x:c r="H73" s="108"/>
      <x:c r="I73" s="108"/>
      <x:c r="J73" s="108"/>
      <x:c r="K73" s="108"/>
      <x:c r="L73" s="108"/>
      <x:c r="M73" s="108"/>
      <x:c r="N73" s="44"/>
      <x:c r="O73" s="44"/>
      <x:c r="P73" s="44"/>
      <x:c r="Q73" s="44"/>
      <x:c r="R73" s="44"/>
      <x:c r="S73" s="44"/>
      <x:c r="T73" s="44"/>
      <x:c r="U73" s="44"/>
      <x:c r="V73" s="44"/>
      <x:c r="W73" s="44"/>
      <x:c r="X73" s="112"/>
      <x:c r="Y73" s="112"/>
      <x:c r="Z73" s="112"/>
      <x:c r="AA73" s="112"/>
      <x:c r="AB73" s="96" t="str">
        <x:f>IF(B73="","",COUNTA(D73:M73)/10)</x:f>
      </x:c>
      <x:c r="AC73" s="44" t="str">
        <x:f>IF(B73="","",IF(AB73=1,"Completo",IF(AB73&gt;=0.6,"En desarrollo","Pendiente")))</x:f>
      </x:c>
      <x:c r="AD73" s="136"/>
      <x:c r="AE73" s="136"/>
      <x:c r="AF73" s="136"/>
      <x:c r="AG73" s="136"/>
      <x:c r="AH73" s="138"/>
      <x:c r="AI73" s="138"/>
      <x:c r="AJ73" s="138"/>
      <x:c r="AK73" s="136"/>
      <x:c r="AL73" s="136"/>
      <x:c r="AM73" s="136"/>
      <x:c r="AN73" s="136"/>
      <x:c r="AO73" s="136"/>
      <x:c r="AP73" s="136"/>
      <x:c r="AQ73" s="136"/>
      <x:c r="AR73" s="136"/>
      <x:c r="AS73" s="136"/>
    </x:row>
    <x:row r="74">
      <x:c r="A74" s="104"/>
      <x:c r="B74" s="104"/>
      <x:c r="C74" s="104"/>
      <x:c r="D74" s="108"/>
      <x:c r="E74" s="108"/>
      <x:c r="F74" s="108"/>
      <x:c r="G74" s="108"/>
      <x:c r="H74" s="108"/>
      <x:c r="I74" s="108"/>
      <x:c r="J74" s="108"/>
      <x:c r="K74" s="108"/>
      <x:c r="L74" s="108"/>
      <x:c r="M74" s="108"/>
      <x:c r="N74" s="44"/>
      <x:c r="O74" s="44"/>
      <x:c r="P74" s="44"/>
      <x:c r="Q74" s="44"/>
      <x:c r="R74" s="44"/>
      <x:c r="S74" s="44"/>
      <x:c r="T74" s="44"/>
      <x:c r="U74" s="44"/>
      <x:c r="V74" s="44"/>
      <x:c r="W74" s="44"/>
      <x:c r="X74" s="112"/>
      <x:c r="Y74" s="112"/>
      <x:c r="Z74" s="112"/>
      <x:c r="AA74" s="112"/>
      <x:c r="AB74" s="96" t="str">
        <x:f>IF(B74="","",COUNTA(D74:M74)/10)</x:f>
      </x:c>
      <x:c r="AC74" s="44" t="str">
        <x:f>IF(B74="","",IF(AB74=1,"Completo",IF(AB74&gt;=0.6,"En desarrollo","Pendiente")))</x:f>
      </x:c>
      <x:c r="AD74" s="136"/>
      <x:c r="AE74" s="136"/>
      <x:c r="AF74" s="136"/>
      <x:c r="AG74" s="136"/>
      <x:c r="AH74" s="138"/>
      <x:c r="AI74" s="138"/>
      <x:c r="AJ74" s="138"/>
      <x:c r="AK74" s="136"/>
      <x:c r="AL74" s="136"/>
      <x:c r="AM74" s="136"/>
      <x:c r="AN74" s="136"/>
      <x:c r="AO74" s="136"/>
      <x:c r="AP74" s="136"/>
      <x:c r="AQ74" s="136"/>
      <x:c r="AR74" s="136"/>
      <x:c r="AS74" s="136"/>
    </x:row>
    <x:row r="75">
      <x:c r="A75" s="104"/>
      <x:c r="B75" s="104"/>
      <x:c r="C75" s="104"/>
      <x:c r="D75" s="108"/>
      <x:c r="E75" s="108"/>
      <x:c r="F75" s="108"/>
      <x:c r="G75" s="108"/>
      <x:c r="H75" s="108"/>
      <x:c r="I75" s="108"/>
      <x:c r="J75" s="108"/>
      <x:c r="K75" s="108"/>
      <x:c r="L75" s="108"/>
      <x:c r="M75" s="108"/>
      <x:c r="N75" s="44"/>
      <x:c r="O75" s="44"/>
      <x:c r="P75" s="44"/>
      <x:c r="Q75" s="44"/>
      <x:c r="R75" s="44"/>
      <x:c r="S75" s="44"/>
      <x:c r="T75" s="44"/>
      <x:c r="U75" s="44"/>
      <x:c r="V75" s="44"/>
      <x:c r="W75" s="44"/>
      <x:c r="X75" s="112"/>
      <x:c r="Y75" s="112"/>
      <x:c r="Z75" s="112"/>
      <x:c r="AA75" s="112"/>
      <x:c r="AB75" s="96" t="str">
        <x:f>IF(B75="","",COUNTA(D75:M75)/10)</x:f>
      </x:c>
      <x:c r="AC75" s="44" t="str">
        <x:f>IF(B75="","",IF(AB75=1,"Completo",IF(AB75&gt;=0.6,"En desarrollo","Pendiente")))</x:f>
      </x:c>
      <x:c r="AD75" s="136"/>
      <x:c r="AE75" s="136"/>
      <x:c r="AF75" s="136"/>
      <x:c r="AG75" s="136"/>
      <x:c r="AH75" s="138"/>
      <x:c r="AI75" s="138"/>
      <x:c r="AJ75" s="138"/>
      <x:c r="AK75" s="136"/>
      <x:c r="AL75" s="136"/>
      <x:c r="AM75" s="136"/>
      <x:c r="AN75" s="136"/>
      <x:c r="AO75" s="136"/>
      <x:c r="AP75" s="136"/>
      <x:c r="AQ75" s="136"/>
      <x:c r="AR75" s="136"/>
      <x:c r="AS75" s="136"/>
    </x:row>
    <x:row r="76">
      <x:c r="A76" s="104"/>
      <x:c r="B76" s="104"/>
      <x:c r="C76" s="104"/>
      <x:c r="D76" s="108"/>
      <x:c r="E76" s="108"/>
      <x:c r="F76" s="108"/>
      <x:c r="G76" s="108"/>
      <x:c r="H76" s="108"/>
      <x:c r="I76" s="108"/>
      <x:c r="J76" s="108"/>
      <x:c r="K76" s="108"/>
      <x:c r="L76" s="108"/>
      <x:c r="M76" s="108"/>
      <x:c r="N76" s="44"/>
      <x:c r="O76" s="44"/>
      <x:c r="P76" s="44"/>
      <x:c r="Q76" s="44"/>
      <x:c r="R76" s="44"/>
      <x:c r="S76" s="44"/>
      <x:c r="T76" s="44"/>
      <x:c r="U76" s="44"/>
      <x:c r="V76" s="44"/>
      <x:c r="W76" s="44"/>
      <x:c r="X76" s="112"/>
      <x:c r="Y76" s="112"/>
      <x:c r="Z76" s="112"/>
      <x:c r="AA76" s="112"/>
      <x:c r="AB76" s="96" t="str">
        <x:f>IF(B76="","",COUNTA(D76:M76)/10)</x:f>
      </x:c>
      <x:c r="AC76" s="44" t="str">
        <x:f>IF(B76="","",IF(AB76=1,"Completo",IF(AB76&gt;=0.6,"En desarrollo","Pendiente")))</x:f>
      </x:c>
      <x:c r="AD76" s="136"/>
      <x:c r="AE76" s="136"/>
      <x:c r="AF76" s="136"/>
      <x:c r="AG76" s="136"/>
      <x:c r="AH76" s="138"/>
      <x:c r="AI76" s="138"/>
      <x:c r="AJ76" s="138"/>
      <x:c r="AK76" s="136"/>
      <x:c r="AL76" s="136"/>
      <x:c r="AM76" s="136"/>
      <x:c r="AN76" s="136"/>
      <x:c r="AO76" s="136"/>
      <x:c r="AP76" s="136"/>
      <x:c r="AQ76" s="136"/>
      <x:c r="AR76" s="136"/>
      <x:c r="AS76" s="136"/>
    </x:row>
    <x:row r="77">
      <x:c r="A77" s="104"/>
      <x:c r="B77" s="104"/>
      <x:c r="C77" s="104"/>
      <x:c r="D77" s="108"/>
      <x:c r="E77" s="108"/>
      <x:c r="F77" s="108"/>
      <x:c r="G77" s="108"/>
      <x:c r="H77" s="108"/>
      <x:c r="I77" s="108"/>
      <x:c r="J77" s="108"/>
      <x:c r="K77" s="108"/>
      <x:c r="L77" s="108"/>
      <x:c r="M77" s="108"/>
      <x:c r="N77" s="44"/>
      <x:c r="O77" s="44"/>
      <x:c r="P77" s="44"/>
      <x:c r="Q77" s="44"/>
      <x:c r="R77" s="44"/>
      <x:c r="S77" s="44"/>
      <x:c r="T77" s="44"/>
      <x:c r="U77" s="44"/>
      <x:c r="V77" s="44"/>
      <x:c r="W77" s="44"/>
      <x:c r="X77" s="112"/>
      <x:c r="Y77" s="112"/>
      <x:c r="Z77" s="112"/>
      <x:c r="AA77" s="112"/>
      <x:c r="AB77" s="96" t="str">
        <x:f>IF(B77="","",COUNTA(D77:M77)/10)</x:f>
      </x:c>
      <x:c r="AC77" s="44" t="str">
        <x:f>IF(B77="","",IF(AB77=1,"Completo",IF(AB77&gt;=0.6,"En desarrollo","Pendiente")))</x:f>
      </x:c>
      <x:c r="AD77" s="136"/>
      <x:c r="AE77" s="136"/>
      <x:c r="AF77" s="136"/>
      <x:c r="AG77" s="136"/>
      <x:c r="AH77" s="138"/>
      <x:c r="AI77" s="138"/>
      <x:c r="AJ77" s="138"/>
      <x:c r="AK77" s="136"/>
      <x:c r="AL77" s="136"/>
      <x:c r="AM77" s="136"/>
      <x:c r="AN77" s="136"/>
      <x:c r="AO77" s="136"/>
      <x:c r="AP77" s="136"/>
      <x:c r="AQ77" s="136"/>
      <x:c r="AR77" s="136"/>
      <x:c r="AS77" s="136"/>
    </x:row>
    <x:row r="78">
      <x:c r="A78" s="104"/>
      <x:c r="B78" s="104"/>
      <x:c r="C78" s="104"/>
      <x:c r="D78" s="108"/>
      <x:c r="E78" s="108"/>
      <x:c r="F78" s="108"/>
      <x:c r="G78" s="108"/>
      <x:c r="H78" s="108"/>
      <x:c r="I78" s="108"/>
      <x:c r="J78" s="108"/>
      <x:c r="K78" s="108"/>
      <x:c r="L78" s="108"/>
      <x:c r="M78" s="108"/>
      <x:c r="N78" s="44"/>
      <x:c r="O78" s="44"/>
      <x:c r="P78" s="44"/>
      <x:c r="Q78" s="44"/>
      <x:c r="R78" s="44"/>
      <x:c r="S78" s="44"/>
      <x:c r="T78" s="44"/>
      <x:c r="U78" s="44"/>
      <x:c r="V78" s="44"/>
      <x:c r="W78" s="44"/>
      <x:c r="X78" s="112"/>
      <x:c r="Y78" s="112"/>
      <x:c r="Z78" s="112"/>
      <x:c r="AA78" s="112"/>
      <x:c r="AB78" s="96" t="str">
        <x:f>IF(B78="","",COUNTA(D78:M78)/10)</x:f>
      </x:c>
      <x:c r="AC78" s="44" t="str">
        <x:f>IF(B78="","",IF(AB78=1,"Completo",IF(AB78&gt;=0.6,"En desarrollo","Pendiente")))</x:f>
      </x:c>
      <x:c r="AD78" s="136"/>
      <x:c r="AE78" s="136"/>
      <x:c r="AF78" s="136"/>
      <x:c r="AG78" s="136"/>
      <x:c r="AH78" s="138"/>
      <x:c r="AI78" s="138"/>
      <x:c r="AJ78" s="138"/>
      <x:c r="AK78" s="136"/>
      <x:c r="AL78" s="136"/>
      <x:c r="AM78" s="136"/>
      <x:c r="AN78" s="136"/>
      <x:c r="AO78" s="136"/>
      <x:c r="AP78" s="136"/>
      <x:c r="AQ78" s="136"/>
      <x:c r="AR78" s="136"/>
      <x:c r="AS78" s="136"/>
    </x:row>
    <x:row r="79">
      <x:c r="A79" s="104"/>
      <x:c r="B79" s="104"/>
      <x:c r="C79" s="104"/>
      <x:c r="D79" s="108"/>
      <x:c r="E79" s="108"/>
      <x:c r="F79" s="108"/>
      <x:c r="G79" s="108"/>
      <x:c r="H79" s="108"/>
      <x:c r="I79" s="108"/>
      <x:c r="J79" s="108"/>
      <x:c r="K79" s="108"/>
      <x:c r="L79" s="108"/>
      <x:c r="M79" s="108"/>
      <x:c r="N79" s="44"/>
      <x:c r="O79" s="44"/>
      <x:c r="P79" s="44"/>
      <x:c r="Q79" s="44"/>
      <x:c r="R79" s="44"/>
      <x:c r="S79" s="44"/>
      <x:c r="T79" s="44"/>
      <x:c r="U79" s="44"/>
      <x:c r="V79" s="44"/>
      <x:c r="W79" s="44"/>
      <x:c r="X79" s="112"/>
      <x:c r="Y79" s="112"/>
      <x:c r="Z79" s="112"/>
      <x:c r="AA79" s="112"/>
      <x:c r="AB79" s="96" t="str">
        <x:f>IF(B79="","",COUNTA(D79:M79)/10)</x:f>
      </x:c>
      <x:c r="AC79" s="44" t="str">
        <x:f>IF(B79="","",IF(AB79=1,"Completo",IF(AB79&gt;=0.6,"En desarrollo","Pendiente")))</x:f>
      </x:c>
      <x:c r="AD79" s="136"/>
      <x:c r="AE79" s="136"/>
      <x:c r="AF79" s="136"/>
      <x:c r="AG79" s="136"/>
      <x:c r="AH79" s="138"/>
      <x:c r="AI79" s="138"/>
      <x:c r="AJ79" s="138"/>
      <x:c r="AK79" s="136"/>
      <x:c r="AL79" s="136"/>
      <x:c r="AM79" s="136"/>
      <x:c r="AN79" s="136"/>
      <x:c r="AO79" s="136"/>
      <x:c r="AP79" s="136"/>
      <x:c r="AQ79" s="136"/>
      <x:c r="AR79" s="136"/>
      <x:c r="AS79" s="136"/>
    </x:row>
    <x:row r="80">
      <x:c r="A80" s="104"/>
      <x:c r="B80" s="104"/>
      <x:c r="C80" s="104"/>
      <x:c r="D80" s="108"/>
      <x:c r="E80" s="108"/>
      <x:c r="F80" s="108"/>
      <x:c r="G80" s="108"/>
      <x:c r="H80" s="108"/>
      <x:c r="I80" s="108"/>
      <x:c r="J80" s="108"/>
      <x:c r="K80" s="108"/>
      <x:c r="L80" s="108"/>
      <x:c r="M80" s="108"/>
      <x:c r="N80" s="44"/>
      <x:c r="O80" s="44"/>
      <x:c r="P80" s="44"/>
      <x:c r="Q80" s="44"/>
      <x:c r="R80" s="44"/>
      <x:c r="S80" s="44"/>
      <x:c r="T80" s="44"/>
      <x:c r="U80" s="44"/>
      <x:c r="V80" s="44"/>
      <x:c r="W80" s="44"/>
      <x:c r="X80" s="112"/>
      <x:c r="Y80" s="112"/>
      <x:c r="Z80" s="112"/>
      <x:c r="AA80" s="112"/>
      <x:c r="AB80" s="96" t="str">
        <x:f>IF(B80="","",COUNTA(D80:M80)/10)</x:f>
      </x:c>
      <x:c r="AC80" s="44" t="str">
        <x:f>IF(B80="","",IF(AB80=1,"Completo",IF(AB80&gt;=0.6,"En desarrollo","Pendiente")))</x:f>
      </x:c>
      <x:c r="AD80" s="136"/>
      <x:c r="AE80" s="136"/>
      <x:c r="AF80" s="136"/>
      <x:c r="AG80" s="136"/>
      <x:c r="AH80" s="138"/>
      <x:c r="AI80" s="138"/>
      <x:c r="AJ80" s="138"/>
      <x:c r="AK80" s="136"/>
      <x:c r="AL80" s="136"/>
      <x:c r="AM80" s="136"/>
      <x:c r="AN80" s="136"/>
      <x:c r="AO80" s="136"/>
      <x:c r="AP80" s="136"/>
      <x:c r="AQ80" s="136"/>
      <x:c r="AR80" s="136"/>
      <x:c r="AS80" s="136"/>
    </x:row>
    <x:row r="81">
      <x:c r="A81" s="104"/>
      <x:c r="B81" s="104"/>
      <x:c r="C81" s="104"/>
      <x:c r="D81" s="108"/>
      <x:c r="E81" s="108"/>
      <x:c r="F81" s="108"/>
      <x:c r="G81" s="108"/>
      <x:c r="H81" s="108"/>
      <x:c r="I81" s="108"/>
      <x:c r="J81" s="108"/>
      <x:c r="K81" s="108"/>
      <x:c r="L81" s="108"/>
      <x:c r="M81" s="108"/>
      <x:c r="N81" s="44"/>
      <x:c r="O81" s="44"/>
      <x:c r="P81" s="44"/>
      <x:c r="Q81" s="44"/>
      <x:c r="R81" s="44"/>
      <x:c r="S81" s="44"/>
      <x:c r="T81" s="44"/>
      <x:c r="U81" s="44"/>
      <x:c r="V81" s="44"/>
      <x:c r="W81" s="44"/>
      <x:c r="X81" s="112"/>
      <x:c r="Y81" s="112"/>
      <x:c r="Z81" s="112"/>
      <x:c r="AA81" s="112"/>
      <x:c r="AB81" s="96" t="str">
        <x:f>IF(B81="","",COUNTA(D81:M81)/10)</x:f>
      </x:c>
      <x:c r="AC81" s="44" t="str">
        <x:f>IF(B81="","",IF(AB81=1,"Completo",IF(AB81&gt;=0.6,"En desarrollo","Pendiente")))</x:f>
      </x:c>
      <x:c r="AD81" s="136"/>
      <x:c r="AE81" s="136"/>
      <x:c r="AF81" s="136"/>
      <x:c r="AG81" s="136"/>
      <x:c r="AH81" s="138"/>
      <x:c r="AI81" s="138"/>
      <x:c r="AJ81" s="138"/>
      <x:c r="AK81" s="136"/>
      <x:c r="AL81" s="136"/>
      <x:c r="AM81" s="136"/>
      <x:c r="AN81" s="136"/>
      <x:c r="AO81" s="136"/>
      <x:c r="AP81" s="136"/>
      <x:c r="AQ81" s="136"/>
      <x:c r="AR81" s="136"/>
      <x:c r="AS81" s="136"/>
    </x:row>
    <x:row r="82">
      <x:c r="A82" s="104"/>
      <x:c r="B82" s="104"/>
      <x:c r="C82" s="104"/>
      <x:c r="D82" s="108"/>
      <x:c r="E82" s="108"/>
      <x:c r="F82" s="108"/>
      <x:c r="G82" s="108"/>
      <x:c r="H82" s="108"/>
      <x:c r="I82" s="108"/>
      <x:c r="J82" s="108"/>
      <x:c r="K82" s="108"/>
      <x:c r="L82" s="108"/>
      <x:c r="M82" s="108"/>
      <x:c r="N82" s="44"/>
      <x:c r="O82" s="44"/>
      <x:c r="P82" s="44"/>
      <x:c r="Q82" s="44"/>
      <x:c r="R82" s="44"/>
      <x:c r="S82" s="44"/>
      <x:c r="T82" s="44"/>
      <x:c r="U82" s="44"/>
      <x:c r="V82" s="44"/>
      <x:c r="W82" s="44"/>
      <x:c r="X82" s="112"/>
      <x:c r="Y82" s="112"/>
      <x:c r="Z82" s="112"/>
      <x:c r="AA82" s="112"/>
      <x:c r="AB82" s="96" t="str">
        <x:f>IF(B82="","",COUNTA(D82:M82)/10)</x:f>
      </x:c>
      <x:c r="AC82" s="44" t="str">
        <x:f>IF(B82="","",IF(AB82=1,"Completo",IF(AB82&gt;=0.6,"En desarrollo","Pendiente")))</x:f>
      </x:c>
      <x:c r="AD82" s="136"/>
      <x:c r="AE82" s="136"/>
      <x:c r="AF82" s="136"/>
      <x:c r="AG82" s="136"/>
      <x:c r="AH82" s="138"/>
      <x:c r="AI82" s="138"/>
      <x:c r="AJ82" s="138"/>
      <x:c r="AK82" s="136"/>
      <x:c r="AL82" s="136"/>
      <x:c r="AM82" s="136"/>
      <x:c r="AN82" s="136"/>
      <x:c r="AO82" s="136"/>
      <x:c r="AP82" s="136"/>
      <x:c r="AQ82" s="136"/>
      <x:c r="AR82" s="136"/>
      <x:c r="AS82" s="136"/>
    </x:row>
    <x:row r="83">
      <x:c r="A83" s="104"/>
      <x:c r="B83" s="104"/>
      <x:c r="C83" s="104"/>
      <x:c r="D83" s="108"/>
      <x:c r="E83" s="108"/>
      <x:c r="F83" s="108"/>
      <x:c r="G83" s="108"/>
      <x:c r="H83" s="108"/>
      <x:c r="I83" s="108"/>
      <x:c r="J83" s="108"/>
      <x:c r="K83" s="108"/>
      <x:c r="L83" s="108"/>
      <x:c r="M83" s="108"/>
      <x:c r="N83" s="44"/>
      <x:c r="O83" s="44"/>
      <x:c r="P83" s="44"/>
      <x:c r="Q83" s="44"/>
      <x:c r="R83" s="44"/>
      <x:c r="S83" s="44"/>
      <x:c r="T83" s="44"/>
      <x:c r="U83" s="44"/>
      <x:c r="V83" s="44"/>
      <x:c r="W83" s="44"/>
      <x:c r="X83" s="112"/>
      <x:c r="Y83" s="112"/>
      <x:c r="Z83" s="112"/>
      <x:c r="AA83" s="112"/>
      <x:c r="AB83" s="96" t="str">
        <x:f>IF(B83="","",COUNTA(D83:M83)/10)</x:f>
      </x:c>
      <x:c r="AC83" s="44" t="str">
        <x:f>IF(B83="","",IF(AB83=1,"Completo",IF(AB83&gt;=0.6,"En desarrollo","Pendiente")))</x:f>
      </x:c>
      <x:c r="AD83" s="136"/>
      <x:c r="AE83" s="136"/>
      <x:c r="AF83" s="136"/>
      <x:c r="AG83" s="136"/>
      <x:c r="AH83" s="138"/>
      <x:c r="AI83" s="138"/>
      <x:c r="AJ83" s="138"/>
      <x:c r="AK83" s="136"/>
      <x:c r="AL83" s="136"/>
      <x:c r="AM83" s="136"/>
      <x:c r="AN83" s="136"/>
      <x:c r="AO83" s="136"/>
      <x:c r="AP83" s="136"/>
      <x:c r="AQ83" s="136"/>
      <x:c r="AR83" s="136"/>
      <x:c r="AS83" s="136"/>
    </x:row>
    <x:row r="84">
      <x:c r="A84" s="104"/>
      <x:c r="B84" s="104"/>
      <x:c r="C84" s="104"/>
      <x:c r="D84" s="108"/>
      <x:c r="E84" s="108"/>
      <x:c r="F84" s="108"/>
      <x:c r="G84" s="108"/>
      <x:c r="H84" s="108"/>
      <x:c r="I84" s="108"/>
      <x:c r="J84" s="108"/>
      <x:c r="K84" s="108"/>
      <x:c r="L84" s="108"/>
      <x:c r="M84" s="108"/>
      <x:c r="N84" s="44"/>
      <x:c r="O84" s="44"/>
      <x:c r="P84" s="44"/>
      <x:c r="Q84" s="44"/>
      <x:c r="R84" s="44"/>
      <x:c r="S84" s="44"/>
      <x:c r="T84" s="44"/>
      <x:c r="U84" s="44"/>
      <x:c r="V84" s="44"/>
      <x:c r="W84" s="44"/>
      <x:c r="X84" s="112"/>
      <x:c r="Y84" s="112"/>
      <x:c r="Z84" s="112"/>
      <x:c r="AA84" s="112"/>
      <x:c r="AB84" s="96" t="str">
        <x:f>IF(B84="","",COUNTA(D84:M84)/10)</x:f>
      </x:c>
      <x:c r="AC84" s="44" t="str">
        <x:f>IF(B84="","",IF(AB84=1,"Completo",IF(AB84&gt;=0.6,"En desarrollo","Pendiente")))</x:f>
      </x:c>
      <x:c r="AD84" s="136"/>
      <x:c r="AE84" s="136"/>
      <x:c r="AF84" s="136"/>
      <x:c r="AG84" s="136"/>
      <x:c r="AH84" s="138"/>
      <x:c r="AI84" s="138"/>
      <x:c r="AJ84" s="138"/>
      <x:c r="AK84" s="136"/>
      <x:c r="AL84" s="136"/>
      <x:c r="AM84" s="136"/>
      <x:c r="AN84" s="136"/>
      <x:c r="AO84" s="136"/>
      <x:c r="AP84" s="136"/>
      <x:c r="AQ84" s="136"/>
      <x:c r="AR84" s="136"/>
      <x:c r="AS84" s="136"/>
    </x:row>
    <x:row r="85">
      <x:c r="A85" s="104"/>
      <x:c r="B85" s="104"/>
      <x:c r="C85" s="104"/>
      <x:c r="D85" s="108"/>
      <x:c r="E85" s="108"/>
      <x:c r="F85" s="108"/>
      <x:c r="G85" s="108"/>
      <x:c r="H85" s="108"/>
      <x:c r="I85" s="108"/>
      <x:c r="J85" s="108"/>
      <x:c r="K85" s="108"/>
      <x:c r="L85" s="108"/>
      <x:c r="M85" s="108"/>
      <x:c r="N85" s="44"/>
      <x:c r="O85" s="44"/>
      <x:c r="P85" s="44"/>
      <x:c r="Q85" s="44"/>
      <x:c r="R85" s="44"/>
      <x:c r="S85" s="44"/>
      <x:c r="T85" s="44"/>
      <x:c r="U85" s="44"/>
      <x:c r="V85" s="44"/>
      <x:c r="W85" s="44"/>
      <x:c r="X85" s="112"/>
      <x:c r="Y85" s="112"/>
      <x:c r="Z85" s="112"/>
      <x:c r="AA85" s="112"/>
      <x:c r="AB85" s="96" t="str">
        <x:f>IF(B85="","",COUNTA(D85:M85)/10)</x:f>
      </x:c>
      <x:c r="AC85" s="44" t="str">
        <x:f>IF(B85="","",IF(AB85=1,"Completo",IF(AB85&gt;=0.6,"En desarrollo","Pendiente")))</x:f>
      </x:c>
      <x:c r="AD85" s="136"/>
      <x:c r="AE85" s="136"/>
      <x:c r="AF85" s="136"/>
      <x:c r="AG85" s="136"/>
      <x:c r="AH85" s="138"/>
      <x:c r="AI85" s="138"/>
      <x:c r="AJ85" s="138"/>
      <x:c r="AK85" s="136"/>
      <x:c r="AL85" s="136"/>
      <x:c r="AM85" s="136"/>
      <x:c r="AN85" s="136"/>
      <x:c r="AO85" s="136"/>
      <x:c r="AP85" s="136"/>
      <x:c r="AQ85" s="136"/>
      <x:c r="AR85" s="136"/>
      <x:c r="AS85" s="136"/>
    </x:row>
    <x:row r="86">
      <x:c r="A86" s="104"/>
      <x:c r="B86" s="104"/>
      <x:c r="C86" s="104"/>
      <x:c r="D86" s="108"/>
      <x:c r="E86" s="108"/>
      <x:c r="F86" s="108"/>
      <x:c r="G86" s="108"/>
      <x:c r="H86" s="108"/>
      <x:c r="I86" s="108"/>
      <x:c r="J86" s="108"/>
      <x:c r="K86" s="108"/>
      <x:c r="L86" s="108"/>
      <x:c r="M86" s="108"/>
      <x:c r="N86" s="44"/>
      <x:c r="O86" s="44"/>
      <x:c r="P86" s="44"/>
      <x:c r="Q86" s="44"/>
      <x:c r="R86" s="44"/>
      <x:c r="S86" s="44"/>
      <x:c r="T86" s="44"/>
      <x:c r="U86" s="44"/>
      <x:c r="V86" s="44"/>
      <x:c r="W86" s="44"/>
      <x:c r="X86" s="112"/>
      <x:c r="Y86" s="112"/>
      <x:c r="Z86" s="112"/>
      <x:c r="AA86" s="112"/>
      <x:c r="AB86" s="96" t="str">
        <x:f>IF(B86="","",COUNTA(D86:M86)/10)</x:f>
      </x:c>
      <x:c r="AC86" s="44" t="str">
        <x:f>IF(B86="","",IF(AB86=1,"Completo",IF(AB86&gt;=0.6,"En desarrollo","Pendiente")))</x:f>
      </x:c>
      <x:c r="AD86" s="136"/>
      <x:c r="AE86" s="136"/>
      <x:c r="AF86" s="136"/>
      <x:c r="AG86" s="136"/>
      <x:c r="AH86" s="138"/>
      <x:c r="AI86" s="138"/>
      <x:c r="AJ86" s="138"/>
      <x:c r="AK86" s="136"/>
      <x:c r="AL86" s="136"/>
      <x:c r="AM86" s="136"/>
      <x:c r="AN86" s="136"/>
      <x:c r="AO86" s="136"/>
      <x:c r="AP86" s="136"/>
      <x:c r="AQ86" s="136"/>
      <x:c r="AR86" s="136"/>
      <x:c r="AS86" s="136"/>
    </x:row>
    <x:row r="87">
      <x:c r="A87" s="104"/>
      <x:c r="B87" s="104"/>
      <x:c r="C87" s="104"/>
      <x:c r="D87" s="108"/>
      <x:c r="E87" s="108"/>
      <x:c r="F87" s="108"/>
      <x:c r="G87" s="108"/>
      <x:c r="H87" s="108"/>
      <x:c r="I87" s="108"/>
      <x:c r="J87" s="108"/>
      <x:c r="K87" s="108"/>
      <x:c r="L87" s="108"/>
      <x:c r="M87" s="108"/>
      <x:c r="N87" s="44"/>
      <x:c r="O87" s="44"/>
      <x:c r="P87" s="44"/>
      <x:c r="Q87" s="44"/>
      <x:c r="R87" s="44"/>
      <x:c r="S87" s="44"/>
      <x:c r="T87" s="44"/>
      <x:c r="U87" s="44"/>
      <x:c r="V87" s="44"/>
      <x:c r="W87" s="44"/>
      <x:c r="X87" s="112"/>
      <x:c r="Y87" s="112"/>
      <x:c r="Z87" s="112"/>
      <x:c r="AA87" s="112"/>
      <x:c r="AB87" s="96" t="str">
        <x:f>IF(B87="","",COUNTA(D87:M87)/10)</x:f>
      </x:c>
      <x:c r="AC87" s="44" t="str">
        <x:f>IF(B87="","",IF(AB87=1,"Completo",IF(AB87&gt;=0.6,"En desarrollo","Pendiente")))</x:f>
      </x:c>
      <x:c r="AD87" s="136"/>
      <x:c r="AE87" s="136"/>
      <x:c r="AF87" s="136"/>
      <x:c r="AG87" s="136"/>
      <x:c r="AH87" s="138"/>
      <x:c r="AI87" s="138"/>
      <x:c r="AJ87" s="138"/>
      <x:c r="AK87" s="136"/>
      <x:c r="AL87" s="136"/>
      <x:c r="AM87" s="136"/>
      <x:c r="AN87" s="136"/>
      <x:c r="AO87" s="136"/>
      <x:c r="AP87" s="136"/>
      <x:c r="AQ87" s="136"/>
      <x:c r="AR87" s="136"/>
      <x:c r="AS87" s="136"/>
    </x:row>
    <x:row r="88">
      <x:c r="A88" s="104"/>
      <x:c r="B88" s="104"/>
      <x:c r="C88" s="104"/>
      <x:c r="D88" s="108"/>
      <x:c r="E88" s="108"/>
      <x:c r="F88" s="108"/>
      <x:c r="G88" s="108"/>
      <x:c r="H88" s="108"/>
      <x:c r="I88" s="108"/>
      <x:c r="J88" s="108"/>
      <x:c r="K88" s="108"/>
      <x:c r="L88" s="108"/>
      <x:c r="M88" s="108"/>
      <x:c r="N88" s="44"/>
      <x:c r="O88" s="44"/>
      <x:c r="P88" s="44"/>
      <x:c r="Q88" s="44"/>
      <x:c r="R88" s="44"/>
      <x:c r="S88" s="44"/>
      <x:c r="T88" s="44"/>
      <x:c r="U88" s="44"/>
      <x:c r="V88" s="44"/>
      <x:c r="W88" s="44"/>
      <x:c r="X88" s="112"/>
      <x:c r="Y88" s="112"/>
      <x:c r="Z88" s="112"/>
      <x:c r="AA88" s="112"/>
      <x:c r="AB88" s="96" t="str">
        <x:f>IF(B88="","",COUNTA(D88:M88)/10)</x:f>
      </x:c>
      <x:c r="AC88" s="44" t="str">
        <x:f>IF(B88="","",IF(AB88=1,"Completo",IF(AB88&gt;=0.6,"En desarrollo","Pendiente")))</x:f>
      </x:c>
      <x:c r="AD88" s="136"/>
      <x:c r="AE88" s="136"/>
      <x:c r="AF88" s="136"/>
      <x:c r="AG88" s="136"/>
      <x:c r="AH88" s="138"/>
      <x:c r="AI88" s="138"/>
      <x:c r="AJ88" s="138"/>
      <x:c r="AK88" s="136"/>
      <x:c r="AL88" s="136"/>
      <x:c r="AM88" s="136"/>
      <x:c r="AN88" s="136"/>
      <x:c r="AO88" s="136"/>
      <x:c r="AP88" s="136"/>
      <x:c r="AQ88" s="136"/>
      <x:c r="AR88" s="136"/>
      <x:c r="AS88" s="136"/>
    </x:row>
    <x:row r="89">
      <x:c r="A89" s="104"/>
      <x:c r="B89" s="104"/>
      <x:c r="C89" s="104"/>
      <x:c r="D89" s="108"/>
      <x:c r="E89" s="108"/>
      <x:c r="F89" s="108"/>
      <x:c r="G89" s="108"/>
      <x:c r="H89" s="108"/>
      <x:c r="I89" s="108"/>
      <x:c r="J89" s="108"/>
      <x:c r="K89" s="108"/>
      <x:c r="L89" s="108"/>
      <x:c r="M89" s="108"/>
      <x:c r="N89" s="44"/>
      <x:c r="O89" s="44"/>
      <x:c r="P89" s="44"/>
      <x:c r="Q89" s="44"/>
      <x:c r="R89" s="44"/>
      <x:c r="S89" s="44"/>
      <x:c r="T89" s="44"/>
      <x:c r="U89" s="44"/>
      <x:c r="V89" s="44"/>
      <x:c r="W89" s="44"/>
      <x:c r="X89" s="112"/>
      <x:c r="Y89" s="112"/>
      <x:c r="Z89" s="112"/>
      <x:c r="AA89" s="112"/>
      <x:c r="AB89" s="96" t="str">
        <x:f>IF(B89="","",COUNTA(D89:M89)/10)</x:f>
      </x:c>
      <x:c r="AC89" s="44" t="str">
        <x:f>IF(B89="","",IF(AB89=1,"Completo",IF(AB89&gt;=0.6,"En desarrollo","Pendiente")))</x:f>
      </x:c>
      <x:c r="AD89" s="136"/>
      <x:c r="AE89" s="136"/>
      <x:c r="AF89" s="136"/>
      <x:c r="AG89" s="136"/>
      <x:c r="AH89" s="138"/>
      <x:c r="AI89" s="138"/>
      <x:c r="AJ89" s="138"/>
      <x:c r="AK89" s="136"/>
      <x:c r="AL89" s="136"/>
      <x:c r="AM89" s="136"/>
      <x:c r="AN89" s="136"/>
      <x:c r="AO89" s="136"/>
      <x:c r="AP89" s="136"/>
      <x:c r="AQ89" s="136"/>
      <x:c r="AR89" s="136"/>
      <x:c r="AS89" s="136"/>
    </x:row>
    <x:row r="90">
      <x:c r="A90" s="104"/>
      <x:c r="B90" s="104"/>
      <x:c r="C90" s="104"/>
      <x:c r="D90" s="108"/>
      <x:c r="E90" s="108"/>
      <x:c r="F90" s="108"/>
      <x:c r="G90" s="108"/>
      <x:c r="H90" s="108"/>
      <x:c r="I90" s="108"/>
      <x:c r="J90" s="108"/>
      <x:c r="K90" s="108"/>
      <x:c r="L90" s="108"/>
      <x:c r="M90" s="108"/>
      <x:c r="N90" s="44"/>
      <x:c r="O90" s="44"/>
      <x:c r="P90" s="44"/>
      <x:c r="Q90" s="44"/>
      <x:c r="R90" s="44"/>
      <x:c r="S90" s="44"/>
      <x:c r="T90" s="44"/>
      <x:c r="U90" s="44"/>
      <x:c r="V90" s="44"/>
      <x:c r="W90" s="44"/>
      <x:c r="X90" s="112"/>
      <x:c r="Y90" s="112"/>
      <x:c r="Z90" s="112"/>
      <x:c r="AA90" s="112"/>
      <x:c r="AB90" s="96" t="str">
        <x:f>IF(B90="","",COUNTA(D90:M90)/10)</x:f>
      </x:c>
      <x:c r="AC90" s="44" t="str">
        <x:f>IF(B90="","",IF(AB90=1,"Completo",IF(AB90&gt;=0.6,"En desarrollo","Pendiente")))</x:f>
      </x:c>
      <x:c r="AD90" s="136"/>
      <x:c r="AE90" s="136"/>
      <x:c r="AF90" s="136"/>
      <x:c r="AG90" s="136"/>
      <x:c r="AH90" s="138"/>
      <x:c r="AI90" s="138"/>
      <x:c r="AJ90" s="138"/>
      <x:c r="AK90" s="136"/>
      <x:c r="AL90" s="136"/>
      <x:c r="AM90" s="136"/>
      <x:c r="AN90" s="136"/>
      <x:c r="AO90" s="136"/>
      <x:c r="AP90" s="136"/>
      <x:c r="AQ90" s="136"/>
      <x:c r="AR90" s="136"/>
      <x:c r="AS90" s="136"/>
    </x:row>
    <x:row r="91">
      <x:c r="A91" s="104"/>
      <x:c r="B91" s="104"/>
      <x:c r="C91" s="104"/>
      <x:c r="D91" s="108"/>
      <x:c r="E91" s="108"/>
      <x:c r="F91" s="108"/>
      <x:c r="G91" s="108"/>
      <x:c r="H91" s="108"/>
      <x:c r="I91" s="108"/>
      <x:c r="J91" s="108"/>
      <x:c r="K91" s="108"/>
      <x:c r="L91" s="108"/>
      <x:c r="M91" s="108"/>
      <x:c r="N91" s="44"/>
      <x:c r="O91" s="44"/>
      <x:c r="P91" s="44"/>
      <x:c r="Q91" s="44"/>
      <x:c r="R91" s="44"/>
      <x:c r="S91" s="44"/>
      <x:c r="T91" s="44"/>
      <x:c r="U91" s="44"/>
      <x:c r="V91" s="44"/>
      <x:c r="W91" s="44"/>
      <x:c r="X91" s="112"/>
      <x:c r="Y91" s="112"/>
      <x:c r="Z91" s="112"/>
      <x:c r="AA91" s="112"/>
      <x:c r="AB91" s="96" t="str">
        <x:f>IF(B91="","",COUNTA(D91:M91)/10)</x:f>
      </x:c>
      <x:c r="AC91" s="44" t="str">
        <x:f>IF(B91="","",IF(AB91=1,"Completo",IF(AB91&gt;=0.6,"En desarrollo","Pendiente")))</x:f>
      </x:c>
      <x:c r="AD91" s="136"/>
      <x:c r="AE91" s="136"/>
      <x:c r="AF91" s="136"/>
      <x:c r="AG91" s="136"/>
      <x:c r="AH91" s="138"/>
      <x:c r="AI91" s="138"/>
      <x:c r="AJ91" s="138"/>
      <x:c r="AK91" s="136"/>
      <x:c r="AL91" s="136"/>
      <x:c r="AM91" s="136"/>
      <x:c r="AN91" s="136"/>
      <x:c r="AO91" s="136"/>
      <x:c r="AP91" s="136"/>
      <x:c r="AQ91" s="136"/>
      <x:c r="AR91" s="136"/>
      <x:c r="AS91" s="136"/>
    </x:row>
    <x:row r="92">
      <x:c r="A92" s="104"/>
      <x:c r="B92" s="104"/>
      <x:c r="C92" s="104"/>
      <x:c r="D92" s="108"/>
      <x:c r="E92" s="108"/>
      <x:c r="F92" s="108"/>
      <x:c r="G92" s="108"/>
      <x:c r="H92" s="108"/>
      <x:c r="I92" s="108"/>
      <x:c r="J92" s="108"/>
      <x:c r="K92" s="108"/>
      <x:c r="L92" s="108"/>
      <x:c r="M92" s="108"/>
      <x:c r="N92" s="44"/>
      <x:c r="O92" s="44"/>
      <x:c r="P92" s="44"/>
      <x:c r="Q92" s="44"/>
      <x:c r="R92" s="44"/>
      <x:c r="S92" s="44"/>
      <x:c r="T92" s="44"/>
      <x:c r="U92" s="44"/>
      <x:c r="V92" s="44"/>
      <x:c r="W92" s="44"/>
      <x:c r="X92" s="112"/>
      <x:c r="Y92" s="112"/>
      <x:c r="Z92" s="112"/>
      <x:c r="AA92" s="112"/>
      <x:c r="AB92" s="96" t="str">
        <x:f>IF(B92="","",COUNTA(D92:M92)/10)</x:f>
      </x:c>
      <x:c r="AC92" s="44" t="str">
        <x:f>IF(B92="","",IF(AB92=1,"Completo",IF(AB92&gt;=0.6,"En desarrollo","Pendiente")))</x:f>
      </x:c>
      <x:c r="AD92" s="136"/>
      <x:c r="AE92" s="136"/>
      <x:c r="AF92" s="136"/>
      <x:c r="AG92" s="136"/>
      <x:c r="AH92" s="138"/>
      <x:c r="AI92" s="138"/>
      <x:c r="AJ92" s="138"/>
      <x:c r="AK92" s="136"/>
      <x:c r="AL92" s="136"/>
      <x:c r="AM92" s="136"/>
      <x:c r="AN92" s="136"/>
      <x:c r="AO92" s="136"/>
      <x:c r="AP92" s="136"/>
      <x:c r="AQ92" s="136"/>
      <x:c r="AR92" s="136"/>
      <x:c r="AS92" s="136"/>
    </x:row>
    <x:row r="93">
      <x:c r="A93" s="104"/>
      <x:c r="B93" s="104"/>
      <x:c r="C93" s="104"/>
      <x:c r="D93" s="108"/>
      <x:c r="E93" s="108"/>
      <x:c r="F93" s="108"/>
      <x:c r="G93" s="108"/>
      <x:c r="H93" s="108"/>
      <x:c r="I93" s="108"/>
      <x:c r="J93" s="108"/>
      <x:c r="K93" s="108"/>
      <x:c r="L93" s="108"/>
      <x:c r="M93" s="108"/>
      <x:c r="N93" s="44"/>
      <x:c r="O93" s="44"/>
      <x:c r="P93" s="44"/>
      <x:c r="Q93" s="44"/>
      <x:c r="R93" s="44"/>
      <x:c r="S93" s="44"/>
      <x:c r="T93" s="44"/>
      <x:c r="U93" s="44"/>
      <x:c r="V93" s="44"/>
      <x:c r="W93" s="44"/>
      <x:c r="X93" s="112"/>
      <x:c r="Y93" s="112"/>
      <x:c r="Z93" s="112"/>
      <x:c r="AA93" s="112"/>
      <x:c r="AB93" s="96" t="str">
        <x:f>IF(B93="","",COUNTA(D93:M93)/10)</x:f>
      </x:c>
      <x:c r="AC93" s="44" t="str">
        <x:f>IF(B93="","",IF(AB93=1,"Completo",IF(AB93&gt;=0.6,"En desarrollo","Pendiente")))</x:f>
      </x:c>
      <x:c r="AD93" s="136"/>
      <x:c r="AE93" s="136"/>
      <x:c r="AF93" s="136"/>
      <x:c r="AG93" s="136"/>
      <x:c r="AH93" s="138"/>
      <x:c r="AI93" s="138"/>
      <x:c r="AJ93" s="138"/>
      <x:c r="AK93" s="136"/>
      <x:c r="AL93" s="136"/>
      <x:c r="AM93" s="136"/>
      <x:c r="AN93" s="136"/>
      <x:c r="AO93" s="136"/>
      <x:c r="AP93" s="136"/>
      <x:c r="AQ93" s="136"/>
      <x:c r="AR93" s="136"/>
      <x:c r="AS93" s="136"/>
    </x:row>
    <x:row r="94">
      <x:c r="A94" s="104"/>
      <x:c r="B94" s="104"/>
      <x:c r="C94" s="104"/>
      <x:c r="D94" s="108"/>
      <x:c r="E94" s="108"/>
      <x:c r="F94" s="108"/>
      <x:c r="G94" s="108"/>
      <x:c r="H94" s="108"/>
      <x:c r="I94" s="108"/>
      <x:c r="J94" s="108"/>
      <x:c r="K94" s="108"/>
      <x:c r="L94" s="108"/>
      <x:c r="M94" s="108"/>
      <x:c r="N94" s="44"/>
      <x:c r="O94" s="44"/>
      <x:c r="P94" s="44"/>
      <x:c r="Q94" s="44"/>
      <x:c r="R94" s="44"/>
      <x:c r="S94" s="44"/>
      <x:c r="T94" s="44"/>
      <x:c r="U94" s="44"/>
      <x:c r="V94" s="44"/>
      <x:c r="W94" s="44"/>
      <x:c r="X94" s="112"/>
      <x:c r="Y94" s="112"/>
      <x:c r="Z94" s="112"/>
      <x:c r="AA94" s="112"/>
      <x:c r="AB94" s="96" t="str">
        <x:f>IF(B94="","",COUNTA(D94:M94)/10)</x:f>
      </x:c>
      <x:c r="AC94" s="44" t="str">
        <x:f>IF(B94="","",IF(AB94=1,"Completo",IF(AB94&gt;=0.6,"En desarrollo","Pendiente")))</x:f>
      </x:c>
      <x:c r="AD94" s="136"/>
      <x:c r="AE94" s="136"/>
      <x:c r="AF94" s="136"/>
      <x:c r="AG94" s="136"/>
      <x:c r="AH94" s="138"/>
      <x:c r="AI94" s="138"/>
      <x:c r="AJ94" s="138"/>
      <x:c r="AK94" s="136"/>
      <x:c r="AL94" s="136"/>
      <x:c r="AM94" s="136"/>
      <x:c r="AN94" s="136"/>
      <x:c r="AO94" s="136"/>
      <x:c r="AP94" s="136"/>
      <x:c r="AQ94" s="136"/>
      <x:c r="AR94" s="136"/>
      <x:c r="AS94" s="136"/>
    </x:row>
    <x:row r="95">
      <x:c r="A95" s="104"/>
      <x:c r="B95" s="104"/>
      <x:c r="C95" s="104"/>
      <x:c r="D95" s="108"/>
      <x:c r="E95" s="108"/>
      <x:c r="F95" s="108"/>
      <x:c r="G95" s="108"/>
      <x:c r="H95" s="108"/>
      <x:c r="I95" s="108"/>
      <x:c r="J95" s="108"/>
      <x:c r="K95" s="108"/>
      <x:c r="L95" s="108"/>
      <x:c r="M95" s="108"/>
      <x:c r="N95" s="44"/>
      <x:c r="O95" s="44"/>
      <x:c r="P95" s="44"/>
      <x:c r="Q95" s="44"/>
      <x:c r="R95" s="44"/>
      <x:c r="S95" s="44"/>
      <x:c r="T95" s="44"/>
      <x:c r="U95" s="44"/>
      <x:c r="V95" s="44"/>
      <x:c r="W95" s="44"/>
      <x:c r="X95" s="112"/>
      <x:c r="Y95" s="112"/>
      <x:c r="Z95" s="112"/>
      <x:c r="AA95" s="112"/>
      <x:c r="AB95" s="96" t="str">
        <x:f>IF(B95="","",COUNTA(D95:M95)/10)</x:f>
      </x:c>
      <x:c r="AC95" s="44" t="str">
        <x:f>IF(B95="","",IF(AB95=1,"Completo",IF(AB95&gt;=0.6,"En desarrollo","Pendiente")))</x:f>
      </x:c>
      <x:c r="AD95" s="136"/>
      <x:c r="AE95" s="136"/>
      <x:c r="AF95" s="136"/>
      <x:c r="AG95" s="136"/>
      <x:c r="AH95" s="138"/>
      <x:c r="AI95" s="138"/>
      <x:c r="AJ95" s="138"/>
      <x:c r="AK95" s="136"/>
      <x:c r="AL95" s="136"/>
      <x:c r="AM95" s="136"/>
      <x:c r="AN95" s="136"/>
      <x:c r="AO95" s="136"/>
      <x:c r="AP95" s="136"/>
      <x:c r="AQ95" s="136"/>
      <x:c r="AR95" s="136"/>
      <x:c r="AS95" s="136"/>
    </x:row>
    <x:row r="96">
      <x:c r="A96" s="104"/>
      <x:c r="B96" s="104"/>
      <x:c r="C96" s="104"/>
      <x:c r="D96" s="108"/>
      <x:c r="E96" s="108"/>
      <x:c r="F96" s="108"/>
      <x:c r="G96" s="108"/>
      <x:c r="H96" s="108"/>
      <x:c r="I96" s="108"/>
      <x:c r="J96" s="108"/>
      <x:c r="K96" s="108"/>
      <x:c r="L96" s="108"/>
      <x:c r="M96" s="108"/>
      <x:c r="N96" s="44"/>
      <x:c r="O96" s="44"/>
      <x:c r="P96" s="44"/>
      <x:c r="Q96" s="44"/>
      <x:c r="R96" s="44"/>
      <x:c r="S96" s="44"/>
      <x:c r="T96" s="44"/>
      <x:c r="U96" s="44"/>
      <x:c r="V96" s="44"/>
      <x:c r="W96" s="44"/>
      <x:c r="X96" s="112"/>
      <x:c r="Y96" s="112"/>
      <x:c r="Z96" s="112"/>
      <x:c r="AA96" s="112"/>
      <x:c r="AB96" s="96" t="str">
        <x:f>IF(B96="","",COUNTA(D96:M96)/10)</x:f>
      </x:c>
      <x:c r="AC96" s="44" t="str">
        <x:f>IF(B96="","",IF(AB96=1,"Completo",IF(AB96&gt;=0.6,"En desarrollo","Pendiente")))</x:f>
      </x:c>
      <x:c r="AD96" s="136"/>
      <x:c r="AE96" s="136"/>
      <x:c r="AF96" s="136"/>
      <x:c r="AG96" s="136"/>
      <x:c r="AH96" s="138"/>
      <x:c r="AI96" s="138"/>
      <x:c r="AJ96" s="138"/>
      <x:c r="AK96" s="136"/>
      <x:c r="AL96" s="136"/>
      <x:c r="AM96" s="136"/>
      <x:c r="AN96" s="136"/>
      <x:c r="AO96" s="136"/>
      <x:c r="AP96" s="136"/>
      <x:c r="AQ96" s="136"/>
      <x:c r="AR96" s="136"/>
      <x:c r="AS96" s="136"/>
    </x:row>
    <x:row r="97">
      <x:c r="A97" s="104"/>
      <x:c r="B97" s="104"/>
      <x:c r="C97" s="104"/>
      <x:c r="D97" s="108"/>
      <x:c r="E97" s="108"/>
      <x:c r="F97" s="108"/>
      <x:c r="G97" s="108"/>
      <x:c r="H97" s="108"/>
      <x:c r="I97" s="108"/>
      <x:c r="J97" s="108"/>
      <x:c r="K97" s="108"/>
      <x:c r="L97" s="108"/>
      <x:c r="M97" s="108"/>
      <x:c r="N97" s="44"/>
      <x:c r="O97" s="44"/>
      <x:c r="P97" s="44"/>
      <x:c r="Q97" s="44"/>
      <x:c r="R97" s="44"/>
      <x:c r="S97" s="44"/>
      <x:c r="T97" s="44"/>
      <x:c r="U97" s="44"/>
      <x:c r="V97" s="44"/>
      <x:c r="W97" s="44"/>
      <x:c r="X97" s="112"/>
      <x:c r="Y97" s="112"/>
      <x:c r="Z97" s="112"/>
      <x:c r="AA97" s="112"/>
      <x:c r="AB97" s="96" t="str">
        <x:f>IF(B97="","",COUNTA(D97:M97)/10)</x:f>
      </x:c>
      <x:c r="AC97" s="44" t="str">
        <x:f>IF(B97="","",IF(AB97=1,"Completo",IF(AB97&gt;=0.6,"En desarrollo","Pendiente")))</x:f>
      </x:c>
      <x:c r="AD97" s="136"/>
      <x:c r="AE97" s="136"/>
      <x:c r="AF97" s="136"/>
      <x:c r="AG97" s="136"/>
      <x:c r="AH97" s="138"/>
      <x:c r="AI97" s="138"/>
      <x:c r="AJ97" s="138"/>
      <x:c r="AK97" s="136"/>
      <x:c r="AL97" s="136"/>
      <x:c r="AM97" s="136"/>
      <x:c r="AN97" s="136"/>
      <x:c r="AO97" s="136"/>
      <x:c r="AP97" s="136"/>
      <x:c r="AQ97" s="136"/>
      <x:c r="AR97" s="136"/>
      <x:c r="AS97" s="136"/>
    </x:row>
    <x:row r="98">
      <x:c r="A98" s="104"/>
      <x:c r="B98" s="104"/>
      <x:c r="C98" s="104"/>
      <x:c r="D98" s="108"/>
      <x:c r="E98" s="108"/>
      <x:c r="F98" s="108"/>
      <x:c r="G98" s="108"/>
      <x:c r="H98" s="108"/>
      <x:c r="I98" s="108"/>
      <x:c r="J98" s="108"/>
      <x:c r="K98" s="108"/>
      <x:c r="L98" s="108"/>
      <x:c r="M98" s="108"/>
      <x:c r="N98" s="44"/>
      <x:c r="O98" s="44"/>
      <x:c r="P98" s="44"/>
      <x:c r="Q98" s="44"/>
      <x:c r="R98" s="44"/>
      <x:c r="S98" s="44"/>
      <x:c r="T98" s="44"/>
      <x:c r="U98" s="44"/>
      <x:c r="V98" s="44"/>
      <x:c r="W98" s="44"/>
      <x:c r="X98" s="112"/>
      <x:c r="Y98" s="112"/>
      <x:c r="Z98" s="112"/>
      <x:c r="AA98" s="112"/>
      <x:c r="AB98" s="96" t="str">
        <x:f>IF(B98="","",COUNTA(D98:M98)/10)</x:f>
      </x:c>
      <x:c r="AC98" s="44" t="str">
        <x:f>IF(B98="","",IF(AB98=1,"Completo",IF(AB98&gt;=0.6,"En desarrollo","Pendiente")))</x:f>
      </x:c>
      <x:c r="AD98" s="136"/>
      <x:c r="AE98" s="136"/>
      <x:c r="AF98" s="136"/>
      <x:c r="AG98" s="136"/>
      <x:c r="AH98" s="138"/>
      <x:c r="AI98" s="138"/>
      <x:c r="AJ98" s="138"/>
      <x:c r="AK98" s="136"/>
      <x:c r="AL98" s="136"/>
      <x:c r="AM98" s="136"/>
      <x:c r="AN98" s="136"/>
      <x:c r="AO98" s="136"/>
      <x:c r="AP98" s="136"/>
      <x:c r="AQ98" s="136"/>
      <x:c r="AR98" s="136"/>
      <x:c r="AS98" s="136"/>
    </x:row>
    <x:row r="99">
      <x:c r="A99" s="104"/>
      <x:c r="B99" s="104"/>
      <x:c r="C99" s="104"/>
      <x:c r="D99" s="108"/>
      <x:c r="E99" s="108"/>
      <x:c r="F99" s="108"/>
      <x:c r="G99" s="108"/>
      <x:c r="H99" s="108"/>
      <x:c r="I99" s="108"/>
      <x:c r="J99" s="108"/>
      <x:c r="K99" s="108"/>
      <x:c r="L99" s="108"/>
      <x:c r="M99" s="108"/>
      <x:c r="N99" s="44"/>
      <x:c r="O99" s="44"/>
      <x:c r="P99" s="44"/>
      <x:c r="Q99" s="44"/>
      <x:c r="R99" s="44"/>
      <x:c r="S99" s="44"/>
      <x:c r="T99" s="44"/>
      <x:c r="U99" s="44"/>
      <x:c r="V99" s="44"/>
      <x:c r="W99" s="44"/>
      <x:c r="X99" s="112"/>
      <x:c r="Y99" s="112"/>
      <x:c r="Z99" s="112"/>
      <x:c r="AA99" s="112"/>
      <x:c r="AB99" s="96" t="str">
        <x:f>IF(B99="","",COUNTA(D99:M99)/10)</x:f>
      </x:c>
      <x:c r="AC99" s="44" t="str">
        <x:f>IF(B99="","",IF(AB99=1,"Completo",IF(AB99&gt;=0.6,"En desarrollo","Pendiente")))</x:f>
      </x:c>
      <x:c r="AD99" s="136"/>
      <x:c r="AE99" s="136"/>
      <x:c r="AF99" s="136"/>
      <x:c r="AG99" s="136"/>
      <x:c r="AH99" s="138"/>
      <x:c r="AI99" s="138"/>
      <x:c r="AJ99" s="138"/>
      <x:c r="AK99" s="136"/>
      <x:c r="AL99" s="136"/>
      <x:c r="AM99" s="136"/>
      <x:c r="AN99" s="136"/>
      <x:c r="AO99" s="136"/>
      <x:c r="AP99" s="136"/>
      <x:c r="AQ99" s="136"/>
      <x:c r="AR99" s="136"/>
      <x:c r="AS99" s="136"/>
    </x:row>
    <x:row r="100">
      <x:c r="A100" s="104"/>
      <x:c r="B100" s="104"/>
      <x:c r="C100" s="104"/>
      <x:c r="D100" s="108"/>
      <x:c r="E100" s="108"/>
      <x:c r="F100" s="108"/>
      <x:c r="G100" s="108"/>
      <x:c r="H100" s="108"/>
      <x:c r="I100" s="108"/>
      <x:c r="J100" s="108"/>
      <x:c r="K100" s="108"/>
      <x:c r="L100" s="108"/>
      <x:c r="M100" s="108"/>
      <x:c r="N100" s="44"/>
      <x:c r="O100" s="44"/>
      <x:c r="P100" s="44"/>
      <x:c r="Q100" s="44"/>
      <x:c r="R100" s="44"/>
      <x:c r="S100" s="44"/>
      <x:c r="T100" s="44"/>
      <x:c r="U100" s="44"/>
      <x:c r="V100" s="44"/>
      <x:c r="W100" s="44"/>
      <x:c r="X100" s="112"/>
      <x:c r="Y100" s="112"/>
      <x:c r="Z100" s="112"/>
      <x:c r="AA100" s="112"/>
      <x:c r="AB100" s="96" t="str">
        <x:f>IF(B100="","",COUNTA(D100:M100)/10)</x:f>
      </x:c>
      <x:c r="AC100" s="44" t="str">
        <x:f>IF(B100="","",IF(AB100=1,"Completo",IF(AB100&gt;=0.6,"En desarrollo","Pendiente")))</x:f>
      </x:c>
      <x:c r="AD100" s="136"/>
      <x:c r="AE100" s="136"/>
      <x:c r="AF100" s="136"/>
      <x:c r="AG100" s="136"/>
      <x:c r="AH100" s="138"/>
      <x:c r="AI100" s="138"/>
      <x:c r="AJ100" s="138"/>
      <x:c r="AK100" s="136"/>
      <x:c r="AL100" s="136"/>
      <x:c r="AM100" s="136"/>
      <x:c r="AN100" s="136"/>
      <x:c r="AO100" s="136"/>
      <x:c r="AP100" s="136"/>
      <x:c r="AQ100" s="136"/>
      <x:c r="AR100" s="136"/>
      <x:c r="AS100" s="136"/>
    </x:row>
    <x:row r="101">
      <x:c r="A101" s="104"/>
      <x:c r="B101" s="104"/>
      <x:c r="C101" s="104"/>
      <x:c r="D101" s="108"/>
      <x:c r="E101" s="108"/>
      <x:c r="F101" s="108"/>
      <x:c r="G101" s="108"/>
      <x:c r="H101" s="108"/>
      <x:c r="I101" s="108"/>
      <x:c r="J101" s="108"/>
      <x:c r="K101" s="108"/>
      <x:c r="L101" s="108"/>
      <x:c r="M101" s="108"/>
      <x:c r="N101" s="44"/>
      <x:c r="O101" s="44"/>
      <x:c r="P101" s="44"/>
      <x:c r="Q101" s="44"/>
      <x:c r="R101" s="44"/>
      <x:c r="S101" s="44"/>
      <x:c r="T101" s="44"/>
      <x:c r="U101" s="44"/>
      <x:c r="V101" s="44"/>
      <x:c r="W101" s="44"/>
      <x:c r="X101" s="112"/>
      <x:c r="Y101" s="112"/>
      <x:c r="Z101" s="112"/>
      <x:c r="AA101" s="112"/>
      <x:c r="AB101" s="96" t="str">
        <x:f>IF(B101="","",COUNTA(D101:M101)/10)</x:f>
      </x:c>
      <x:c r="AC101" s="44" t="str">
        <x:f>IF(B101="","",IF(AB101=1,"Completo",IF(AB101&gt;=0.6,"En desarrollo","Pendiente")))</x:f>
      </x:c>
      <x:c r="AD101" s="136"/>
      <x:c r="AE101" s="136"/>
      <x:c r="AF101" s="136"/>
      <x:c r="AG101" s="136"/>
      <x:c r="AH101" s="138"/>
      <x:c r="AI101" s="138"/>
      <x:c r="AJ101" s="138"/>
      <x:c r="AK101" s="136"/>
      <x:c r="AL101" s="136"/>
      <x:c r="AM101" s="136"/>
      <x:c r="AN101" s="136"/>
      <x:c r="AO101" s="136"/>
      <x:c r="AP101" s="136"/>
      <x:c r="AQ101" s="136"/>
      <x:c r="AR101" s="136"/>
      <x:c r="AS101" s="136"/>
    </x:row>
    <x:row r="102">
      <x:c r="A102" s="104"/>
      <x:c r="B102" s="104"/>
      <x:c r="C102" s="104"/>
      <x:c r="D102" s="108"/>
      <x:c r="E102" s="108"/>
      <x:c r="F102" s="108"/>
      <x:c r="G102" s="108"/>
      <x:c r="H102" s="108"/>
      <x:c r="I102" s="108"/>
      <x:c r="J102" s="108"/>
      <x:c r="K102" s="108"/>
      <x:c r="L102" s="108"/>
      <x:c r="M102" s="108"/>
      <x:c r="N102" s="44"/>
      <x:c r="O102" s="44"/>
      <x:c r="P102" s="44"/>
      <x:c r="Q102" s="44"/>
      <x:c r="R102" s="44"/>
      <x:c r="S102" s="44"/>
      <x:c r="T102" s="44"/>
      <x:c r="U102" s="44"/>
      <x:c r="V102" s="44"/>
      <x:c r="W102" s="44"/>
      <x:c r="X102" s="112"/>
      <x:c r="Y102" s="112"/>
      <x:c r="Z102" s="112"/>
      <x:c r="AA102" s="112"/>
      <x:c r="AB102" s="96" t="str">
        <x:f>IF(B102="","",COUNTA(D102:M102)/10)</x:f>
      </x:c>
      <x:c r="AC102" s="44" t="str">
        <x:f>IF(B102="","",IF(AB102=1,"Completo",IF(AB102&gt;=0.6,"En desarrollo","Pendiente")))</x:f>
      </x:c>
      <x:c r="AD102" s="136"/>
      <x:c r="AE102" s="136"/>
      <x:c r="AF102" s="136"/>
      <x:c r="AG102" s="136"/>
      <x:c r="AH102" s="138"/>
      <x:c r="AI102" s="138"/>
      <x:c r="AJ102" s="138"/>
      <x:c r="AK102" s="136"/>
      <x:c r="AL102" s="136"/>
      <x:c r="AM102" s="136"/>
      <x:c r="AN102" s="136"/>
      <x:c r="AO102" s="136"/>
      <x:c r="AP102" s="136"/>
      <x:c r="AQ102" s="136"/>
      <x:c r="AR102" s="136"/>
      <x:c r="AS102" s="136"/>
    </x:row>
    <x:row r="103">
      <x:c r="A103" s="104"/>
      <x:c r="B103" s="104"/>
      <x:c r="C103" s="104"/>
      <x:c r="D103" s="108"/>
      <x:c r="E103" s="108"/>
      <x:c r="F103" s="108"/>
      <x:c r="G103" s="108"/>
      <x:c r="H103" s="108"/>
      <x:c r="I103" s="108"/>
      <x:c r="J103" s="108"/>
      <x:c r="K103" s="108"/>
      <x:c r="L103" s="108"/>
      <x:c r="M103" s="108"/>
      <x:c r="N103" s="44"/>
      <x:c r="O103" s="44"/>
      <x:c r="P103" s="44"/>
      <x:c r="Q103" s="44"/>
      <x:c r="R103" s="44"/>
      <x:c r="S103" s="44"/>
      <x:c r="T103" s="44"/>
      <x:c r="U103" s="44"/>
      <x:c r="V103" s="44"/>
      <x:c r="W103" s="44"/>
      <x:c r="X103" s="112"/>
      <x:c r="Y103" s="112"/>
      <x:c r="Z103" s="112"/>
      <x:c r="AA103" s="112"/>
      <x:c r="AB103" s="96" t="str">
        <x:f>IF(B103="","",COUNTA(D103:M103)/10)</x:f>
      </x:c>
      <x:c r="AC103" s="44" t="str">
        <x:f>IF(B103="","",IF(AB103=1,"Completo",IF(AB103&gt;=0.6,"En desarrollo","Pendiente")))</x:f>
      </x:c>
      <x:c r="AD103" s="136"/>
      <x:c r="AE103" s="136"/>
      <x:c r="AF103" s="136"/>
      <x:c r="AG103" s="136"/>
      <x:c r="AH103" s="138"/>
      <x:c r="AI103" s="138"/>
      <x:c r="AJ103" s="138"/>
      <x:c r="AK103" s="136"/>
      <x:c r="AL103" s="136"/>
      <x:c r="AM103" s="136"/>
      <x:c r="AN103" s="136"/>
      <x:c r="AO103" s="136"/>
      <x:c r="AP103" s="136"/>
      <x:c r="AQ103" s="136"/>
      <x:c r="AR103" s="136"/>
      <x:c r="AS103" s="136"/>
    </x:row>
    <x:row r="104">
      <x:c r="A104" s="104"/>
      <x:c r="B104" s="104"/>
      <x:c r="C104" s="104"/>
      <x:c r="D104" s="108"/>
      <x:c r="E104" s="108"/>
      <x:c r="F104" s="108"/>
      <x:c r="G104" s="108"/>
      <x:c r="H104" s="108"/>
      <x:c r="I104" s="108"/>
      <x:c r="J104" s="108"/>
      <x:c r="K104" s="108"/>
      <x:c r="L104" s="108"/>
      <x:c r="M104" s="108"/>
      <x:c r="N104" s="44"/>
      <x:c r="O104" s="44"/>
      <x:c r="P104" s="44"/>
      <x:c r="Q104" s="44"/>
      <x:c r="R104" s="44"/>
      <x:c r="S104" s="44"/>
      <x:c r="T104" s="44"/>
      <x:c r="U104" s="44"/>
      <x:c r="V104" s="44"/>
      <x:c r="W104" s="44"/>
      <x:c r="X104" s="112"/>
      <x:c r="Y104" s="112"/>
      <x:c r="Z104" s="112"/>
      <x:c r="AA104" s="112"/>
      <x:c r="AB104" s="96" t="str">
        <x:f>IF(B104="","",COUNTA(D104:M104)/10)</x:f>
      </x:c>
      <x:c r="AC104" s="44" t="str">
        <x:f>IF(B104="","",IF(AB104=1,"Completo",IF(AB104&gt;=0.6,"En desarrollo","Pendiente")))</x:f>
      </x:c>
      <x:c r="AD104" s="136"/>
      <x:c r="AE104" s="136"/>
      <x:c r="AF104" s="136"/>
      <x:c r="AG104" s="136"/>
      <x:c r="AH104" s="138"/>
      <x:c r="AI104" s="138"/>
      <x:c r="AJ104" s="138"/>
      <x:c r="AK104" s="136"/>
      <x:c r="AL104" s="136"/>
      <x:c r="AM104" s="136"/>
      <x:c r="AN104" s="136"/>
      <x:c r="AO104" s="136"/>
      <x:c r="AP104" s="136"/>
      <x:c r="AQ104" s="136"/>
      <x:c r="AR104" s="136"/>
      <x:c r="AS104" s="136"/>
    </x:row>
    <x:row r="105">
      <x:c r="A105" s="104"/>
      <x:c r="B105" s="104"/>
      <x:c r="C105" s="104"/>
      <x:c r="D105" s="108"/>
      <x:c r="E105" s="108"/>
      <x:c r="F105" s="108"/>
      <x:c r="G105" s="108"/>
      <x:c r="H105" s="108"/>
      <x:c r="I105" s="108"/>
      <x:c r="J105" s="108"/>
      <x:c r="K105" s="108"/>
      <x:c r="L105" s="108"/>
      <x:c r="M105" s="108"/>
      <x:c r="N105" s="44"/>
      <x:c r="O105" s="44"/>
      <x:c r="P105" s="44"/>
      <x:c r="Q105" s="44"/>
      <x:c r="R105" s="44"/>
      <x:c r="S105" s="44"/>
      <x:c r="T105" s="44"/>
      <x:c r="U105" s="44"/>
      <x:c r="V105" s="44"/>
      <x:c r="W105" s="44"/>
      <x:c r="X105" s="112"/>
      <x:c r="Y105" s="112"/>
      <x:c r="Z105" s="112"/>
      <x:c r="AA105" s="112"/>
      <x:c r="AB105" s="96" t="str">
        <x:f>IF(B105="","",COUNTA(D105:M105)/10)</x:f>
      </x:c>
      <x:c r="AC105" s="44" t="str">
        <x:f>IF(B105="","",IF(AB105=1,"Completo",IF(AB105&gt;=0.6,"En desarrollo","Pendiente")))</x:f>
      </x:c>
      <x:c r="AD105" s="136"/>
      <x:c r="AE105" s="136"/>
      <x:c r="AF105" s="136"/>
      <x:c r="AG105" s="136"/>
      <x:c r="AH105" s="138"/>
      <x:c r="AI105" s="138"/>
      <x:c r="AJ105" s="138"/>
      <x:c r="AK105" s="136"/>
      <x:c r="AL105" s="136"/>
      <x:c r="AM105" s="136"/>
      <x:c r="AN105" s="136"/>
      <x:c r="AO105" s="136"/>
      <x:c r="AP105" s="136"/>
      <x:c r="AQ105" s="136"/>
      <x:c r="AR105" s="136"/>
      <x:c r="AS105" s="136"/>
    </x:row>
    <x:row r="106">
      <x:c r="A106" s="104"/>
      <x:c r="B106" s="104"/>
      <x:c r="C106" s="104"/>
      <x:c r="D106" s="108"/>
      <x:c r="E106" s="108"/>
      <x:c r="F106" s="108"/>
      <x:c r="G106" s="108"/>
      <x:c r="H106" s="108"/>
      <x:c r="I106" s="108"/>
      <x:c r="J106" s="108"/>
      <x:c r="K106" s="108"/>
      <x:c r="L106" s="108"/>
      <x:c r="M106" s="108"/>
      <x:c r="N106" s="44"/>
      <x:c r="O106" s="44"/>
      <x:c r="P106" s="44"/>
      <x:c r="Q106" s="44"/>
      <x:c r="R106" s="44"/>
      <x:c r="S106" s="44"/>
      <x:c r="T106" s="44"/>
      <x:c r="U106" s="44"/>
      <x:c r="V106" s="44"/>
      <x:c r="W106" s="44"/>
      <x:c r="X106" s="112"/>
      <x:c r="Y106" s="112"/>
      <x:c r="Z106" s="112"/>
      <x:c r="AA106" s="112"/>
      <x:c r="AB106" s="96" t="str">
        <x:f>IF(B106="","",COUNTA(D106:M106)/10)</x:f>
      </x:c>
      <x:c r="AC106" s="44" t="str">
        <x:f>IF(B106="","",IF(AB106=1,"Completo",IF(AB106&gt;=0.6,"En desarrollo","Pendiente")))</x:f>
      </x:c>
      <x:c r="AD106" s="136"/>
      <x:c r="AE106" s="136"/>
      <x:c r="AF106" s="136"/>
      <x:c r="AG106" s="136"/>
      <x:c r="AH106" s="138"/>
      <x:c r="AI106" s="138"/>
      <x:c r="AJ106" s="138"/>
      <x:c r="AK106" s="136"/>
      <x:c r="AL106" s="136"/>
      <x:c r="AM106" s="136"/>
      <x:c r="AN106" s="136"/>
      <x:c r="AO106" s="136"/>
      <x:c r="AP106" s="136"/>
      <x:c r="AQ106" s="136"/>
      <x:c r="AR106" s="136"/>
      <x:c r="AS106" s="136"/>
    </x:row>
    <x:row r="107">
      <x:c r="A107" s="104"/>
      <x:c r="B107" s="104"/>
      <x:c r="C107" s="104"/>
      <x:c r="D107" s="108"/>
      <x:c r="E107" s="108"/>
      <x:c r="F107" s="108"/>
      <x:c r="G107" s="108"/>
      <x:c r="H107" s="108"/>
      <x:c r="I107" s="108"/>
      <x:c r="J107" s="108"/>
      <x:c r="K107" s="108"/>
      <x:c r="L107" s="108"/>
      <x:c r="M107" s="108"/>
      <x:c r="N107" s="44"/>
      <x:c r="O107" s="44"/>
      <x:c r="P107" s="44"/>
      <x:c r="Q107" s="44"/>
      <x:c r="R107" s="44"/>
      <x:c r="S107" s="44"/>
      <x:c r="T107" s="44"/>
      <x:c r="U107" s="44"/>
      <x:c r="V107" s="44"/>
      <x:c r="W107" s="44"/>
      <x:c r="X107" s="112"/>
      <x:c r="Y107" s="112"/>
      <x:c r="Z107" s="112"/>
      <x:c r="AA107" s="112"/>
      <x:c r="AB107" s="96" t="str">
        <x:f>IF(B107="","",COUNTA(D107:M107)/10)</x:f>
      </x:c>
      <x:c r="AC107" s="44" t="str">
        <x:f>IF(B107="","",IF(AB107=1,"Completo",IF(AB107&gt;=0.6,"En desarrollo","Pendiente")))</x:f>
      </x:c>
      <x:c r="AD107" s="136"/>
      <x:c r="AE107" s="136"/>
      <x:c r="AF107" s="136"/>
      <x:c r="AG107" s="136"/>
      <x:c r="AH107" s="138"/>
      <x:c r="AI107" s="138"/>
      <x:c r="AJ107" s="138"/>
      <x:c r="AK107" s="136"/>
      <x:c r="AL107" s="136"/>
      <x:c r="AM107" s="136"/>
      <x:c r="AN107" s="136"/>
      <x:c r="AO107" s="136"/>
      <x:c r="AP107" s="136"/>
      <x:c r="AQ107" s="136"/>
      <x:c r="AR107" s="136"/>
      <x:c r="AS107" s="136"/>
    </x:row>
    <x:row r="108">
      <x:c r="A108" s="104"/>
      <x:c r="B108" s="104"/>
      <x:c r="C108" s="104"/>
      <x:c r="D108" s="108"/>
      <x:c r="E108" s="108"/>
      <x:c r="F108" s="108"/>
      <x:c r="G108" s="108"/>
      <x:c r="H108" s="108"/>
      <x:c r="I108" s="108"/>
      <x:c r="J108" s="108"/>
      <x:c r="K108" s="108"/>
      <x:c r="L108" s="108"/>
      <x:c r="M108" s="108"/>
      <x:c r="N108" s="44"/>
      <x:c r="O108" s="44"/>
      <x:c r="P108" s="44"/>
      <x:c r="Q108" s="44"/>
      <x:c r="R108" s="44"/>
      <x:c r="S108" s="44"/>
      <x:c r="T108" s="44"/>
      <x:c r="U108" s="44"/>
      <x:c r="V108" s="44"/>
      <x:c r="W108" s="44"/>
      <x:c r="X108" s="112"/>
      <x:c r="Y108" s="112"/>
      <x:c r="Z108" s="112"/>
      <x:c r="AA108" s="112"/>
      <x:c r="AB108" s="96" t="str">
        <x:f>IF(B108="","",COUNTA(D108:M108)/10)</x:f>
      </x:c>
      <x:c r="AC108" s="44" t="str">
        <x:f>IF(B108="","",IF(AB108=1,"Completo",IF(AB108&gt;=0.6,"En desarrollo","Pendiente")))</x:f>
      </x:c>
      <x:c r="AD108" s="136"/>
      <x:c r="AE108" s="136"/>
      <x:c r="AF108" s="136"/>
      <x:c r="AG108" s="136"/>
      <x:c r="AH108" s="138"/>
      <x:c r="AI108" s="138"/>
      <x:c r="AJ108" s="138"/>
      <x:c r="AK108" s="136"/>
      <x:c r="AL108" s="136"/>
      <x:c r="AM108" s="136"/>
      <x:c r="AN108" s="136"/>
      <x:c r="AO108" s="136"/>
      <x:c r="AP108" s="136"/>
      <x:c r="AQ108" s="136"/>
      <x:c r="AR108" s="136"/>
      <x:c r="AS108" s="136"/>
    </x:row>
    <x:row r="109">
      <x:c r="A109" s="104"/>
      <x:c r="B109" s="104"/>
      <x:c r="C109" s="104"/>
      <x:c r="D109" s="108"/>
      <x:c r="E109" s="108"/>
      <x:c r="F109" s="108"/>
      <x:c r="G109" s="108"/>
      <x:c r="H109" s="108"/>
      <x:c r="I109" s="108"/>
      <x:c r="J109" s="108"/>
      <x:c r="K109" s="108"/>
      <x:c r="L109" s="108"/>
      <x:c r="M109" s="108"/>
      <x:c r="N109" s="44"/>
      <x:c r="O109" s="44"/>
      <x:c r="P109" s="44"/>
      <x:c r="Q109" s="44"/>
      <x:c r="R109" s="44"/>
      <x:c r="S109" s="44"/>
      <x:c r="T109" s="44"/>
      <x:c r="U109" s="44"/>
      <x:c r="V109" s="44"/>
      <x:c r="W109" s="44"/>
      <x:c r="X109" s="112"/>
      <x:c r="Y109" s="112"/>
      <x:c r="Z109" s="112"/>
      <x:c r="AA109" s="112"/>
      <x:c r="AB109" s="96" t="str">
        <x:f>IF(B109="","",COUNTA(D109:M109)/10)</x:f>
      </x:c>
      <x:c r="AC109" s="44" t="str">
        <x:f>IF(B109="","",IF(AB109=1,"Completo",IF(AB109&gt;=0.6,"En desarrollo","Pendiente")))</x:f>
      </x:c>
      <x:c r="AD109" s="136"/>
      <x:c r="AE109" s="136"/>
      <x:c r="AF109" s="136"/>
      <x:c r="AG109" s="136"/>
      <x:c r="AH109" s="138"/>
      <x:c r="AI109" s="138"/>
      <x:c r="AJ109" s="138"/>
      <x:c r="AK109" s="136"/>
      <x:c r="AL109" s="136"/>
      <x:c r="AM109" s="136"/>
      <x:c r="AN109" s="136"/>
      <x:c r="AO109" s="136"/>
      <x:c r="AP109" s="136"/>
      <x:c r="AQ109" s="136"/>
      <x:c r="AR109" s="136"/>
      <x:c r="AS109" s="136"/>
    </x:row>
    <x:row r="110">
      <x:c r="A110" s="104"/>
      <x:c r="B110" s="104"/>
      <x:c r="C110" s="104"/>
      <x:c r="D110" s="108"/>
      <x:c r="E110" s="108"/>
      <x:c r="F110" s="108"/>
      <x:c r="G110" s="108"/>
      <x:c r="H110" s="108"/>
      <x:c r="I110" s="108"/>
      <x:c r="J110" s="108"/>
      <x:c r="K110" s="108"/>
      <x:c r="L110" s="108"/>
      <x:c r="M110" s="108"/>
      <x:c r="N110" s="44"/>
      <x:c r="O110" s="44"/>
      <x:c r="P110" s="44"/>
      <x:c r="Q110" s="44"/>
      <x:c r="R110" s="44"/>
      <x:c r="S110" s="44"/>
      <x:c r="T110" s="44"/>
      <x:c r="U110" s="44"/>
      <x:c r="V110" s="44"/>
      <x:c r="W110" s="44"/>
      <x:c r="X110" s="112"/>
      <x:c r="Y110" s="112"/>
      <x:c r="Z110" s="112"/>
      <x:c r="AA110" s="112"/>
      <x:c r="AB110" s="96" t="str">
        <x:f>IF(B110="","",COUNTA(D110:M110)/10)</x:f>
      </x:c>
      <x:c r="AC110" s="44" t="str">
        <x:f>IF(B110="","",IF(AB110=1,"Completo",IF(AB110&gt;=0.6,"En desarrollo","Pendiente")))</x:f>
      </x:c>
      <x:c r="AD110" s="136"/>
      <x:c r="AE110" s="136"/>
      <x:c r="AF110" s="136"/>
      <x:c r="AG110" s="136"/>
      <x:c r="AH110" s="138"/>
      <x:c r="AI110" s="138"/>
      <x:c r="AJ110" s="138"/>
      <x:c r="AK110" s="136"/>
      <x:c r="AL110" s="136"/>
      <x:c r="AM110" s="136"/>
      <x:c r="AN110" s="136"/>
      <x:c r="AO110" s="136"/>
      <x:c r="AP110" s="136"/>
      <x:c r="AQ110" s="136"/>
      <x:c r="AR110" s="136"/>
      <x:c r="AS110" s="136"/>
    </x:row>
    <x:row r="111">
      <x:c r="A111" s="104"/>
      <x:c r="B111" s="104"/>
      <x:c r="C111" s="104"/>
      <x:c r="D111" s="108"/>
      <x:c r="E111" s="108"/>
      <x:c r="F111" s="108"/>
      <x:c r="G111" s="108"/>
      <x:c r="H111" s="108"/>
      <x:c r="I111" s="108"/>
      <x:c r="J111" s="108"/>
      <x:c r="K111" s="108"/>
      <x:c r="L111" s="108"/>
      <x:c r="M111" s="108"/>
      <x:c r="N111" s="44"/>
      <x:c r="O111" s="44"/>
      <x:c r="P111" s="44"/>
      <x:c r="Q111" s="44"/>
      <x:c r="R111" s="44"/>
      <x:c r="S111" s="44"/>
      <x:c r="T111" s="44"/>
      <x:c r="U111" s="44"/>
      <x:c r="V111" s="44"/>
      <x:c r="W111" s="44"/>
      <x:c r="X111" s="112"/>
      <x:c r="Y111" s="112"/>
      <x:c r="Z111" s="112"/>
      <x:c r="AA111" s="112"/>
      <x:c r="AB111" s="96" t="str">
        <x:f>IF(B111="","",COUNTA(D111:M111)/10)</x:f>
      </x:c>
      <x:c r="AC111" s="44" t="str">
        <x:f>IF(B111="","",IF(AB111=1,"Completo",IF(AB111&gt;=0.6,"En desarrollo","Pendiente")))</x:f>
      </x:c>
      <x:c r="AD111" s="136"/>
      <x:c r="AE111" s="136"/>
      <x:c r="AF111" s="136"/>
      <x:c r="AG111" s="136"/>
      <x:c r="AH111" s="138"/>
      <x:c r="AI111" s="138"/>
      <x:c r="AJ111" s="138"/>
      <x:c r="AK111" s="136"/>
      <x:c r="AL111" s="136"/>
      <x:c r="AM111" s="136"/>
      <x:c r="AN111" s="136"/>
      <x:c r="AO111" s="136"/>
      <x:c r="AP111" s="136"/>
      <x:c r="AQ111" s="136"/>
      <x:c r="AR111" s="136"/>
      <x:c r="AS111" s="136"/>
    </x:row>
    <x:row r="112">
      <x:c r="A112" s="104"/>
      <x:c r="B112" s="104"/>
      <x:c r="C112" s="104"/>
      <x:c r="D112" s="108"/>
      <x:c r="E112" s="108"/>
      <x:c r="F112" s="108"/>
      <x:c r="G112" s="108"/>
      <x:c r="H112" s="108"/>
      <x:c r="I112" s="108"/>
      <x:c r="J112" s="108"/>
      <x:c r="K112" s="108"/>
      <x:c r="L112" s="108"/>
      <x:c r="M112" s="108"/>
      <x:c r="N112" s="44"/>
      <x:c r="O112" s="44"/>
      <x:c r="P112" s="44"/>
      <x:c r="Q112" s="44"/>
      <x:c r="R112" s="44"/>
      <x:c r="S112" s="44"/>
      <x:c r="T112" s="44"/>
      <x:c r="U112" s="44"/>
      <x:c r="V112" s="44"/>
      <x:c r="W112" s="44"/>
      <x:c r="X112" s="112"/>
      <x:c r="Y112" s="112"/>
      <x:c r="Z112" s="112"/>
      <x:c r="AA112" s="112"/>
      <x:c r="AB112" s="96" t="str">
        <x:f>IF(B112="","",COUNTA(D112:M112)/10)</x:f>
      </x:c>
      <x:c r="AC112" s="44" t="str">
        <x:f>IF(B112="","",IF(AB112=1,"Completo",IF(AB112&gt;=0.6,"En desarrollo","Pendiente")))</x:f>
      </x:c>
      <x:c r="AD112" s="136"/>
      <x:c r="AE112" s="136"/>
      <x:c r="AF112" s="136"/>
      <x:c r="AG112" s="136"/>
      <x:c r="AH112" s="138"/>
      <x:c r="AI112" s="138"/>
      <x:c r="AJ112" s="138"/>
      <x:c r="AK112" s="136"/>
      <x:c r="AL112" s="136"/>
      <x:c r="AM112" s="136"/>
      <x:c r="AN112" s="136"/>
      <x:c r="AO112" s="136"/>
      <x:c r="AP112" s="136"/>
      <x:c r="AQ112" s="136"/>
      <x:c r="AR112" s="136"/>
      <x:c r="AS112" s="136"/>
    </x:row>
    <x:row r="113">
      <x:c r="A113" s="104"/>
      <x:c r="B113" s="104"/>
      <x:c r="C113" s="104"/>
      <x:c r="D113" s="108"/>
      <x:c r="E113" s="108"/>
      <x:c r="F113" s="108"/>
      <x:c r="G113" s="108"/>
      <x:c r="H113" s="108"/>
      <x:c r="I113" s="108"/>
      <x:c r="J113" s="108"/>
      <x:c r="K113" s="108"/>
      <x:c r="L113" s="108"/>
      <x:c r="M113" s="108"/>
      <x:c r="N113" s="44"/>
      <x:c r="O113" s="44"/>
      <x:c r="P113" s="44"/>
      <x:c r="Q113" s="44"/>
      <x:c r="R113" s="44"/>
      <x:c r="S113" s="44"/>
      <x:c r="T113" s="44"/>
      <x:c r="U113" s="44"/>
      <x:c r="V113" s="44"/>
      <x:c r="W113" s="44"/>
      <x:c r="X113" s="112"/>
      <x:c r="Y113" s="112"/>
      <x:c r="Z113" s="112"/>
      <x:c r="AA113" s="112"/>
      <x:c r="AB113" s="96" t="str">
        <x:f>IF(B113="","",COUNTA(D113:M113)/10)</x:f>
      </x:c>
      <x:c r="AC113" s="44" t="str">
        <x:f>IF(B113="","",IF(AB113=1,"Completo",IF(AB113&gt;=0.6,"En desarrollo","Pendiente")))</x:f>
      </x:c>
      <x:c r="AD113" s="136"/>
      <x:c r="AE113" s="136"/>
      <x:c r="AF113" s="136"/>
      <x:c r="AG113" s="136"/>
      <x:c r="AH113" s="138"/>
      <x:c r="AI113" s="138"/>
      <x:c r="AJ113" s="138"/>
      <x:c r="AK113" s="136"/>
      <x:c r="AL113" s="136"/>
      <x:c r="AM113" s="136"/>
      <x:c r="AN113" s="136"/>
      <x:c r="AO113" s="136"/>
      <x:c r="AP113" s="136"/>
      <x:c r="AQ113" s="136"/>
      <x:c r="AR113" s="136"/>
      <x:c r="AS113" s="136"/>
    </x:row>
    <x:row r="114">
      <x:c r="A114" s="104"/>
      <x:c r="B114" s="104"/>
      <x:c r="C114" s="104"/>
      <x:c r="D114" s="108"/>
      <x:c r="E114" s="108"/>
      <x:c r="F114" s="108"/>
      <x:c r="G114" s="108"/>
      <x:c r="H114" s="108"/>
      <x:c r="I114" s="108"/>
      <x:c r="J114" s="108"/>
      <x:c r="K114" s="108"/>
      <x:c r="L114" s="108"/>
      <x:c r="M114" s="108"/>
      <x:c r="N114" s="44"/>
      <x:c r="O114" s="44"/>
      <x:c r="P114" s="44"/>
      <x:c r="Q114" s="44"/>
      <x:c r="R114" s="44"/>
      <x:c r="S114" s="44"/>
      <x:c r="T114" s="44"/>
      <x:c r="U114" s="44"/>
      <x:c r="V114" s="44"/>
      <x:c r="W114" s="44"/>
      <x:c r="X114" s="112"/>
      <x:c r="Y114" s="112"/>
      <x:c r="Z114" s="112"/>
      <x:c r="AA114" s="112"/>
      <x:c r="AB114" s="96" t="str">
        <x:f>IF(B114="","",COUNTA(D114:M114)/10)</x:f>
      </x:c>
      <x:c r="AC114" s="44" t="str">
        <x:f>IF(B114="","",IF(AB114=1,"Completo",IF(AB114&gt;=0.6,"En desarrollo","Pendiente")))</x:f>
      </x:c>
      <x:c r="AD114" s="136"/>
      <x:c r="AE114" s="136"/>
      <x:c r="AF114" s="136"/>
      <x:c r="AG114" s="136"/>
      <x:c r="AH114" s="138"/>
      <x:c r="AI114" s="138"/>
      <x:c r="AJ114" s="138"/>
      <x:c r="AK114" s="136"/>
      <x:c r="AL114" s="136"/>
      <x:c r="AM114" s="136"/>
      <x:c r="AN114" s="136"/>
      <x:c r="AO114" s="136"/>
      <x:c r="AP114" s="136"/>
      <x:c r="AQ114" s="136"/>
      <x:c r="AR114" s="136"/>
      <x:c r="AS114" s="136"/>
    </x:row>
    <x:row r="115">
      <x:c r="A115" s="104"/>
      <x:c r="B115" s="104"/>
      <x:c r="C115" s="104"/>
      <x:c r="D115" s="108"/>
      <x:c r="E115" s="108"/>
      <x:c r="F115" s="108"/>
      <x:c r="G115" s="108"/>
      <x:c r="H115" s="108"/>
      <x:c r="I115" s="108"/>
      <x:c r="J115" s="108"/>
      <x:c r="K115" s="108"/>
      <x:c r="L115" s="108"/>
      <x:c r="M115" s="108"/>
      <x:c r="N115" s="44"/>
      <x:c r="O115" s="44"/>
      <x:c r="P115" s="44"/>
      <x:c r="Q115" s="44"/>
      <x:c r="R115" s="44"/>
      <x:c r="S115" s="44"/>
      <x:c r="T115" s="44"/>
      <x:c r="U115" s="44"/>
      <x:c r="V115" s="44"/>
      <x:c r="W115" s="44"/>
      <x:c r="X115" s="112"/>
      <x:c r="Y115" s="112"/>
      <x:c r="Z115" s="112"/>
      <x:c r="AA115" s="112"/>
      <x:c r="AB115" s="96" t="str">
        <x:f>IF(B115="","",COUNTA(D115:M115)/10)</x:f>
      </x:c>
      <x:c r="AC115" s="44" t="str">
        <x:f>IF(B115="","",IF(AB115=1,"Completo",IF(AB115&gt;=0.6,"En desarrollo","Pendiente")))</x:f>
      </x:c>
      <x:c r="AD115" s="136"/>
      <x:c r="AE115" s="136"/>
      <x:c r="AF115" s="136"/>
      <x:c r="AG115" s="136"/>
      <x:c r="AH115" s="138"/>
      <x:c r="AI115" s="138"/>
      <x:c r="AJ115" s="138"/>
      <x:c r="AK115" s="136"/>
      <x:c r="AL115" s="136"/>
      <x:c r="AM115" s="136"/>
      <x:c r="AN115" s="136"/>
      <x:c r="AO115" s="136"/>
      <x:c r="AP115" s="136"/>
      <x:c r="AQ115" s="136"/>
      <x:c r="AR115" s="136"/>
      <x:c r="AS115" s="136"/>
    </x:row>
    <x:row r="116">
      <x:c r="A116" s="104"/>
      <x:c r="B116" s="104"/>
      <x:c r="C116" s="104"/>
      <x:c r="D116" s="108"/>
      <x:c r="E116" s="108"/>
      <x:c r="F116" s="108"/>
      <x:c r="G116" s="108"/>
      <x:c r="H116" s="108"/>
      <x:c r="I116" s="108"/>
      <x:c r="J116" s="108"/>
      <x:c r="K116" s="108"/>
      <x:c r="L116" s="108"/>
      <x:c r="M116" s="108"/>
      <x:c r="N116" s="44"/>
      <x:c r="O116" s="44"/>
      <x:c r="P116" s="44"/>
      <x:c r="Q116" s="44"/>
      <x:c r="R116" s="44"/>
      <x:c r="S116" s="44"/>
      <x:c r="T116" s="44"/>
      <x:c r="U116" s="44"/>
      <x:c r="V116" s="44"/>
      <x:c r="W116" s="44"/>
      <x:c r="X116" s="112"/>
      <x:c r="Y116" s="112"/>
      <x:c r="Z116" s="112"/>
      <x:c r="AA116" s="112"/>
      <x:c r="AB116" s="96" t="str">
        <x:f>IF(B116="","",COUNTA(D116:M116)/10)</x:f>
      </x:c>
      <x:c r="AC116" s="44" t="str">
        <x:f>IF(B116="","",IF(AB116=1,"Completo",IF(AB116&gt;=0.6,"En desarrollo","Pendiente")))</x:f>
      </x:c>
      <x:c r="AD116" s="136"/>
      <x:c r="AE116" s="136"/>
      <x:c r="AF116" s="136"/>
      <x:c r="AG116" s="136"/>
      <x:c r="AH116" s="138"/>
      <x:c r="AI116" s="138"/>
      <x:c r="AJ116" s="138"/>
      <x:c r="AK116" s="136"/>
      <x:c r="AL116" s="136"/>
      <x:c r="AM116" s="136"/>
      <x:c r="AN116" s="136"/>
      <x:c r="AO116" s="136"/>
      <x:c r="AP116" s="136"/>
      <x:c r="AQ116" s="136"/>
      <x:c r="AR116" s="136"/>
      <x:c r="AS116" s="136"/>
    </x:row>
    <x:row r="117">
      <x:c r="A117" s="104"/>
      <x:c r="B117" s="104"/>
      <x:c r="C117" s="104"/>
      <x:c r="D117" s="108"/>
      <x:c r="E117" s="108"/>
      <x:c r="F117" s="108"/>
      <x:c r="G117" s="108"/>
      <x:c r="H117" s="108"/>
      <x:c r="I117" s="108"/>
      <x:c r="J117" s="108"/>
      <x:c r="K117" s="108"/>
      <x:c r="L117" s="108"/>
      <x:c r="M117" s="108"/>
      <x:c r="N117" s="44"/>
      <x:c r="O117" s="44"/>
      <x:c r="P117" s="44"/>
      <x:c r="Q117" s="44"/>
      <x:c r="R117" s="44"/>
      <x:c r="S117" s="44"/>
      <x:c r="T117" s="44"/>
      <x:c r="U117" s="44"/>
      <x:c r="V117" s="44"/>
      <x:c r="W117" s="44"/>
      <x:c r="X117" s="112"/>
      <x:c r="Y117" s="112"/>
      <x:c r="Z117" s="112"/>
      <x:c r="AA117" s="112"/>
      <x:c r="AB117" s="96" t="str">
        <x:f>IF(B117="","",COUNTA(D117:M117)/10)</x:f>
      </x:c>
      <x:c r="AC117" s="44" t="str">
        <x:f>IF(B117="","",IF(AB117=1,"Completo",IF(AB117&gt;=0.6,"En desarrollo","Pendiente")))</x:f>
      </x:c>
      <x:c r="AD117" s="136"/>
      <x:c r="AE117" s="136"/>
      <x:c r="AF117" s="136"/>
      <x:c r="AG117" s="136"/>
      <x:c r="AH117" s="138"/>
      <x:c r="AI117" s="138"/>
      <x:c r="AJ117" s="138"/>
      <x:c r="AK117" s="136"/>
      <x:c r="AL117" s="136"/>
      <x:c r="AM117" s="136"/>
      <x:c r="AN117" s="136"/>
      <x:c r="AO117" s="136"/>
      <x:c r="AP117" s="136"/>
      <x:c r="AQ117" s="136"/>
      <x:c r="AR117" s="136"/>
      <x:c r="AS117" s="136"/>
    </x:row>
    <x:row r="118">
      <x:c r="A118" s="104"/>
      <x:c r="B118" s="104"/>
      <x:c r="C118" s="104"/>
      <x:c r="D118" s="108"/>
      <x:c r="E118" s="108"/>
      <x:c r="F118" s="108"/>
      <x:c r="G118" s="108"/>
      <x:c r="H118" s="108"/>
      <x:c r="I118" s="108"/>
      <x:c r="J118" s="108"/>
      <x:c r="K118" s="108"/>
      <x:c r="L118" s="108"/>
      <x:c r="M118" s="108"/>
      <x:c r="N118" s="44"/>
      <x:c r="O118" s="44"/>
      <x:c r="P118" s="44"/>
      <x:c r="Q118" s="44"/>
      <x:c r="R118" s="44"/>
      <x:c r="S118" s="44"/>
      <x:c r="T118" s="44"/>
      <x:c r="U118" s="44"/>
      <x:c r="V118" s="44"/>
      <x:c r="W118" s="44"/>
      <x:c r="X118" s="112"/>
      <x:c r="Y118" s="112"/>
      <x:c r="Z118" s="112"/>
      <x:c r="AA118" s="112"/>
      <x:c r="AB118" s="96" t="str">
        <x:f>IF(B118="","",COUNTA(D118:M118)/10)</x:f>
      </x:c>
      <x:c r="AC118" s="44" t="str">
        <x:f>IF(B118="","",IF(AB118=1,"Completo",IF(AB118&gt;=0.6,"En desarrollo","Pendiente")))</x:f>
      </x:c>
      <x:c r="AD118" s="136"/>
      <x:c r="AE118" s="136"/>
      <x:c r="AF118" s="136"/>
      <x:c r="AG118" s="136"/>
      <x:c r="AH118" s="138"/>
      <x:c r="AI118" s="138"/>
      <x:c r="AJ118" s="138"/>
      <x:c r="AK118" s="136"/>
      <x:c r="AL118" s="136"/>
      <x:c r="AM118" s="136"/>
      <x:c r="AN118" s="136"/>
      <x:c r="AO118" s="136"/>
      <x:c r="AP118" s="136"/>
      <x:c r="AQ118" s="136"/>
      <x:c r="AR118" s="136"/>
      <x:c r="AS118" s="136"/>
    </x:row>
    <x:row r="119">
      <x:c r="A119" s="104"/>
      <x:c r="B119" s="104"/>
      <x:c r="C119" s="104"/>
      <x:c r="D119" s="108"/>
      <x:c r="E119" s="108"/>
      <x:c r="F119" s="108"/>
      <x:c r="G119" s="108"/>
      <x:c r="H119" s="108"/>
      <x:c r="I119" s="108"/>
      <x:c r="J119" s="108"/>
      <x:c r="K119" s="108"/>
      <x:c r="L119" s="108"/>
      <x:c r="M119" s="108"/>
      <x:c r="N119" s="44"/>
      <x:c r="O119" s="44"/>
      <x:c r="P119" s="44"/>
      <x:c r="Q119" s="44"/>
      <x:c r="R119" s="44"/>
      <x:c r="S119" s="44"/>
      <x:c r="T119" s="44"/>
      <x:c r="U119" s="44"/>
      <x:c r="V119" s="44"/>
      <x:c r="W119" s="44"/>
      <x:c r="X119" s="112"/>
      <x:c r="Y119" s="112"/>
      <x:c r="Z119" s="112"/>
      <x:c r="AA119" s="112"/>
      <x:c r="AB119" s="96" t="str">
        <x:f>IF(B119="","",COUNTA(D119:M119)/10)</x:f>
      </x:c>
      <x:c r="AC119" s="44" t="str">
        <x:f>IF(B119="","",IF(AB119=1,"Completo",IF(AB119&gt;=0.6,"En desarrollo","Pendiente")))</x:f>
      </x:c>
      <x:c r="AD119" s="136"/>
      <x:c r="AE119" s="136"/>
      <x:c r="AF119" s="136"/>
      <x:c r="AG119" s="136"/>
      <x:c r="AH119" s="138"/>
      <x:c r="AI119" s="138"/>
      <x:c r="AJ119" s="138"/>
      <x:c r="AK119" s="136"/>
      <x:c r="AL119" s="136"/>
      <x:c r="AM119" s="136"/>
      <x:c r="AN119" s="136"/>
      <x:c r="AO119" s="136"/>
      <x:c r="AP119" s="136"/>
      <x:c r="AQ119" s="136"/>
      <x:c r="AR119" s="136"/>
      <x:c r="AS119" s="136"/>
    </x:row>
    <x:row r="120">
      <x:c r="A120" s="104"/>
      <x:c r="B120" s="104"/>
      <x:c r="C120" s="104"/>
      <x:c r="D120" s="108"/>
      <x:c r="E120" s="108"/>
      <x:c r="F120" s="108"/>
      <x:c r="G120" s="108"/>
      <x:c r="H120" s="108"/>
      <x:c r="I120" s="108"/>
      <x:c r="J120" s="108"/>
      <x:c r="K120" s="108"/>
      <x:c r="L120" s="108"/>
      <x:c r="M120" s="108"/>
      <x:c r="N120" s="44"/>
      <x:c r="O120" s="44"/>
      <x:c r="P120" s="44"/>
      <x:c r="Q120" s="44"/>
      <x:c r="R120" s="44"/>
      <x:c r="S120" s="44"/>
      <x:c r="T120" s="44"/>
      <x:c r="U120" s="44"/>
      <x:c r="V120" s="44"/>
      <x:c r="W120" s="44"/>
      <x:c r="X120" s="112"/>
      <x:c r="Y120" s="112"/>
      <x:c r="Z120" s="112"/>
      <x:c r="AA120" s="112"/>
      <x:c r="AB120" s="96" t="str">
        <x:f>IF(B120="","",COUNTA(D120:M120)/10)</x:f>
      </x:c>
      <x:c r="AC120" s="44" t="str">
        <x:f>IF(B120="","",IF(AB120=1,"Completo",IF(AB120&gt;=0.6,"En desarrollo","Pendiente")))</x:f>
      </x:c>
      <x:c r="AD120" s="136"/>
      <x:c r="AE120" s="136"/>
      <x:c r="AF120" s="136"/>
      <x:c r="AG120" s="136"/>
      <x:c r="AH120" s="138"/>
      <x:c r="AI120" s="138"/>
      <x:c r="AJ120" s="138"/>
      <x:c r="AK120" s="136"/>
      <x:c r="AL120" s="136"/>
      <x:c r="AM120" s="136"/>
      <x:c r="AN120" s="136"/>
      <x:c r="AO120" s="136"/>
      <x:c r="AP120" s="136"/>
      <x:c r="AQ120" s="136"/>
      <x:c r="AR120" s="136"/>
      <x:c r="AS120" s="136"/>
    </x:row>
    <x:row r="121">
      <x:c r="A121" s="104"/>
      <x:c r="B121" s="104"/>
      <x:c r="C121" s="104"/>
      <x:c r="D121" s="108"/>
      <x:c r="E121" s="108"/>
      <x:c r="F121" s="108"/>
      <x:c r="G121" s="108"/>
      <x:c r="H121" s="108"/>
      <x:c r="I121" s="108"/>
      <x:c r="J121" s="108"/>
      <x:c r="K121" s="108"/>
      <x:c r="L121" s="108"/>
      <x:c r="M121" s="108"/>
      <x:c r="N121" s="44"/>
      <x:c r="O121" s="44"/>
      <x:c r="P121" s="44"/>
      <x:c r="Q121" s="44"/>
      <x:c r="R121" s="44"/>
      <x:c r="S121" s="44"/>
      <x:c r="T121" s="44"/>
      <x:c r="U121" s="44"/>
      <x:c r="V121" s="44"/>
      <x:c r="W121" s="44"/>
      <x:c r="X121" s="112"/>
      <x:c r="Y121" s="112"/>
      <x:c r="Z121" s="112"/>
      <x:c r="AA121" s="112"/>
      <x:c r="AB121" s="96" t="str">
        <x:f>IF(B121="","",COUNTA(D121:M121)/10)</x:f>
      </x:c>
      <x:c r="AC121" s="44" t="str">
        <x:f>IF(B121="","",IF(AB121=1,"Completo",IF(AB121&gt;=0.6,"En desarrollo","Pendiente")))</x:f>
      </x:c>
      <x:c r="AD121" s="136"/>
      <x:c r="AE121" s="136"/>
      <x:c r="AF121" s="136"/>
      <x:c r="AG121" s="136"/>
      <x:c r="AH121" s="138"/>
      <x:c r="AI121" s="138"/>
      <x:c r="AJ121" s="138"/>
      <x:c r="AK121" s="136"/>
      <x:c r="AL121" s="136"/>
      <x:c r="AM121" s="136"/>
      <x:c r="AN121" s="136"/>
      <x:c r="AO121" s="136"/>
      <x:c r="AP121" s="136"/>
      <x:c r="AQ121" s="136"/>
      <x:c r="AR121" s="136"/>
      <x:c r="AS121" s="136"/>
    </x:row>
    <x:row r="122">
      <x:c r="A122" s="104"/>
      <x:c r="B122" s="104"/>
      <x:c r="C122" s="104"/>
      <x:c r="D122" s="108"/>
      <x:c r="E122" s="108"/>
      <x:c r="F122" s="108"/>
      <x:c r="G122" s="108"/>
      <x:c r="H122" s="108"/>
      <x:c r="I122" s="108"/>
      <x:c r="J122" s="108"/>
      <x:c r="K122" s="108"/>
      <x:c r="L122" s="108"/>
      <x:c r="M122" s="108"/>
      <x:c r="N122" s="44"/>
      <x:c r="O122" s="44"/>
      <x:c r="P122" s="44"/>
      <x:c r="Q122" s="44"/>
      <x:c r="R122" s="44"/>
      <x:c r="S122" s="44"/>
      <x:c r="T122" s="44"/>
      <x:c r="U122" s="44"/>
      <x:c r="V122" s="44"/>
      <x:c r="W122" s="44"/>
      <x:c r="X122" s="112"/>
      <x:c r="Y122" s="112"/>
      <x:c r="Z122" s="112"/>
      <x:c r="AA122" s="112"/>
      <x:c r="AB122" s="96" t="str">
        <x:f>IF(B122="","",COUNTA(D122:M122)/10)</x:f>
      </x:c>
      <x:c r="AC122" s="44" t="str">
        <x:f>IF(B122="","",IF(AB122=1,"Completo",IF(AB122&gt;=0.6,"En desarrollo","Pendiente")))</x:f>
      </x:c>
      <x:c r="AD122" s="136"/>
      <x:c r="AE122" s="136"/>
      <x:c r="AF122" s="136"/>
      <x:c r="AG122" s="136"/>
      <x:c r="AH122" s="138"/>
      <x:c r="AI122" s="138"/>
      <x:c r="AJ122" s="138"/>
      <x:c r="AK122" s="136"/>
      <x:c r="AL122" s="136"/>
      <x:c r="AM122" s="136"/>
      <x:c r="AN122" s="136"/>
      <x:c r="AO122" s="136"/>
      <x:c r="AP122" s="136"/>
      <x:c r="AQ122" s="136"/>
      <x:c r="AR122" s="136"/>
      <x:c r="AS122" s="136"/>
    </x:row>
    <x:row r="123">
      <x:c r="A123" s="104"/>
      <x:c r="B123" s="104"/>
      <x:c r="C123" s="104"/>
      <x:c r="D123" s="108"/>
      <x:c r="E123" s="108"/>
      <x:c r="F123" s="108"/>
      <x:c r="G123" s="108"/>
      <x:c r="H123" s="108"/>
      <x:c r="I123" s="108"/>
      <x:c r="J123" s="108"/>
      <x:c r="K123" s="108"/>
      <x:c r="L123" s="108"/>
      <x:c r="M123" s="108"/>
      <x:c r="N123" s="44"/>
      <x:c r="O123" s="44"/>
      <x:c r="P123" s="44"/>
      <x:c r="Q123" s="44"/>
      <x:c r="R123" s="44"/>
      <x:c r="S123" s="44"/>
      <x:c r="T123" s="44"/>
      <x:c r="U123" s="44"/>
      <x:c r="V123" s="44"/>
      <x:c r="W123" s="44"/>
      <x:c r="X123" s="112"/>
      <x:c r="Y123" s="112"/>
      <x:c r="Z123" s="112"/>
      <x:c r="AA123" s="112"/>
      <x:c r="AB123" s="96" t="str">
        <x:f>IF(B123="","",COUNTA(D123:M123)/10)</x:f>
      </x:c>
      <x:c r="AC123" s="44" t="str">
        <x:f>IF(B123="","",IF(AB123=1,"Completo",IF(AB123&gt;=0.6,"En desarrollo","Pendiente")))</x:f>
      </x:c>
      <x:c r="AD123" s="136"/>
      <x:c r="AE123" s="136"/>
      <x:c r="AF123" s="136"/>
      <x:c r="AG123" s="136"/>
      <x:c r="AH123" s="138"/>
      <x:c r="AI123" s="138"/>
      <x:c r="AJ123" s="138"/>
      <x:c r="AK123" s="136"/>
      <x:c r="AL123" s="136"/>
      <x:c r="AM123" s="136"/>
      <x:c r="AN123" s="136"/>
      <x:c r="AO123" s="136"/>
      <x:c r="AP123" s="136"/>
      <x:c r="AQ123" s="136"/>
      <x:c r="AR123" s="136"/>
      <x:c r="AS123" s="136"/>
    </x:row>
    <x:row r="124">
      <x:c r="A124" s="104"/>
      <x:c r="B124" s="104"/>
      <x:c r="C124" s="104"/>
      <x:c r="D124" s="108"/>
      <x:c r="E124" s="108"/>
      <x:c r="F124" s="108"/>
      <x:c r="G124" s="108"/>
      <x:c r="H124" s="108"/>
      <x:c r="I124" s="108"/>
      <x:c r="J124" s="108"/>
      <x:c r="K124" s="108"/>
      <x:c r="L124" s="108"/>
      <x:c r="M124" s="108"/>
      <x:c r="N124" s="44"/>
      <x:c r="O124" s="44"/>
      <x:c r="P124" s="44"/>
      <x:c r="Q124" s="44"/>
      <x:c r="R124" s="44"/>
      <x:c r="S124" s="44"/>
      <x:c r="T124" s="44"/>
      <x:c r="U124" s="44"/>
      <x:c r="V124" s="44"/>
      <x:c r="W124" s="44"/>
      <x:c r="X124" s="112"/>
      <x:c r="Y124" s="112"/>
      <x:c r="Z124" s="112"/>
      <x:c r="AA124" s="112"/>
      <x:c r="AB124" s="96" t="str">
        <x:f>IF(B124="","",COUNTA(D124:M124)/10)</x:f>
      </x:c>
      <x:c r="AC124" s="44" t="str">
        <x:f>IF(B124="","",IF(AB124=1,"Completo",IF(AB124&gt;=0.6,"En desarrollo","Pendiente")))</x:f>
      </x:c>
      <x:c r="AD124" s="136"/>
      <x:c r="AE124" s="136"/>
      <x:c r="AF124" s="136"/>
      <x:c r="AG124" s="136"/>
      <x:c r="AH124" s="138"/>
      <x:c r="AI124" s="138"/>
      <x:c r="AJ124" s="138"/>
      <x:c r="AK124" s="136"/>
      <x:c r="AL124" s="136"/>
      <x:c r="AM124" s="136"/>
      <x:c r="AN124" s="136"/>
      <x:c r="AO124" s="136"/>
      <x:c r="AP124" s="136"/>
      <x:c r="AQ124" s="136"/>
      <x:c r="AR124" s="136"/>
      <x:c r="AS124" s="136"/>
    </x:row>
    <x:row r="125">
      <x:c r="A125" s="104"/>
      <x:c r="B125" s="104"/>
      <x:c r="C125" s="104"/>
      <x:c r="D125" s="108"/>
      <x:c r="E125" s="108"/>
      <x:c r="F125" s="108"/>
      <x:c r="G125" s="108"/>
      <x:c r="H125" s="108"/>
      <x:c r="I125" s="108"/>
      <x:c r="J125" s="108"/>
      <x:c r="K125" s="108"/>
      <x:c r="L125" s="108"/>
      <x:c r="M125" s="108"/>
      <x:c r="N125" s="44"/>
      <x:c r="O125" s="44"/>
      <x:c r="P125" s="44"/>
      <x:c r="Q125" s="44"/>
      <x:c r="R125" s="44"/>
      <x:c r="S125" s="44"/>
      <x:c r="T125" s="44"/>
      <x:c r="U125" s="44"/>
      <x:c r="V125" s="44"/>
      <x:c r="W125" s="44"/>
      <x:c r="X125" s="112"/>
      <x:c r="Y125" s="112"/>
      <x:c r="Z125" s="112"/>
      <x:c r="AA125" s="112"/>
      <x:c r="AB125" s="96" t="str">
        <x:f>IF(B125="","",COUNTA(D125:M125)/10)</x:f>
      </x:c>
      <x:c r="AC125" s="44" t="str">
        <x:f>IF(B125="","",IF(AB125=1,"Completo",IF(AB125&gt;=0.6,"En desarrollo","Pendiente")))</x:f>
      </x:c>
      <x:c r="AD125" s="136"/>
      <x:c r="AE125" s="136"/>
      <x:c r="AF125" s="136"/>
      <x:c r="AG125" s="136"/>
      <x:c r="AH125" s="138"/>
      <x:c r="AI125" s="138"/>
      <x:c r="AJ125" s="138"/>
      <x:c r="AK125" s="136"/>
      <x:c r="AL125" s="136"/>
      <x:c r="AM125" s="136"/>
      <x:c r="AN125" s="136"/>
      <x:c r="AO125" s="136"/>
      <x:c r="AP125" s="136"/>
      <x:c r="AQ125" s="136"/>
      <x:c r="AR125" s="136"/>
      <x:c r="AS125" s="136"/>
    </x:row>
    <x:row r="126">
      <x:c r="A126" s="104"/>
      <x:c r="B126" s="104"/>
      <x:c r="C126" s="104"/>
      <x:c r="D126" s="108"/>
      <x:c r="E126" s="108"/>
      <x:c r="F126" s="108"/>
      <x:c r="G126" s="108"/>
      <x:c r="H126" s="108"/>
      <x:c r="I126" s="108"/>
      <x:c r="J126" s="108"/>
      <x:c r="K126" s="108"/>
      <x:c r="L126" s="108"/>
      <x:c r="M126" s="108"/>
      <x:c r="N126" s="44"/>
      <x:c r="O126" s="44"/>
      <x:c r="P126" s="44"/>
      <x:c r="Q126" s="44"/>
      <x:c r="R126" s="44"/>
      <x:c r="S126" s="44"/>
      <x:c r="T126" s="44"/>
      <x:c r="U126" s="44"/>
      <x:c r="V126" s="44"/>
      <x:c r="W126" s="44"/>
      <x:c r="X126" s="112"/>
      <x:c r="Y126" s="112"/>
      <x:c r="Z126" s="112"/>
      <x:c r="AA126" s="112"/>
      <x:c r="AB126" s="96" t="str">
        <x:f>IF(B126="","",COUNTA(D126:M126)/10)</x:f>
      </x:c>
      <x:c r="AC126" s="44" t="str">
        <x:f>IF(B126="","",IF(AB126=1,"Completo",IF(AB126&gt;=0.6,"En desarrollo","Pendiente")))</x:f>
      </x:c>
      <x:c r="AD126" s="136"/>
      <x:c r="AE126" s="136"/>
      <x:c r="AF126" s="136"/>
      <x:c r="AG126" s="136"/>
      <x:c r="AH126" s="138"/>
      <x:c r="AI126" s="138"/>
      <x:c r="AJ126" s="138"/>
      <x:c r="AK126" s="136"/>
      <x:c r="AL126" s="136"/>
      <x:c r="AM126" s="136"/>
      <x:c r="AN126" s="136"/>
      <x:c r="AO126" s="136"/>
      <x:c r="AP126" s="136"/>
      <x:c r="AQ126" s="136"/>
      <x:c r="AR126" s="136"/>
      <x:c r="AS126" s="136"/>
    </x:row>
    <x:row r="127">
      <x:c r="A127" s="104"/>
      <x:c r="B127" s="104"/>
      <x:c r="C127" s="104"/>
      <x:c r="D127" s="108"/>
      <x:c r="E127" s="108"/>
      <x:c r="F127" s="108"/>
      <x:c r="G127" s="108"/>
      <x:c r="H127" s="108"/>
      <x:c r="I127" s="108"/>
      <x:c r="J127" s="108"/>
      <x:c r="K127" s="108"/>
      <x:c r="L127" s="108"/>
      <x:c r="M127" s="108"/>
      <x:c r="N127" s="44"/>
      <x:c r="O127" s="44"/>
      <x:c r="P127" s="44"/>
      <x:c r="Q127" s="44"/>
      <x:c r="R127" s="44"/>
      <x:c r="S127" s="44"/>
      <x:c r="T127" s="44"/>
      <x:c r="U127" s="44"/>
      <x:c r="V127" s="44"/>
      <x:c r="W127" s="44"/>
      <x:c r="X127" s="112"/>
      <x:c r="Y127" s="112"/>
      <x:c r="Z127" s="112"/>
      <x:c r="AA127" s="112"/>
      <x:c r="AB127" s="96" t="str">
        <x:f>IF(B127="","",COUNTA(D127:M127)/10)</x:f>
      </x:c>
      <x:c r="AC127" s="44" t="str">
        <x:f>IF(B127="","",IF(AB127=1,"Completo",IF(AB127&gt;=0.6,"En desarrollo","Pendiente")))</x:f>
      </x:c>
      <x:c r="AD127" s="136"/>
      <x:c r="AE127" s="136"/>
      <x:c r="AF127" s="136"/>
      <x:c r="AG127" s="136"/>
      <x:c r="AH127" s="138"/>
      <x:c r="AI127" s="138"/>
      <x:c r="AJ127" s="138"/>
      <x:c r="AK127" s="136"/>
      <x:c r="AL127" s="136"/>
      <x:c r="AM127" s="136"/>
      <x:c r="AN127" s="136"/>
      <x:c r="AO127" s="136"/>
      <x:c r="AP127" s="136"/>
      <x:c r="AQ127" s="136"/>
      <x:c r="AR127" s="136"/>
      <x:c r="AS127" s="136"/>
    </x:row>
    <x:row r="128">
      <x:c r="A128" s="104"/>
      <x:c r="B128" s="104"/>
      <x:c r="C128" s="104"/>
      <x:c r="D128" s="108"/>
      <x:c r="E128" s="108"/>
      <x:c r="F128" s="108"/>
      <x:c r="G128" s="108"/>
      <x:c r="H128" s="108"/>
      <x:c r="I128" s="108"/>
      <x:c r="J128" s="108"/>
      <x:c r="K128" s="108"/>
      <x:c r="L128" s="108"/>
      <x:c r="M128" s="108"/>
      <x:c r="N128" s="44"/>
      <x:c r="O128" s="44"/>
      <x:c r="P128" s="44"/>
      <x:c r="Q128" s="44"/>
      <x:c r="R128" s="44"/>
      <x:c r="S128" s="44"/>
      <x:c r="T128" s="44"/>
      <x:c r="U128" s="44"/>
      <x:c r="V128" s="44"/>
      <x:c r="W128" s="44"/>
      <x:c r="X128" s="112"/>
      <x:c r="Y128" s="112"/>
      <x:c r="Z128" s="112"/>
      <x:c r="AA128" s="112"/>
      <x:c r="AB128" s="96" t="str">
        <x:f>IF(B128="","",COUNTA(D128:M128)/10)</x:f>
      </x:c>
      <x:c r="AC128" s="44" t="str">
        <x:f>IF(B128="","",IF(AB128=1,"Completo",IF(AB128&gt;=0.6,"En desarrollo","Pendiente")))</x:f>
      </x:c>
      <x:c r="AD128" s="136"/>
      <x:c r="AE128" s="136"/>
      <x:c r="AF128" s="136"/>
      <x:c r="AG128" s="136"/>
      <x:c r="AH128" s="138"/>
      <x:c r="AI128" s="138"/>
      <x:c r="AJ128" s="138"/>
      <x:c r="AK128" s="136"/>
      <x:c r="AL128" s="136"/>
      <x:c r="AM128" s="136"/>
      <x:c r="AN128" s="136"/>
      <x:c r="AO128" s="136"/>
      <x:c r="AP128" s="136"/>
      <x:c r="AQ128" s="136"/>
      <x:c r="AR128" s="136"/>
      <x:c r="AS128" s="136"/>
    </x:row>
    <x:row r="129">
      <x:c r="A129" s="104"/>
      <x:c r="B129" s="104"/>
      <x:c r="C129" s="104"/>
      <x:c r="D129" s="108"/>
      <x:c r="E129" s="108"/>
      <x:c r="F129" s="108"/>
      <x:c r="G129" s="108"/>
      <x:c r="H129" s="108"/>
      <x:c r="I129" s="108"/>
      <x:c r="J129" s="108"/>
      <x:c r="K129" s="108"/>
      <x:c r="L129" s="108"/>
      <x:c r="M129" s="108"/>
      <x:c r="N129" s="44"/>
      <x:c r="O129" s="44"/>
      <x:c r="P129" s="44"/>
      <x:c r="Q129" s="44"/>
      <x:c r="R129" s="44"/>
      <x:c r="S129" s="44"/>
      <x:c r="T129" s="44"/>
      <x:c r="U129" s="44"/>
      <x:c r="V129" s="44"/>
      <x:c r="W129" s="44"/>
      <x:c r="X129" s="112"/>
      <x:c r="Y129" s="112"/>
      <x:c r="Z129" s="112"/>
      <x:c r="AA129" s="112"/>
      <x:c r="AB129" s="96" t="str">
        <x:f>IF(B129="","",COUNTA(D129:M129)/10)</x:f>
      </x:c>
      <x:c r="AC129" s="44" t="str">
        <x:f>IF(B129="","",IF(AB129=1,"Completo",IF(AB129&gt;=0.6,"En desarrollo","Pendiente")))</x:f>
      </x:c>
      <x:c r="AD129" s="136"/>
      <x:c r="AE129" s="136"/>
      <x:c r="AF129" s="136"/>
      <x:c r="AG129" s="136"/>
      <x:c r="AH129" s="138"/>
      <x:c r="AI129" s="138"/>
      <x:c r="AJ129" s="138"/>
      <x:c r="AK129" s="136"/>
      <x:c r="AL129" s="136"/>
      <x:c r="AM129" s="136"/>
      <x:c r="AN129" s="136"/>
      <x:c r="AO129" s="136"/>
      <x:c r="AP129" s="136"/>
      <x:c r="AQ129" s="136"/>
      <x:c r="AR129" s="136"/>
      <x:c r="AS129" s="136"/>
    </x:row>
    <x:row r="130">
      <x:c r="A130" s="104"/>
      <x:c r="B130" s="104"/>
      <x:c r="C130" s="104"/>
      <x:c r="D130" s="108"/>
      <x:c r="E130" s="108"/>
      <x:c r="F130" s="108"/>
      <x:c r="G130" s="108"/>
      <x:c r="H130" s="108"/>
      <x:c r="I130" s="108"/>
      <x:c r="J130" s="108"/>
      <x:c r="K130" s="108"/>
      <x:c r="L130" s="108"/>
      <x:c r="M130" s="108"/>
      <x:c r="N130" s="44"/>
      <x:c r="O130" s="44"/>
      <x:c r="P130" s="44"/>
      <x:c r="Q130" s="44"/>
      <x:c r="R130" s="44"/>
      <x:c r="S130" s="44"/>
      <x:c r="T130" s="44"/>
      <x:c r="U130" s="44"/>
      <x:c r="V130" s="44"/>
      <x:c r="W130" s="44"/>
      <x:c r="X130" s="112"/>
      <x:c r="Y130" s="112"/>
      <x:c r="Z130" s="112"/>
      <x:c r="AA130" s="112"/>
      <x:c r="AB130" s="96" t="str">
        <x:f>IF(B130="","",COUNTA(D130:M130)/10)</x:f>
      </x:c>
      <x:c r="AC130" s="44" t="str">
        <x:f>IF(B130="","",IF(AB130=1,"Completo",IF(AB130&gt;=0.6,"En desarrollo","Pendiente")))</x:f>
      </x:c>
      <x:c r="AD130" s="136"/>
      <x:c r="AE130" s="136"/>
      <x:c r="AF130" s="136"/>
      <x:c r="AG130" s="136"/>
      <x:c r="AH130" s="138"/>
      <x:c r="AI130" s="138"/>
      <x:c r="AJ130" s="138"/>
      <x:c r="AK130" s="136"/>
      <x:c r="AL130" s="136"/>
      <x:c r="AM130" s="136"/>
      <x:c r="AN130" s="136"/>
      <x:c r="AO130" s="136"/>
      <x:c r="AP130" s="136"/>
      <x:c r="AQ130" s="136"/>
      <x:c r="AR130" s="136"/>
      <x:c r="AS130" s="136"/>
    </x:row>
    <x:row r="131">
      <x:c r="A131" s="104"/>
      <x:c r="B131" s="104"/>
      <x:c r="C131" s="104"/>
      <x:c r="D131" s="108"/>
      <x:c r="E131" s="108"/>
      <x:c r="F131" s="108"/>
      <x:c r="G131" s="108"/>
      <x:c r="H131" s="108"/>
      <x:c r="I131" s="108"/>
      <x:c r="J131" s="108"/>
      <x:c r="K131" s="108"/>
      <x:c r="L131" s="108"/>
      <x:c r="M131" s="108"/>
      <x:c r="N131" s="44"/>
      <x:c r="O131" s="44"/>
      <x:c r="P131" s="44"/>
      <x:c r="Q131" s="44"/>
      <x:c r="R131" s="44"/>
      <x:c r="S131" s="44"/>
      <x:c r="T131" s="44"/>
      <x:c r="U131" s="44"/>
      <x:c r="V131" s="44"/>
      <x:c r="W131" s="44"/>
      <x:c r="X131" s="112"/>
      <x:c r="Y131" s="112"/>
      <x:c r="Z131" s="112"/>
      <x:c r="AA131" s="112"/>
      <x:c r="AB131" s="96" t="str">
        <x:f>IF(B131="","",COUNTA(D131:M131)/10)</x:f>
      </x:c>
      <x:c r="AC131" s="44" t="str">
        <x:f>IF(B131="","",IF(AB131=1,"Completo",IF(AB131&gt;=0.6,"En desarrollo","Pendiente")))</x:f>
      </x:c>
      <x:c r="AD131" s="136"/>
      <x:c r="AE131" s="136"/>
      <x:c r="AF131" s="136"/>
      <x:c r="AG131" s="136"/>
      <x:c r="AH131" s="138"/>
      <x:c r="AI131" s="138"/>
      <x:c r="AJ131" s="138"/>
      <x:c r="AK131" s="136"/>
      <x:c r="AL131" s="136"/>
      <x:c r="AM131" s="136"/>
      <x:c r="AN131" s="136"/>
      <x:c r="AO131" s="136"/>
      <x:c r="AP131" s="136"/>
      <x:c r="AQ131" s="136"/>
      <x:c r="AR131" s="136"/>
      <x:c r="AS131" s="136"/>
    </x:row>
    <x:row r="132">
      <x:c r="A132" s="104"/>
      <x:c r="B132" s="104"/>
      <x:c r="C132" s="104"/>
      <x:c r="D132" s="108"/>
      <x:c r="E132" s="108"/>
      <x:c r="F132" s="108"/>
      <x:c r="G132" s="108"/>
      <x:c r="H132" s="108"/>
      <x:c r="I132" s="108"/>
      <x:c r="J132" s="108"/>
      <x:c r="K132" s="108"/>
      <x:c r="L132" s="108"/>
      <x:c r="M132" s="108"/>
      <x:c r="N132" s="44"/>
      <x:c r="O132" s="44"/>
      <x:c r="P132" s="44"/>
      <x:c r="Q132" s="44"/>
      <x:c r="R132" s="44"/>
      <x:c r="S132" s="44"/>
      <x:c r="T132" s="44"/>
      <x:c r="U132" s="44"/>
      <x:c r="V132" s="44"/>
      <x:c r="W132" s="44"/>
      <x:c r="X132" s="112"/>
      <x:c r="Y132" s="112"/>
      <x:c r="Z132" s="112"/>
      <x:c r="AA132" s="112"/>
      <x:c r="AB132" s="96" t="str">
        <x:f>IF(B132="","",COUNTA(D132:M132)/10)</x:f>
      </x:c>
      <x:c r="AC132" s="44" t="str">
        <x:f>IF(B132="","",IF(AB132=1,"Completo",IF(AB132&gt;=0.6,"En desarrollo","Pendiente")))</x:f>
      </x:c>
      <x:c r="AD132" s="136"/>
      <x:c r="AE132" s="136"/>
      <x:c r="AF132" s="136"/>
      <x:c r="AG132" s="136"/>
      <x:c r="AH132" s="138"/>
      <x:c r="AI132" s="138"/>
      <x:c r="AJ132" s="138"/>
      <x:c r="AK132" s="136"/>
      <x:c r="AL132" s="136"/>
      <x:c r="AM132" s="136"/>
      <x:c r="AN132" s="136"/>
      <x:c r="AO132" s="136"/>
      <x:c r="AP132" s="136"/>
      <x:c r="AQ132" s="136"/>
      <x:c r="AR132" s="136"/>
      <x:c r="AS132" s="136"/>
    </x:row>
    <x:row r="133">
      <x:c r="A133" s="104"/>
      <x:c r="B133" s="104"/>
      <x:c r="C133" s="104"/>
      <x:c r="D133" s="108"/>
      <x:c r="E133" s="108"/>
      <x:c r="F133" s="108"/>
      <x:c r="G133" s="108"/>
      <x:c r="H133" s="108"/>
      <x:c r="I133" s="108"/>
      <x:c r="J133" s="108"/>
      <x:c r="K133" s="108"/>
      <x:c r="L133" s="108"/>
      <x:c r="M133" s="108"/>
      <x:c r="N133" s="44"/>
      <x:c r="O133" s="44"/>
      <x:c r="P133" s="44"/>
      <x:c r="Q133" s="44"/>
      <x:c r="R133" s="44"/>
      <x:c r="S133" s="44"/>
      <x:c r="T133" s="44"/>
      <x:c r="U133" s="44"/>
      <x:c r="V133" s="44"/>
      <x:c r="W133" s="44"/>
      <x:c r="X133" s="112"/>
      <x:c r="Y133" s="112"/>
      <x:c r="Z133" s="112"/>
      <x:c r="AA133" s="112"/>
      <x:c r="AB133" s="96" t="str">
        <x:f>IF(B133="","",COUNTA(D133:M133)/10)</x:f>
      </x:c>
      <x:c r="AC133" s="44" t="str">
        <x:f>IF(B133="","",IF(AB133=1,"Completo",IF(AB133&gt;=0.6,"En desarrollo","Pendiente")))</x:f>
      </x:c>
      <x:c r="AD133" s="136"/>
      <x:c r="AE133" s="136"/>
      <x:c r="AF133" s="136"/>
      <x:c r="AG133" s="136"/>
      <x:c r="AH133" s="138"/>
      <x:c r="AI133" s="138"/>
      <x:c r="AJ133" s="138"/>
      <x:c r="AK133" s="136"/>
      <x:c r="AL133" s="136"/>
      <x:c r="AM133" s="136"/>
      <x:c r="AN133" s="136"/>
      <x:c r="AO133" s="136"/>
      <x:c r="AP133" s="136"/>
      <x:c r="AQ133" s="136"/>
      <x:c r="AR133" s="136"/>
      <x:c r="AS133" s="136"/>
    </x:row>
    <x:row r="134">
      <x:c r="A134" s="104"/>
      <x:c r="B134" s="104"/>
      <x:c r="C134" s="104"/>
      <x:c r="D134" s="108"/>
      <x:c r="E134" s="108"/>
      <x:c r="F134" s="108"/>
      <x:c r="G134" s="108"/>
      <x:c r="H134" s="108"/>
      <x:c r="I134" s="108"/>
      <x:c r="J134" s="108"/>
      <x:c r="K134" s="108"/>
      <x:c r="L134" s="108"/>
      <x:c r="M134" s="108"/>
      <x:c r="N134" s="44"/>
      <x:c r="O134" s="44"/>
      <x:c r="P134" s="44"/>
      <x:c r="Q134" s="44"/>
      <x:c r="R134" s="44"/>
      <x:c r="S134" s="44"/>
      <x:c r="T134" s="44"/>
      <x:c r="U134" s="44"/>
      <x:c r="V134" s="44"/>
      <x:c r="W134" s="44"/>
      <x:c r="X134" s="112"/>
      <x:c r="Y134" s="112"/>
      <x:c r="Z134" s="112"/>
      <x:c r="AA134" s="112"/>
      <x:c r="AB134" s="96" t="str">
        <x:f>IF(B134="","",COUNTA(D134:M134)/10)</x:f>
      </x:c>
      <x:c r="AC134" s="44" t="str">
        <x:f>IF(B134="","",IF(AB134=1,"Completo",IF(AB134&gt;=0.6,"En desarrollo","Pendiente")))</x:f>
      </x:c>
      <x:c r="AD134" s="136"/>
      <x:c r="AE134" s="136"/>
      <x:c r="AF134" s="136"/>
      <x:c r="AG134" s="136"/>
      <x:c r="AH134" s="138"/>
      <x:c r="AI134" s="138"/>
      <x:c r="AJ134" s="138"/>
      <x:c r="AK134" s="136"/>
      <x:c r="AL134" s="136"/>
      <x:c r="AM134" s="136"/>
      <x:c r="AN134" s="136"/>
      <x:c r="AO134" s="136"/>
      <x:c r="AP134" s="136"/>
      <x:c r="AQ134" s="136"/>
      <x:c r="AR134" s="136"/>
      <x:c r="AS134" s="136"/>
    </x:row>
    <x:row r="135">
      <x:c r="A135" s="104"/>
      <x:c r="B135" s="104"/>
      <x:c r="C135" s="104"/>
      <x:c r="D135" s="108"/>
      <x:c r="E135" s="108"/>
      <x:c r="F135" s="108"/>
      <x:c r="G135" s="108"/>
      <x:c r="H135" s="108"/>
      <x:c r="I135" s="108"/>
      <x:c r="J135" s="108"/>
      <x:c r="K135" s="108"/>
      <x:c r="L135" s="108"/>
      <x:c r="M135" s="108"/>
      <x:c r="N135" s="44"/>
      <x:c r="O135" s="44"/>
      <x:c r="P135" s="44"/>
      <x:c r="Q135" s="44"/>
      <x:c r="R135" s="44"/>
      <x:c r="S135" s="44"/>
      <x:c r="T135" s="44"/>
      <x:c r="U135" s="44"/>
      <x:c r="V135" s="44"/>
      <x:c r="W135" s="44"/>
      <x:c r="X135" s="112"/>
      <x:c r="Y135" s="112"/>
      <x:c r="Z135" s="112"/>
      <x:c r="AA135" s="112"/>
      <x:c r="AB135" s="96" t="str">
        <x:f>IF(B135="","",COUNTA(D135:M135)/10)</x:f>
      </x:c>
      <x:c r="AC135" s="44" t="str">
        <x:f>IF(B135="","",IF(AB135=1,"Completo",IF(AB135&gt;=0.6,"En desarrollo","Pendiente")))</x:f>
      </x:c>
      <x:c r="AD135" s="136"/>
      <x:c r="AE135" s="136"/>
      <x:c r="AF135" s="136"/>
      <x:c r="AG135" s="136"/>
      <x:c r="AH135" s="138"/>
      <x:c r="AI135" s="138"/>
      <x:c r="AJ135" s="138"/>
      <x:c r="AK135" s="136"/>
      <x:c r="AL135" s="136"/>
      <x:c r="AM135" s="136"/>
      <x:c r="AN135" s="136"/>
      <x:c r="AO135" s="136"/>
      <x:c r="AP135" s="136"/>
      <x:c r="AQ135" s="136"/>
      <x:c r="AR135" s="136"/>
      <x:c r="AS135" s="136"/>
    </x:row>
    <x:row r="136">
      <x:c r="A136" s="104"/>
      <x:c r="B136" s="104"/>
      <x:c r="C136" s="104"/>
      <x:c r="D136" s="108"/>
      <x:c r="E136" s="108"/>
      <x:c r="F136" s="108"/>
      <x:c r="G136" s="108"/>
      <x:c r="H136" s="108"/>
      <x:c r="I136" s="108"/>
      <x:c r="J136" s="108"/>
      <x:c r="K136" s="108"/>
      <x:c r="L136" s="108"/>
      <x:c r="M136" s="108"/>
      <x:c r="N136" s="44"/>
      <x:c r="O136" s="44"/>
      <x:c r="P136" s="44"/>
      <x:c r="Q136" s="44"/>
      <x:c r="R136" s="44"/>
      <x:c r="S136" s="44"/>
      <x:c r="T136" s="44"/>
      <x:c r="U136" s="44"/>
      <x:c r="V136" s="44"/>
      <x:c r="W136" s="44"/>
      <x:c r="X136" s="112"/>
      <x:c r="Y136" s="112"/>
      <x:c r="Z136" s="112"/>
      <x:c r="AA136" s="112"/>
      <x:c r="AB136" s="96" t="str">
        <x:f>IF(B136="","",COUNTA(D136:M136)/10)</x:f>
      </x:c>
      <x:c r="AC136" s="44" t="str">
        <x:f>IF(B136="","",IF(AB136=1,"Completo",IF(AB136&gt;=0.6,"En desarrollo","Pendiente")))</x:f>
      </x:c>
      <x:c r="AD136" s="136"/>
      <x:c r="AE136" s="136"/>
      <x:c r="AF136" s="136"/>
      <x:c r="AG136" s="136"/>
      <x:c r="AH136" s="138"/>
      <x:c r="AI136" s="138"/>
      <x:c r="AJ136" s="138"/>
      <x:c r="AK136" s="136"/>
      <x:c r="AL136" s="136"/>
      <x:c r="AM136" s="136"/>
      <x:c r="AN136" s="136"/>
      <x:c r="AO136" s="136"/>
      <x:c r="AP136" s="136"/>
      <x:c r="AQ136" s="136"/>
      <x:c r="AR136" s="136"/>
      <x:c r="AS136" s="136"/>
    </x:row>
    <x:row r="137">
      <x:c r="A137" s="104"/>
      <x:c r="B137" s="104"/>
      <x:c r="C137" s="104"/>
      <x:c r="D137" s="108"/>
      <x:c r="E137" s="108"/>
      <x:c r="F137" s="108"/>
      <x:c r="G137" s="108"/>
      <x:c r="H137" s="108"/>
      <x:c r="I137" s="108"/>
      <x:c r="J137" s="108"/>
      <x:c r="K137" s="108"/>
      <x:c r="L137" s="108"/>
      <x:c r="M137" s="108"/>
      <x:c r="N137" s="44"/>
      <x:c r="O137" s="44"/>
      <x:c r="P137" s="44"/>
      <x:c r="Q137" s="44"/>
      <x:c r="R137" s="44"/>
      <x:c r="S137" s="44"/>
      <x:c r="T137" s="44"/>
      <x:c r="U137" s="44"/>
      <x:c r="V137" s="44"/>
      <x:c r="W137" s="44"/>
      <x:c r="X137" s="112"/>
      <x:c r="Y137" s="112"/>
      <x:c r="Z137" s="112"/>
      <x:c r="AA137" s="112"/>
      <x:c r="AB137" s="96" t="str">
        <x:f>IF(B137="","",COUNTA(D137:M137)/10)</x:f>
      </x:c>
      <x:c r="AC137" s="44" t="str">
        <x:f>IF(B137="","",IF(AB137=1,"Completo",IF(AB137&gt;=0.6,"En desarrollo","Pendiente")))</x:f>
      </x:c>
      <x:c r="AD137" s="136"/>
      <x:c r="AE137" s="136"/>
      <x:c r="AF137" s="136"/>
      <x:c r="AG137" s="136"/>
      <x:c r="AH137" s="138"/>
      <x:c r="AI137" s="138"/>
      <x:c r="AJ137" s="138"/>
      <x:c r="AK137" s="136"/>
      <x:c r="AL137" s="136"/>
      <x:c r="AM137" s="136"/>
      <x:c r="AN137" s="136"/>
      <x:c r="AO137" s="136"/>
      <x:c r="AP137" s="136"/>
      <x:c r="AQ137" s="136"/>
      <x:c r="AR137" s="136"/>
      <x:c r="AS137" s="136"/>
    </x:row>
    <x:row r="138">
      <x:c r="A138" s="104"/>
      <x:c r="B138" s="104"/>
      <x:c r="C138" s="104"/>
      <x:c r="D138" s="108"/>
      <x:c r="E138" s="108"/>
      <x:c r="F138" s="108"/>
      <x:c r="G138" s="108"/>
      <x:c r="H138" s="108"/>
      <x:c r="I138" s="108"/>
      <x:c r="J138" s="108"/>
      <x:c r="K138" s="108"/>
      <x:c r="L138" s="108"/>
      <x:c r="M138" s="108"/>
      <x:c r="N138" s="44"/>
      <x:c r="O138" s="44"/>
      <x:c r="P138" s="44"/>
      <x:c r="Q138" s="44"/>
      <x:c r="R138" s="44"/>
      <x:c r="S138" s="44"/>
      <x:c r="T138" s="44"/>
      <x:c r="U138" s="44"/>
      <x:c r="V138" s="44"/>
      <x:c r="W138" s="44"/>
      <x:c r="X138" s="112"/>
      <x:c r="Y138" s="112"/>
      <x:c r="Z138" s="112"/>
      <x:c r="AA138" s="112"/>
      <x:c r="AB138" s="96" t="str">
        <x:f>IF(B138="","",COUNTA(D138:M138)/10)</x:f>
      </x:c>
      <x:c r="AC138" s="44" t="str">
        <x:f>IF(B138="","",IF(AB138=1,"Completo",IF(AB138&gt;=0.6,"En desarrollo","Pendiente")))</x:f>
      </x:c>
      <x:c r="AD138" s="136"/>
      <x:c r="AE138" s="136"/>
      <x:c r="AF138" s="136"/>
      <x:c r="AG138" s="136"/>
      <x:c r="AH138" s="138"/>
      <x:c r="AI138" s="138"/>
      <x:c r="AJ138" s="138"/>
      <x:c r="AK138" s="136"/>
      <x:c r="AL138" s="136"/>
      <x:c r="AM138" s="136"/>
      <x:c r="AN138" s="136"/>
      <x:c r="AO138" s="136"/>
      <x:c r="AP138" s="136"/>
      <x:c r="AQ138" s="136"/>
      <x:c r="AR138" s="136"/>
      <x:c r="AS138" s="136"/>
    </x:row>
    <x:row r="139">
      <x:c r="A139" s="104"/>
      <x:c r="B139" s="104"/>
      <x:c r="C139" s="104"/>
      <x:c r="D139" s="108"/>
      <x:c r="E139" s="108"/>
      <x:c r="F139" s="108"/>
      <x:c r="G139" s="108"/>
      <x:c r="H139" s="108"/>
      <x:c r="I139" s="108"/>
      <x:c r="J139" s="108"/>
      <x:c r="K139" s="108"/>
      <x:c r="L139" s="108"/>
      <x:c r="M139" s="108"/>
      <x:c r="N139" s="44"/>
      <x:c r="O139" s="44"/>
      <x:c r="P139" s="44"/>
      <x:c r="Q139" s="44"/>
      <x:c r="R139" s="44"/>
      <x:c r="S139" s="44"/>
      <x:c r="T139" s="44"/>
      <x:c r="U139" s="44"/>
      <x:c r="V139" s="44"/>
      <x:c r="W139" s="44"/>
      <x:c r="X139" s="112"/>
      <x:c r="Y139" s="112"/>
      <x:c r="Z139" s="112"/>
      <x:c r="AA139" s="112"/>
      <x:c r="AB139" s="96" t="str">
        <x:f>IF(B139="","",COUNTA(D139:M139)/10)</x:f>
      </x:c>
      <x:c r="AC139" s="44" t="str">
        <x:f>IF(B139="","",IF(AB139=1,"Completo",IF(AB139&gt;=0.6,"En desarrollo","Pendiente")))</x:f>
      </x:c>
      <x:c r="AD139" s="136"/>
      <x:c r="AE139" s="136"/>
      <x:c r="AF139" s="136"/>
      <x:c r="AG139" s="136"/>
      <x:c r="AH139" s="138"/>
      <x:c r="AI139" s="138"/>
      <x:c r="AJ139" s="138"/>
      <x:c r="AK139" s="136"/>
      <x:c r="AL139" s="136"/>
      <x:c r="AM139" s="136"/>
      <x:c r="AN139" s="136"/>
      <x:c r="AO139" s="136"/>
      <x:c r="AP139" s="136"/>
      <x:c r="AQ139" s="136"/>
      <x:c r="AR139" s="136"/>
      <x:c r="AS139" s="136"/>
    </x:row>
    <x:row r="140">
      <x:c r="A140" s="104"/>
      <x:c r="B140" s="104"/>
      <x:c r="C140" s="104"/>
      <x:c r="D140" s="108"/>
      <x:c r="E140" s="108"/>
      <x:c r="F140" s="108"/>
      <x:c r="G140" s="108"/>
      <x:c r="H140" s="108"/>
      <x:c r="I140" s="108"/>
      <x:c r="J140" s="108"/>
      <x:c r="K140" s="108"/>
      <x:c r="L140" s="108"/>
      <x:c r="M140" s="108"/>
      <x:c r="N140" s="44"/>
      <x:c r="O140" s="44"/>
      <x:c r="P140" s="44"/>
      <x:c r="Q140" s="44"/>
      <x:c r="R140" s="44"/>
      <x:c r="S140" s="44"/>
      <x:c r="T140" s="44"/>
      <x:c r="U140" s="44"/>
      <x:c r="V140" s="44"/>
      <x:c r="W140" s="44"/>
      <x:c r="X140" s="112"/>
      <x:c r="Y140" s="112"/>
      <x:c r="Z140" s="112"/>
      <x:c r="AA140" s="112"/>
      <x:c r="AB140" s="96" t="str">
        <x:f>IF(B140="","",COUNTA(D140:M140)/10)</x:f>
      </x:c>
      <x:c r="AC140" s="44" t="str">
        <x:f>IF(B140="","",IF(AB140=1,"Completo",IF(AB140&gt;=0.6,"En desarrollo","Pendiente")))</x:f>
      </x:c>
      <x:c r="AD140" s="136"/>
      <x:c r="AE140" s="136"/>
      <x:c r="AF140" s="136"/>
      <x:c r="AG140" s="136"/>
      <x:c r="AH140" s="138"/>
      <x:c r="AI140" s="138"/>
      <x:c r="AJ140" s="138"/>
      <x:c r="AK140" s="136"/>
      <x:c r="AL140" s="136"/>
      <x:c r="AM140" s="136"/>
      <x:c r="AN140" s="136"/>
      <x:c r="AO140" s="136"/>
      <x:c r="AP140" s="136"/>
      <x:c r="AQ140" s="136"/>
      <x:c r="AR140" s="136"/>
      <x:c r="AS140" s="136"/>
    </x:row>
    <x:row r="141">
      <x:c r="A141" s="104"/>
      <x:c r="B141" s="104"/>
      <x:c r="C141" s="104"/>
      <x:c r="D141" s="108"/>
      <x:c r="E141" s="108"/>
      <x:c r="F141" s="108"/>
      <x:c r="G141" s="108"/>
      <x:c r="H141" s="108"/>
      <x:c r="I141" s="108"/>
      <x:c r="J141" s="108"/>
      <x:c r="K141" s="108"/>
      <x:c r="L141" s="108"/>
      <x:c r="M141" s="108"/>
      <x:c r="N141" s="44"/>
      <x:c r="O141" s="44"/>
      <x:c r="P141" s="44"/>
      <x:c r="Q141" s="44"/>
      <x:c r="R141" s="44"/>
      <x:c r="S141" s="44"/>
      <x:c r="T141" s="44"/>
      <x:c r="U141" s="44"/>
      <x:c r="V141" s="44"/>
      <x:c r="W141" s="44"/>
      <x:c r="X141" s="112"/>
      <x:c r="Y141" s="112"/>
      <x:c r="Z141" s="112"/>
      <x:c r="AA141" s="112"/>
      <x:c r="AB141" s="96" t="str">
        <x:f>IF(B141="","",COUNTA(D141:M141)/10)</x:f>
      </x:c>
      <x:c r="AC141" s="44" t="str">
        <x:f>IF(B141="","",IF(AB141=1,"Completo",IF(AB141&gt;=0.6,"En desarrollo","Pendiente")))</x:f>
      </x:c>
      <x:c r="AD141" s="136"/>
      <x:c r="AE141" s="136"/>
      <x:c r="AF141" s="136"/>
      <x:c r="AG141" s="136"/>
      <x:c r="AH141" s="138"/>
      <x:c r="AI141" s="138"/>
      <x:c r="AJ141" s="138"/>
      <x:c r="AK141" s="136"/>
      <x:c r="AL141" s="136"/>
      <x:c r="AM141" s="136"/>
      <x:c r="AN141" s="136"/>
      <x:c r="AO141" s="136"/>
      <x:c r="AP141" s="136"/>
      <x:c r="AQ141" s="136"/>
      <x:c r="AR141" s="136"/>
      <x:c r="AS141" s="136"/>
    </x:row>
    <x:row r="142">
      <x:c r="A142" s="104"/>
      <x:c r="B142" s="104"/>
      <x:c r="C142" s="104"/>
      <x:c r="D142" s="108"/>
      <x:c r="E142" s="108"/>
      <x:c r="F142" s="108"/>
      <x:c r="G142" s="108"/>
      <x:c r="H142" s="108"/>
      <x:c r="I142" s="108"/>
      <x:c r="J142" s="108"/>
      <x:c r="K142" s="108"/>
      <x:c r="L142" s="108"/>
      <x:c r="M142" s="108"/>
      <x:c r="N142" s="44"/>
      <x:c r="O142" s="44"/>
      <x:c r="P142" s="44"/>
      <x:c r="Q142" s="44"/>
      <x:c r="R142" s="44"/>
      <x:c r="S142" s="44"/>
      <x:c r="T142" s="44"/>
      <x:c r="U142" s="44"/>
      <x:c r="V142" s="44"/>
      <x:c r="W142" s="44"/>
      <x:c r="X142" s="112"/>
      <x:c r="Y142" s="112"/>
      <x:c r="Z142" s="112"/>
      <x:c r="AA142" s="112"/>
      <x:c r="AB142" s="96" t="str">
        <x:f>IF(B142="","",COUNTA(D142:M142)/10)</x:f>
      </x:c>
      <x:c r="AC142" s="44" t="str">
        <x:f>IF(B142="","",IF(AB142=1,"Completo",IF(AB142&gt;=0.6,"En desarrollo","Pendiente")))</x:f>
      </x:c>
      <x:c r="AD142" s="136"/>
      <x:c r="AE142" s="136"/>
      <x:c r="AF142" s="136"/>
      <x:c r="AG142" s="136"/>
      <x:c r="AH142" s="138"/>
      <x:c r="AI142" s="138"/>
      <x:c r="AJ142" s="138"/>
      <x:c r="AK142" s="136"/>
      <x:c r="AL142" s="136"/>
      <x:c r="AM142" s="136"/>
      <x:c r="AN142" s="136"/>
      <x:c r="AO142" s="136"/>
      <x:c r="AP142" s="136"/>
      <x:c r="AQ142" s="136"/>
      <x:c r="AR142" s="136"/>
      <x:c r="AS142" s="136"/>
    </x:row>
    <x:row r="143">
      <x:c r="A143" s="104"/>
      <x:c r="B143" s="104"/>
      <x:c r="C143" s="104"/>
      <x:c r="D143" s="108"/>
      <x:c r="E143" s="108"/>
      <x:c r="F143" s="108"/>
      <x:c r="G143" s="108"/>
      <x:c r="H143" s="108"/>
      <x:c r="I143" s="108"/>
      <x:c r="J143" s="108"/>
      <x:c r="K143" s="108"/>
      <x:c r="L143" s="108"/>
      <x:c r="M143" s="108"/>
      <x:c r="N143" s="44"/>
      <x:c r="O143" s="44"/>
      <x:c r="P143" s="44"/>
      <x:c r="Q143" s="44"/>
      <x:c r="R143" s="44"/>
      <x:c r="S143" s="44"/>
      <x:c r="T143" s="44"/>
      <x:c r="U143" s="44"/>
      <x:c r="V143" s="44"/>
      <x:c r="W143" s="44"/>
      <x:c r="X143" s="112"/>
      <x:c r="Y143" s="112"/>
      <x:c r="Z143" s="112"/>
      <x:c r="AA143" s="112"/>
      <x:c r="AB143" s="96" t="str">
        <x:f>IF(B143="","",COUNTA(D143:M143)/10)</x:f>
      </x:c>
      <x:c r="AC143" s="44" t="str">
        <x:f>IF(B143="","",IF(AB143=1,"Completo",IF(AB143&gt;=0.6,"En desarrollo","Pendiente")))</x:f>
      </x:c>
      <x:c r="AD143" s="136"/>
      <x:c r="AE143" s="136"/>
      <x:c r="AF143" s="136"/>
      <x:c r="AG143" s="136"/>
      <x:c r="AH143" s="138"/>
      <x:c r="AI143" s="138"/>
      <x:c r="AJ143" s="138"/>
      <x:c r="AK143" s="136"/>
      <x:c r="AL143" s="136"/>
      <x:c r="AM143" s="136"/>
      <x:c r="AN143" s="136"/>
      <x:c r="AO143" s="136"/>
      <x:c r="AP143" s="136"/>
      <x:c r="AQ143" s="136"/>
      <x:c r="AR143" s="136"/>
      <x:c r="AS143" s="136"/>
    </x:row>
    <x:row r="144">
      <x:c r="A144" s="104"/>
      <x:c r="B144" s="104"/>
      <x:c r="C144" s="104"/>
      <x:c r="D144" s="108"/>
      <x:c r="E144" s="108"/>
      <x:c r="F144" s="108"/>
      <x:c r="G144" s="108"/>
      <x:c r="H144" s="108"/>
      <x:c r="I144" s="108"/>
      <x:c r="J144" s="108"/>
      <x:c r="K144" s="108"/>
      <x:c r="L144" s="108"/>
      <x:c r="M144" s="108"/>
      <x:c r="N144" s="44"/>
      <x:c r="O144" s="44"/>
      <x:c r="P144" s="44"/>
      <x:c r="Q144" s="44"/>
      <x:c r="R144" s="44"/>
      <x:c r="S144" s="44"/>
      <x:c r="T144" s="44"/>
      <x:c r="U144" s="44"/>
      <x:c r="V144" s="44"/>
      <x:c r="W144" s="44"/>
      <x:c r="X144" s="112"/>
      <x:c r="Y144" s="112"/>
      <x:c r="Z144" s="112"/>
      <x:c r="AA144" s="112"/>
      <x:c r="AB144" s="96" t="str">
        <x:f>IF(B144="","",COUNTA(D144:M144)/10)</x:f>
      </x:c>
      <x:c r="AC144" s="44" t="str">
        <x:f>IF(B144="","",IF(AB144=1,"Completo",IF(AB144&gt;=0.6,"En desarrollo","Pendiente")))</x:f>
      </x:c>
      <x:c r="AD144" s="136"/>
      <x:c r="AE144" s="136"/>
      <x:c r="AF144" s="136"/>
      <x:c r="AG144" s="136"/>
      <x:c r="AH144" s="138"/>
      <x:c r="AI144" s="138"/>
      <x:c r="AJ144" s="138"/>
      <x:c r="AK144" s="136"/>
      <x:c r="AL144" s="136"/>
      <x:c r="AM144" s="136"/>
      <x:c r="AN144" s="136"/>
      <x:c r="AO144" s="136"/>
      <x:c r="AP144" s="136"/>
      <x:c r="AQ144" s="136"/>
      <x:c r="AR144" s="136"/>
      <x:c r="AS144" s="136"/>
    </x:row>
    <x:row r="145">
      <x:c r="A145" s="104"/>
      <x:c r="B145" s="104"/>
      <x:c r="C145" s="104"/>
      <x:c r="D145" s="108"/>
      <x:c r="E145" s="108"/>
      <x:c r="F145" s="108"/>
      <x:c r="G145" s="108"/>
      <x:c r="H145" s="108"/>
      <x:c r="I145" s="108"/>
      <x:c r="J145" s="108"/>
      <x:c r="K145" s="108"/>
      <x:c r="L145" s="108"/>
      <x:c r="M145" s="108"/>
      <x:c r="N145" s="44"/>
      <x:c r="O145" s="44"/>
      <x:c r="P145" s="44"/>
      <x:c r="Q145" s="44"/>
      <x:c r="R145" s="44"/>
      <x:c r="S145" s="44"/>
      <x:c r="T145" s="44"/>
      <x:c r="U145" s="44"/>
      <x:c r="V145" s="44"/>
      <x:c r="W145" s="44"/>
      <x:c r="X145" s="112"/>
      <x:c r="Y145" s="112"/>
      <x:c r="Z145" s="112"/>
      <x:c r="AA145" s="112"/>
      <x:c r="AB145" s="96" t="str">
        <x:f>IF(B145="","",COUNTA(D145:M145)/10)</x:f>
      </x:c>
      <x:c r="AC145" s="44" t="str">
        <x:f>IF(B145="","",IF(AB145=1,"Completo",IF(AB145&gt;=0.6,"En desarrollo","Pendiente")))</x:f>
      </x:c>
      <x:c r="AD145" s="136"/>
      <x:c r="AE145" s="136"/>
      <x:c r="AF145" s="136"/>
      <x:c r="AG145" s="136"/>
      <x:c r="AH145" s="138"/>
      <x:c r="AI145" s="138"/>
      <x:c r="AJ145" s="138"/>
      <x:c r="AK145" s="136"/>
      <x:c r="AL145" s="136"/>
      <x:c r="AM145" s="136"/>
      <x:c r="AN145" s="136"/>
      <x:c r="AO145" s="136"/>
      <x:c r="AP145" s="136"/>
      <x:c r="AQ145" s="136"/>
      <x:c r="AR145" s="136"/>
      <x:c r="AS145" s="136"/>
    </x:row>
    <x:row r="146">
      <x:c r="A146" s="104"/>
      <x:c r="B146" s="104"/>
      <x:c r="C146" s="104"/>
      <x:c r="D146" s="108"/>
      <x:c r="E146" s="108"/>
      <x:c r="F146" s="108"/>
      <x:c r="G146" s="108"/>
      <x:c r="H146" s="108"/>
      <x:c r="I146" s="108"/>
      <x:c r="J146" s="108"/>
      <x:c r="K146" s="108"/>
      <x:c r="L146" s="108"/>
      <x:c r="M146" s="108"/>
      <x:c r="N146" s="44"/>
      <x:c r="O146" s="44"/>
      <x:c r="P146" s="44"/>
      <x:c r="Q146" s="44"/>
      <x:c r="R146" s="44"/>
      <x:c r="S146" s="44"/>
      <x:c r="T146" s="44"/>
      <x:c r="U146" s="44"/>
      <x:c r="V146" s="44"/>
      <x:c r="W146" s="44"/>
      <x:c r="X146" s="112"/>
      <x:c r="Y146" s="112"/>
      <x:c r="Z146" s="112"/>
      <x:c r="AA146" s="112"/>
      <x:c r="AB146" s="96" t="str">
        <x:f>IF(B146="","",COUNTA(D146:M146)/10)</x:f>
      </x:c>
      <x:c r="AC146" s="44" t="str">
        <x:f>IF(B146="","",IF(AB146=1,"Completo",IF(AB146&gt;=0.6,"En desarrollo","Pendiente")))</x:f>
      </x:c>
      <x:c r="AD146" s="136"/>
      <x:c r="AE146" s="136"/>
      <x:c r="AF146" s="136"/>
      <x:c r="AG146" s="136"/>
      <x:c r="AH146" s="138"/>
      <x:c r="AI146" s="138"/>
      <x:c r="AJ146" s="138"/>
      <x:c r="AK146" s="136"/>
      <x:c r="AL146" s="136"/>
      <x:c r="AM146" s="136"/>
      <x:c r="AN146" s="136"/>
      <x:c r="AO146" s="136"/>
      <x:c r="AP146" s="136"/>
      <x:c r="AQ146" s="136"/>
      <x:c r="AR146" s="136"/>
      <x:c r="AS146" s="136"/>
    </x:row>
    <x:row r="147">
      <x:c r="A147" s="104"/>
      <x:c r="B147" s="104"/>
      <x:c r="C147" s="104"/>
      <x:c r="D147" s="108"/>
      <x:c r="E147" s="108"/>
      <x:c r="F147" s="108"/>
      <x:c r="G147" s="108"/>
      <x:c r="H147" s="108"/>
      <x:c r="I147" s="108"/>
      <x:c r="J147" s="108"/>
      <x:c r="K147" s="108"/>
      <x:c r="L147" s="108"/>
      <x:c r="M147" s="108"/>
      <x:c r="N147" s="44"/>
      <x:c r="O147" s="44"/>
      <x:c r="P147" s="44"/>
      <x:c r="Q147" s="44"/>
      <x:c r="R147" s="44"/>
      <x:c r="S147" s="44"/>
      <x:c r="T147" s="44"/>
      <x:c r="U147" s="44"/>
      <x:c r="V147" s="44"/>
      <x:c r="W147" s="44"/>
      <x:c r="X147" s="112"/>
      <x:c r="Y147" s="112"/>
      <x:c r="Z147" s="112"/>
      <x:c r="AA147" s="112"/>
      <x:c r="AB147" s="96" t="str">
        <x:f>IF(B147="","",COUNTA(D147:M147)/10)</x:f>
      </x:c>
      <x:c r="AC147" s="44" t="str">
        <x:f>IF(B147="","",IF(AB147=1,"Completo",IF(AB147&gt;=0.6,"En desarrollo","Pendiente")))</x:f>
      </x:c>
      <x:c r="AD147" s="136"/>
      <x:c r="AE147" s="136"/>
      <x:c r="AF147" s="136"/>
      <x:c r="AG147" s="136"/>
      <x:c r="AH147" s="138"/>
      <x:c r="AI147" s="138"/>
      <x:c r="AJ147" s="138"/>
      <x:c r="AK147" s="136"/>
      <x:c r="AL147" s="136"/>
      <x:c r="AM147" s="136"/>
      <x:c r="AN147" s="136"/>
      <x:c r="AO147" s="136"/>
      <x:c r="AP147" s="136"/>
      <x:c r="AQ147" s="136"/>
      <x:c r="AR147" s="136"/>
      <x:c r="AS147" s="136"/>
    </x:row>
    <x:row r="148">
      <x:c r="A148" s="104"/>
      <x:c r="B148" s="104"/>
      <x:c r="C148" s="104"/>
      <x:c r="D148" s="108"/>
      <x:c r="E148" s="108"/>
      <x:c r="F148" s="108"/>
      <x:c r="G148" s="108"/>
      <x:c r="H148" s="108"/>
      <x:c r="I148" s="108"/>
      <x:c r="J148" s="108"/>
      <x:c r="K148" s="108"/>
      <x:c r="L148" s="108"/>
      <x:c r="M148" s="108"/>
      <x:c r="N148" s="44"/>
      <x:c r="O148" s="44"/>
      <x:c r="P148" s="44"/>
      <x:c r="Q148" s="44"/>
      <x:c r="R148" s="44"/>
      <x:c r="S148" s="44"/>
      <x:c r="T148" s="44"/>
      <x:c r="U148" s="44"/>
      <x:c r="V148" s="44"/>
      <x:c r="W148" s="44"/>
      <x:c r="X148" s="112"/>
      <x:c r="Y148" s="112"/>
      <x:c r="Z148" s="112"/>
      <x:c r="AA148" s="112"/>
      <x:c r="AB148" s="96" t="str">
        <x:f>IF(B148="","",COUNTA(D148:M148)/10)</x:f>
      </x:c>
      <x:c r="AC148" s="44" t="str">
        <x:f>IF(B148="","",IF(AB148=1,"Completo",IF(AB148&gt;=0.6,"En desarrollo","Pendiente")))</x:f>
      </x:c>
      <x:c r="AD148" s="136"/>
      <x:c r="AE148" s="136"/>
      <x:c r="AF148" s="136"/>
      <x:c r="AG148" s="136"/>
      <x:c r="AH148" s="138"/>
      <x:c r="AI148" s="138"/>
      <x:c r="AJ148" s="138"/>
      <x:c r="AK148" s="136"/>
      <x:c r="AL148" s="136"/>
      <x:c r="AM148" s="136"/>
      <x:c r="AN148" s="136"/>
      <x:c r="AO148" s="136"/>
      <x:c r="AP148" s="136"/>
      <x:c r="AQ148" s="136"/>
      <x:c r="AR148" s="136"/>
      <x:c r="AS148" s="136"/>
    </x:row>
    <x:row r="149">
      <x:c r="A149" s="104"/>
      <x:c r="B149" s="104"/>
      <x:c r="C149" s="104"/>
      <x:c r="D149" s="108"/>
      <x:c r="E149" s="108"/>
      <x:c r="F149" s="108"/>
      <x:c r="G149" s="108"/>
      <x:c r="H149" s="108"/>
      <x:c r="I149" s="108"/>
      <x:c r="J149" s="108"/>
      <x:c r="K149" s="108"/>
      <x:c r="L149" s="108"/>
      <x:c r="M149" s="108"/>
      <x:c r="N149" s="44"/>
      <x:c r="O149" s="44"/>
      <x:c r="P149" s="44"/>
      <x:c r="Q149" s="44"/>
      <x:c r="R149" s="44"/>
      <x:c r="S149" s="44"/>
      <x:c r="T149" s="44"/>
      <x:c r="U149" s="44"/>
      <x:c r="V149" s="44"/>
      <x:c r="W149" s="44"/>
      <x:c r="X149" s="112"/>
      <x:c r="Y149" s="112"/>
      <x:c r="Z149" s="112"/>
      <x:c r="AA149" s="112"/>
      <x:c r="AB149" s="96" t="str">
        <x:f>IF(B149="","",COUNTA(D149:M149)/10)</x:f>
      </x:c>
      <x:c r="AC149" s="44" t="str">
        <x:f>IF(B149="","",IF(AB149=1,"Completo",IF(AB149&gt;=0.6,"En desarrollo","Pendiente")))</x:f>
      </x:c>
      <x:c r="AD149" s="136"/>
      <x:c r="AE149" s="136"/>
      <x:c r="AF149" s="136"/>
      <x:c r="AG149" s="136"/>
      <x:c r="AH149" s="138"/>
      <x:c r="AI149" s="138"/>
      <x:c r="AJ149" s="138"/>
      <x:c r="AK149" s="136"/>
      <x:c r="AL149" s="136"/>
      <x:c r="AM149" s="136"/>
      <x:c r="AN149" s="136"/>
      <x:c r="AO149" s="136"/>
      <x:c r="AP149" s="136"/>
      <x:c r="AQ149" s="136"/>
      <x:c r="AR149" s="136"/>
      <x:c r="AS149" s="136"/>
    </x:row>
    <x:row r="150">
      <x:c r="A150" s="104"/>
      <x:c r="B150" s="104"/>
      <x:c r="C150" s="104"/>
      <x:c r="D150" s="108"/>
      <x:c r="E150" s="108"/>
      <x:c r="F150" s="108"/>
      <x:c r="G150" s="108"/>
      <x:c r="H150" s="108"/>
      <x:c r="I150" s="108"/>
      <x:c r="J150" s="108"/>
      <x:c r="K150" s="108"/>
      <x:c r="L150" s="108"/>
      <x:c r="M150" s="108"/>
      <x:c r="N150" s="44"/>
      <x:c r="O150" s="44"/>
      <x:c r="P150" s="44"/>
      <x:c r="Q150" s="44"/>
      <x:c r="R150" s="44"/>
      <x:c r="S150" s="44"/>
      <x:c r="T150" s="44"/>
      <x:c r="U150" s="44"/>
      <x:c r="V150" s="44"/>
      <x:c r="W150" s="44"/>
      <x:c r="X150" s="112"/>
      <x:c r="Y150" s="112"/>
      <x:c r="Z150" s="112"/>
      <x:c r="AA150" s="112"/>
      <x:c r="AB150" s="96" t="str">
        <x:f>IF(B150="","",COUNTA(D150:M150)/10)</x:f>
      </x:c>
      <x:c r="AC150" s="44" t="str">
        <x:f>IF(B150="","",IF(AB150=1,"Completo",IF(AB150&gt;=0.6,"En desarrollo","Pendiente")))</x:f>
      </x:c>
      <x:c r="AD150" s="136"/>
      <x:c r="AE150" s="136"/>
      <x:c r="AF150" s="136"/>
      <x:c r="AG150" s="136"/>
      <x:c r="AH150" s="138"/>
      <x:c r="AI150" s="138"/>
      <x:c r="AJ150" s="138"/>
      <x:c r="AK150" s="136"/>
      <x:c r="AL150" s="136"/>
      <x:c r="AM150" s="136"/>
      <x:c r="AN150" s="136"/>
      <x:c r="AO150" s="136"/>
      <x:c r="AP150" s="136"/>
      <x:c r="AQ150" s="136"/>
      <x:c r="AR150" s="136"/>
      <x:c r="AS150" s="136"/>
    </x:row>
    <x:row r="151">
      <x:c r="A151" s="104"/>
      <x:c r="B151" s="104"/>
      <x:c r="C151" s="104"/>
      <x:c r="D151" s="108"/>
      <x:c r="E151" s="108"/>
      <x:c r="F151" s="108"/>
      <x:c r="G151" s="108"/>
      <x:c r="H151" s="108"/>
      <x:c r="I151" s="108"/>
      <x:c r="J151" s="108"/>
      <x:c r="K151" s="108"/>
      <x:c r="L151" s="108"/>
      <x:c r="M151" s="108"/>
      <x:c r="N151" s="44"/>
      <x:c r="O151" s="44"/>
      <x:c r="P151" s="44"/>
      <x:c r="Q151" s="44"/>
      <x:c r="R151" s="44"/>
      <x:c r="S151" s="44"/>
      <x:c r="T151" s="44"/>
      <x:c r="U151" s="44"/>
      <x:c r="V151" s="44"/>
      <x:c r="W151" s="44"/>
      <x:c r="X151" s="112"/>
      <x:c r="Y151" s="112"/>
      <x:c r="Z151" s="112"/>
      <x:c r="AA151" s="112"/>
      <x:c r="AB151" s="96" t="str">
        <x:f>IF(B151="","",COUNTA(D151:M151)/10)</x:f>
      </x:c>
      <x:c r="AC151" s="44" t="str">
        <x:f>IF(B151="","",IF(AB151=1,"Completo",IF(AB151&gt;=0.6,"En desarrollo","Pendiente")))</x:f>
      </x:c>
      <x:c r="AD151" s="136"/>
      <x:c r="AE151" s="136"/>
      <x:c r="AF151" s="136"/>
      <x:c r="AG151" s="136"/>
      <x:c r="AH151" s="138"/>
      <x:c r="AI151" s="138"/>
      <x:c r="AJ151" s="138"/>
      <x:c r="AK151" s="136"/>
      <x:c r="AL151" s="136"/>
      <x:c r="AM151" s="136"/>
      <x:c r="AN151" s="136"/>
      <x:c r="AO151" s="136"/>
      <x:c r="AP151" s="136"/>
      <x:c r="AQ151" s="136"/>
      <x:c r="AR151" s="136"/>
      <x:c r="AS151" s="136"/>
    </x:row>
    <x:row r="152">
      <x:c r="A152" s="104"/>
      <x:c r="B152" s="104"/>
      <x:c r="C152" s="104"/>
      <x:c r="D152" s="108"/>
      <x:c r="E152" s="108"/>
      <x:c r="F152" s="108"/>
      <x:c r="G152" s="108"/>
      <x:c r="H152" s="108"/>
      <x:c r="I152" s="108"/>
      <x:c r="J152" s="108"/>
      <x:c r="K152" s="108"/>
      <x:c r="L152" s="108"/>
      <x:c r="M152" s="108"/>
      <x:c r="N152" s="44"/>
      <x:c r="O152" s="44"/>
      <x:c r="P152" s="44"/>
      <x:c r="Q152" s="44"/>
      <x:c r="R152" s="44"/>
      <x:c r="S152" s="44"/>
      <x:c r="T152" s="44"/>
      <x:c r="U152" s="44"/>
      <x:c r="V152" s="44"/>
      <x:c r="W152" s="44"/>
      <x:c r="X152" s="112"/>
      <x:c r="Y152" s="112"/>
      <x:c r="Z152" s="112"/>
      <x:c r="AA152" s="112"/>
      <x:c r="AB152" s="96" t="str">
        <x:f>IF(B152="","",COUNTA(D152:M152)/10)</x:f>
      </x:c>
      <x:c r="AC152" s="44" t="str">
        <x:f>IF(B152="","",IF(AB152=1,"Completo",IF(AB152&gt;=0.6,"En desarrollo","Pendiente")))</x:f>
      </x:c>
      <x:c r="AD152" s="136"/>
      <x:c r="AE152" s="136"/>
      <x:c r="AF152" s="136"/>
      <x:c r="AG152" s="136"/>
      <x:c r="AH152" s="138"/>
      <x:c r="AI152" s="138"/>
      <x:c r="AJ152" s="138"/>
      <x:c r="AK152" s="136"/>
      <x:c r="AL152" s="136"/>
      <x:c r="AM152" s="136"/>
      <x:c r="AN152" s="136"/>
      <x:c r="AO152" s="136"/>
      <x:c r="AP152" s="136"/>
      <x:c r="AQ152" s="136"/>
      <x:c r="AR152" s="136"/>
      <x:c r="AS152" s="136"/>
    </x:row>
    <x:row r="153">
      <x:c r="A153" s="104"/>
      <x:c r="B153" s="104"/>
      <x:c r="C153" s="104"/>
      <x:c r="D153" s="108"/>
      <x:c r="E153" s="108"/>
      <x:c r="F153" s="108"/>
      <x:c r="G153" s="108"/>
      <x:c r="H153" s="108"/>
      <x:c r="I153" s="108"/>
      <x:c r="J153" s="108"/>
      <x:c r="K153" s="108"/>
      <x:c r="L153" s="108"/>
      <x:c r="M153" s="108"/>
      <x:c r="N153" s="44"/>
      <x:c r="O153" s="44"/>
      <x:c r="P153" s="44"/>
      <x:c r="Q153" s="44"/>
      <x:c r="R153" s="44"/>
      <x:c r="S153" s="44"/>
      <x:c r="T153" s="44"/>
      <x:c r="U153" s="44"/>
      <x:c r="V153" s="44"/>
      <x:c r="W153" s="44"/>
      <x:c r="X153" s="112"/>
      <x:c r="Y153" s="112"/>
      <x:c r="Z153" s="112"/>
      <x:c r="AA153" s="112"/>
      <x:c r="AB153" s="96" t="str">
        <x:f>IF(B153="","",COUNTA(D153:M153)/10)</x:f>
      </x:c>
      <x:c r="AC153" s="44" t="str">
        <x:f>IF(B153="","",IF(AB153=1,"Completo",IF(AB153&gt;=0.6,"En desarrollo","Pendiente")))</x:f>
      </x:c>
      <x:c r="AD153" s="136"/>
      <x:c r="AE153" s="136"/>
      <x:c r="AF153" s="136"/>
      <x:c r="AG153" s="136"/>
      <x:c r="AH153" s="138"/>
      <x:c r="AI153" s="138"/>
      <x:c r="AJ153" s="138"/>
      <x:c r="AK153" s="136"/>
      <x:c r="AL153" s="136"/>
      <x:c r="AM153" s="136"/>
      <x:c r="AN153" s="136"/>
      <x:c r="AO153" s="136"/>
      <x:c r="AP153" s="136"/>
      <x:c r="AQ153" s="136"/>
      <x:c r="AR153" s="136"/>
      <x:c r="AS153" s="136"/>
    </x:row>
    <x:row r="154">
      <x:c r="A154" s="104"/>
      <x:c r="B154" s="104"/>
      <x:c r="C154" s="104"/>
      <x:c r="D154" s="108"/>
      <x:c r="E154" s="108"/>
      <x:c r="F154" s="108"/>
      <x:c r="G154" s="108"/>
      <x:c r="H154" s="108"/>
      <x:c r="I154" s="108"/>
      <x:c r="J154" s="108"/>
      <x:c r="K154" s="108"/>
      <x:c r="L154" s="108"/>
      <x:c r="M154" s="108"/>
      <x:c r="N154" s="44"/>
      <x:c r="O154" s="44"/>
      <x:c r="P154" s="44"/>
      <x:c r="Q154" s="44"/>
      <x:c r="R154" s="44"/>
      <x:c r="S154" s="44"/>
      <x:c r="T154" s="44"/>
      <x:c r="U154" s="44"/>
      <x:c r="V154" s="44"/>
      <x:c r="W154" s="44"/>
      <x:c r="X154" s="112"/>
      <x:c r="Y154" s="112"/>
      <x:c r="Z154" s="112"/>
      <x:c r="AA154" s="112"/>
      <x:c r="AB154" s="96" t="str">
        <x:f>IF(B154="","",COUNTA(D154:M154)/10)</x:f>
      </x:c>
      <x:c r="AC154" s="44" t="str">
        <x:f>IF(B154="","",IF(AB154=1,"Completo",IF(AB154&gt;=0.6,"En desarrollo","Pendiente")))</x:f>
      </x:c>
      <x:c r="AD154" s="136"/>
      <x:c r="AE154" s="136"/>
      <x:c r="AF154" s="136"/>
      <x:c r="AG154" s="136"/>
      <x:c r="AH154" s="138"/>
      <x:c r="AI154" s="138"/>
      <x:c r="AJ154" s="138"/>
      <x:c r="AK154" s="136"/>
      <x:c r="AL154" s="136"/>
      <x:c r="AM154" s="136"/>
      <x:c r="AN154" s="136"/>
      <x:c r="AO154" s="136"/>
      <x:c r="AP154" s="136"/>
      <x:c r="AQ154" s="136"/>
      <x:c r="AR154" s="136"/>
      <x:c r="AS154" s="136"/>
    </x:row>
    <x:row r="155">
      <x:c r="A155" s="104"/>
      <x:c r="B155" s="104"/>
      <x:c r="C155" s="104"/>
      <x:c r="D155" s="108"/>
      <x:c r="E155" s="108"/>
      <x:c r="F155" s="108"/>
      <x:c r="G155" s="108"/>
      <x:c r="H155" s="108"/>
      <x:c r="I155" s="108"/>
      <x:c r="J155" s="108"/>
      <x:c r="K155" s="108"/>
      <x:c r="L155" s="108"/>
      <x:c r="M155" s="108"/>
      <x:c r="N155" s="44"/>
      <x:c r="O155" s="44"/>
      <x:c r="P155" s="44"/>
      <x:c r="Q155" s="44"/>
      <x:c r="R155" s="44"/>
      <x:c r="S155" s="44"/>
      <x:c r="T155" s="44"/>
      <x:c r="U155" s="44"/>
      <x:c r="V155" s="44"/>
      <x:c r="W155" s="44"/>
      <x:c r="X155" s="112"/>
      <x:c r="Y155" s="112"/>
      <x:c r="Z155" s="112"/>
      <x:c r="AA155" s="112"/>
      <x:c r="AB155" s="96" t="str">
        <x:f>IF(B155="","",COUNTA(D155:M155)/10)</x:f>
      </x:c>
      <x:c r="AC155" s="44" t="str">
        <x:f>IF(B155="","",IF(AB155=1,"Completo",IF(AB155&gt;=0.6,"En desarrollo","Pendiente")))</x:f>
      </x:c>
      <x:c r="AD155" s="136"/>
      <x:c r="AE155" s="136"/>
      <x:c r="AF155" s="136"/>
      <x:c r="AG155" s="136"/>
      <x:c r="AH155" s="138"/>
      <x:c r="AI155" s="138"/>
      <x:c r="AJ155" s="138"/>
      <x:c r="AK155" s="136"/>
      <x:c r="AL155" s="136"/>
      <x:c r="AM155" s="136"/>
      <x:c r="AN155" s="136"/>
      <x:c r="AO155" s="136"/>
      <x:c r="AP155" s="136"/>
      <x:c r="AQ155" s="136"/>
      <x:c r="AR155" s="136"/>
      <x:c r="AS155" s="136"/>
    </x:row>
    <x:row r="156">
      <x:c r="A156" s="104"/>
      <x:c r="B156" s="104"/>
      <x:c r="C156" s="104"/>
      <x:c r="D156" s="108"/>
      <x:c r="E156" s="108"/>
      <x:c r="F156" s="108"/>
      <x:c r="G156" s="108"/>
      <x:c r="H156" s="108"/>
      <x:c r="I156" s="108"/>
      <x:c r="J156" s="108"/>
      <x:c r="K156" s="108"/>
      <x:c r="L156" s="108"/>
      <x:c r="M156" s="108"/>
      <x:c r="N156" s="44"/>
      <x:c r="O156" s="44"/>
      <x:c r="P156" s="44"/>
      <x:c r="Q156" s="44"/>
      <x:c r="R156" s="44"/>
      <x:c r="S156" s="44"/>
      <x:c r="T156" s="44"/>
      <x:c r="U156" s="44"/>
      <x:c r="V156" s="44"/>
      <x:c r="W156" s="44"/>
      <x:c r="X156" s="112"/>
      <x:c r="Y156" s="112"/>
      <x:c r="Z156" s="112"/>
      <x:c r="AA156" s="112"/>
      <x:c r="AB156" s="96" t="str">
        <x:f>IF(B156="","",COUNTA(D156:M156)/10)</x:f>
      </x:c>
      <x:c r="AC156" s="44" t="str">
        <x:f>IF(B156="","",IF(AB156=1,"Completo",IF(AB156&gt;=0.6,"En desarrollo","Pendiente")))</x:f>
      </x:c>
      <x:c r="AD156" s="136"/>
      <x:c r="AE156" s="136"/>
      <x:c r="AF156" s="136"/>
      <x:c r="AG156" s="136"/>
      <x:c r="AH156" s="138"/>
      <x:c r="AI156" s="138"/>
      <x:c r="AJ156" s="138"/>
      <x:c r="AK156" s="136"/>
      <x:c r="AL156" s="136"/>
      <x:c r="AM156" s="136"/>
      <x:c r="AN156" s="136"/>
      <x:c r="AO156" s="136"/>
      <x:c r="AP156" s="136"/>
      <x:c r="AQ156" s="136"/>
      <x:c r="AR156" s="136"/>
      <x:c r="AS156" s="136"/>
    </x:row>
    <x:row r="157">
      <x:c r="A157" s="104"/>
      <x:c r="B157" s="104"/>
      <x:c r="C157" s="104"/>
      <x:c r="D157" s="108"/>
      <x:c r="E157" s="108"/>
      <x:c r="F157" s="108"/>
      <x:c r="G157" s="108"/>
      <x:c r="H157" s="108"/>
      <x:c r="I157" s="108"/>
      <x:c r="J157" s="108"/>
      <x:c r="K157" s="108"/>
      <x:c r="L157" s="108"/>
      <x:c r="M157" s="108"/>
      <x:c r="N157" s="44"/>
      <x:c r="O157" s="44"/>
      <x:c r="P157" s="44"/>
      <x:c r="Q157" s="44"/>
      <x:c r="R157" s="44"/>
      <x:c r="S157" s="44"/>
      <x:c r="T157" s="44"/>
      <x:c r="U157" s="44"/>
      <x:c r="V157" s="44"/>
      <x:c r="W157" s="44"/>
      <x:c r="X157" s="112"/>
      <x:c r="Y157" s="112"/>
      <x:c r="Z157" s="112"/>
      <x:c r="AA157" s="112"/>
      <x:c r="AB157" s="96" t="str">
        <x:f>IF(B157="","",COUNTA(D157:M157)/10)</x:f>
      </x:c>
      <x:c r="AC157" s="44" t="str">
        <x:f>IF(B157="","",IF(AB157=1,"Completo",IF(AB157&gt;=0.6,"En desarrollo","Pendiente")))</x:f>
      </x:c>
      <x:c r="AD157" s="136"/>
      <x:c r="AE157" s="136"/>
      <x:c r="AF157" s="136"/>
      <x:c r="AG157" s="136"/>
      <x:c r="AH157" s="138"/>
      <x:c r="AI157" s="138"/>
      <x:c r="AJ157" s="138"/>
      <x:c r="AK157" s="136"/>
      <x:c r="AL157" s="136"/>
      <x:c r="AM157" s="136"/>
      <x:c r="AN157" s="136"/>
      <x:c r="AO157" s="136"/>
      <x:c r="AP157" s="136"/>
      <x:c r="AQ157" s="136"/>
      <x:c r="AR157" s="136"/>
      <x:c r="AS157" s="136"/>
    </x:row>
    <x:row r="158">
      <x:c r="A158" s="104"/>
      <x:c r="B158" s="104"/>
      <x:c r="C158" s="104"/>
      <x:c r="D158" s="108"/>
      <x:c r="E158" s="108"/>
      <x:c r="F158" s="108"/>
      <x:c r="G158" s="108"/>
      <x:c r="H158" s="108"/>
      <x:c r="I158" s="108"/>
      <x:c r="J158" s="108"/>
      <x:c r="K158" s="108"/>
      <x:c r="L158" s="108"/>
      <x:c r="M158" s="108"/>
      <x:c r="N158" s="44"/>
      <x:c r="O158" s="44"/>
      <x:c r="P158" s="44"/>
      <x:c r="Q158" s="44"/>
      <x:c r="R158" s="44"/>
      <x:c r="S158" s="44"/>
      <x:c r="T158" s="44"/>
      <x:c r="U158" s="44"/>
      <x:c r="V158" s="44"/>
      <x:c r="W158" s="44"/>
      <x:c r="X158" s="112"/>
      <x:c r="Y158" s="112"/>
      <x:c r="Z158" s="112"/>
      <x:c r="AA158" s="112"/>
      <x:c r="AB158" s="96" t="str">
        <x:f>IF(B158="","",COUNTA(D158:M158)/10)</x:f>
      </x:c>
      <x:c r="AC158" s="44" t="str">
        <x:f>IF(B158="","",IF(AB158=1,"Completo",IF(AB158&gt;=0.6,"En desarrollo","Pendiente")))</x:f>
      </x:c>
      <x:c r="AD158" s="136"/>
      <x:c r="AE158" s="136"/>
      <x:c r="AF158" s="136"/>
      <x:c r="AG158" s="136"/>
      <x:c r="AH158" s="138"/>
      <x:c r="AI158" s="138"/>
      <x:c r="AJ158" s="138"/>
      <x:c r="AK158" s="136"/>
      <x:c r="AL158" s="136"/>
      <x:c r="AM158" s="136"/>
      <x:c r="AN158" s="136"/>
      <x:c r="AO158" s="136"/>
      <x:c r="AP158" s="136"/>
      <x:c r="AQ158" s="136"/>
      <x:c r="AR158" s="136"/>
      <x:c r="AS158" s="136"/>
    </x:row>
    <x:row r="159">
      <x:c r="A159" s="104"/>
      <x:c r="B159" s="104"/>
      <x:c r="C159" s="104"/>
      <x:c r="D159" s="108"/>
      <x:c r="E159" s="108"/>
      <x:c r="F159" s="108"/>
      <x:c r="G159" s="108"/>
      <x:c r="H159" s="108"/>
      <x:c r="I159" s="108"/>
      <x:c r="J159" s="108"/>
      <x:c r="K159" s="108"/>
      <x:c r="L159" s="108"/>
      <x:c r="M159" s="108"/>
      <x:c r="N159" s="44"/>
      <x:c r="O159" s="44"/>
      <x:c r="P159" s="44"/>
      <x:c r="Q159" s="44"/>
      <x:c r="R159" s="44"/>
      <x:c r="S159" s="44"/>
      <x:c r="T159" s="44"/>
      <x:c r="U159" s="44"/>
      <x:c r="V159" s="44"/>
      <x:c r="W159" s="44"/>
      <x:c r="X159" s="112"/>
      <x:c r="Y159" s="112"/>
      <x:c r="Z159" s="112"/>
      <x:c r="AA159" s="112"/>
      <x:c r="AB159" s="96" t="str">
        <x:f>IF(B159="","",COUNTA(D159:M159)/10)</x:f>
      </x:c>
      <x:c r="AC159" s="44" t="str">
        <x:f>IF(B159="","",IF(AB159=1,"Completo",IF(AB159&gt;=0.6,"En desarrollo","Pendiente")))</x:f>
      </x:c>
      <x:c r="AD159" s="136"/>
      <x:c r="AE159" s="136"/>
      <x:c r="AF159" s="136"/>
      <x:c r="AG159" s="136"/>
      <x:c r="AH159" s="138"/>
      <x:c r="AI159" s="138"/>
      <x:c r="AJ159" s="138"/>
      <x:c r="AK159" s="136"/>
      <x:c r="AL159" s="136"/>
      <x:c r="AM159" s="136"/>
      <x:c r="AN159" s="136"/>
      <x:c r="AO159" s="136"/>
      <x:c r="AP159" s="136"/>
      <x:c r="AQ159" s="136"/>
      <x:c r="AR159" s="136"/>
      <x:c r="AS159" s="136"/>
    </x:row>
    <x:row r="160">
      <x:c r="A160" s="104"/>
      <x:c r="B160" s="104"/>
      <x:c r="C160" s="104"/>
      <x:c r="D160" s="108"/>
      <x:c r="E160" s="108"/>
      <x:c r="F160" s="108"/>
      <x:c r="G160" s="108"/>
      <x:c r="H160" s="108"/>
      <x:c r="I160" s="108"/>
      <x:c r="J160" s="108"/>
      <x:c r="K160" s="108"/>
      <x:c r="L160" s="108"/>
      <x:c r="M160" s="108"/>
      <x:c r="N160" s="44"/>
      <x:c r="O160" s="44"/>
      <x:c r="P160" s="44"/>
      <x:c r="Q160" s="44"/>
      <x:c r="R160" s="44"/>
      <x:c r="S160" s="44"/>
      <x:c r="T160" s="44"/>
      <x:c r="U160" s="44"/>
      <x:c r="V160" s="44"/>
      <x:c r="W160" s="44"/>
      <x:c r="X160" s="112"/>
      <x:c r="Y160" s="112"/>
      <x:c r="Z160" s="112"/>
      <x:c r="AA160" s="112"/>
      <x:c r="AB160" s="96" t="str">
        <x:f>IF(B160="","",COUNTA(D160:M160)/10)</x:f>
      </x:c>
      <x:c r="AC160" s="44" t="str">
        <x:f>IF(B160="","",IF(AB160=1,"Completo",IF(AB160&gt;=0.6,"En desarrollo","Pendiente")))</x:f>
      </x:c>
      <x:c r="AD160" s="136"/>
      <x:c r="AE160" s="136"/>
      <x:c r="AF160" s="136"/>
      <x:c r="AG160" s="136"/>
      <x:c r="AH160" s="138"/>
      <x:c r="AI160" s="138"/>
      <x:c r="AJ160" s="138"/>
      <x:c r="AK160" s="136"/>
      <x:c r="AL160" s="136"/>
      <x:c r="AM160" s="136"/>
      <x:c r="AN160" s="136"/>
      <x:c r="AO160" s="136"/>
      <x:c r="AP160" s="136"/>
      <x:c r="AQ160" s="136"/>
      <x:c r="AR160" s="136"/>
      <x:c r="AS160" s="136"/>
    </x:row>
    <x:row r="161">
      <x:c r="A161" s="104"/>
      <x:c r="B161" s="104"/>
      <x:c r="C161" s="104"/>
      <x:c r="D161" s="108"/>
      <x:c r="E161" s="108"/>
      <x:c r="F161" s="108"/>
      <x:c r="G161" s="108"/>
      <x:c r="H161" s="108"/>
      <x:c r="I161" s="108"/>
      <x:c r="J161" s="108"/>
      <x:c r="K161" s="108"/>
      <x:c r="L161" s="108"/>
      <x:c r="M161" s="108"/>
      <x:c r="N161" s="44"/>
      <x:c r="O161" s="44"/>
      <x:c r="P161" s="44"/>
      <x:c r="Q161" s="44"/>
      <x:c r="R161" s="44"/>
      <x:c r="S161" s="44"/>
      <x:c r="T161" s="44"/>
      <x:c r="U161" s="44"/>
      <x:c r="V161" s="44"/>
      <x:c r="W161" s="44"/>
      <x:c r="X161" s="112"/>
      <x:c r="Y161" s="112"/>
      <x:c r="Z161" s="112"/>
      <x:c r="AA161" s="112"/>
      <x:c r="AB161" s="96" t="str">
        <x:f>IF(B161="","",COUNTA(D161:M161)/10)</x:f>
      </x:c>
      <x:c r="AC161" s="44" t="str">
        <x:f>IF(B161="","",IF(AB161=1,"Completo",IF(AB161&gt;=0.6,"En desarrollo","Pendiente")))</x:f>
      </x:c>
      <x:c r="AD161" s="136"/>
      <x:c r="AE161" s="136"/>
      <x:c r="AF161" s="136"/>
      <x:c r="AG161" s="136"/>
      <x:c r="AH161" s="138"/>
      <x:c r="AI161" s="138"/>
      <x:c r="AJ161" s="138"/>
      <x:c r="AK161" s="136"/>
      <x:c r="AL161" s="136"/>
      <x:c r="AM161" s="136"/>
      <x:c r="AN161" s="136"/>
      <x:c r="AO161" s="136"/>
      <x:c r="AP161" s="136"/>
      <x:c r="AQ161" s="136"/>
      <x:c r="AR161" s="136"/>
      <x:c r="AS161" s="136"/>
    </x:row>
    <x:row r="162">
      <x:c r="A162" s="104"/>
      <x:c r="B162" s="104"/>
      <x:c r="C162" s="104"/>
      <x:c r="D162" s="108"/>
      <x:c r="E162" s="108"/>
      <x:c r="F162" s="108"/>
      <x:c r="G162" s="108"/>
      <x:c r="H162" s="108"/>
      <x:c r="I162" s="108"/>
      <x:c r="J162" s="108"/>
      <x:c r="K162" s="108"/>
      <x:c r="L162" s="108"/>
      <x:c r="M162" s="108"/>
      <x:c r="N162" s="44"/>
      <x:c r="O162" s="44"/>
      <x:c r="P162" s="44"/>
      <x:c r="Q162" s="44"/>
      <x:c r="R162" s="44"/>
      <x:c r="S162" s="44"/>
      <x:c r="T162" s="44"/>
      <x:c r="U162" s="44"/>
      <x:c r="V162" s="44"/>
      <x:c r="W162" s="44"/>
      <x:c r="X162" s="112"/>
      <x:c r="Y162" s="112"/>
      <x:c r="Z162" s="112"/>
      <x:c r="AA162" s="112"/>
      <x:c r="AB162" s="96" t="str">
        <x:f>IF(B162="","",COUNTA(D162:M162)/10)</x:f>
      </x:c>
      <x:c r="AC162" s="44" t="str">
        <x:f>IF(B162="","",IF(AB162=1,"Completo",IF(AB162&gt;=0.6,"En desarrollo","Pendiente")))</x:f>
      </x:c>
      <x:c r="AD162" s="136"/>
      <x:c r="AE162" s="136"/>
      <x:c r="AF162" s="136"/>
      <x:c r="AG162" s="136"/>
      <x:c r="AH162" s="138"/>
      <x:c r="AI162" s="138"/>
      <x:c r="AJ162" s="138"/>
      <x:c r="AK162" s="136"/>
      <x:c r="AL162" s="136"/>
      <x:c r="AM162" s="136"/>
      <x:c r="AN162" s="136"/>
      <x:c r="AO162" s="136"/>
      <x:c r="AP162" s="136"/>
      <x:c r="AQ162" s="136"/>
      <x:c r="AR162" s="136"/>
      <x:c r="AS162" s="136"/>
    </x:row>
    <x:row r="163">
      <x:c r="A163" s="104"/>
      <x:c r="B163" s="104"/>
      <x:c r="C163" s="104"/>
      <x:c r="D163" s="108"/>
      <x:c r="E163" s="108"/>
      <x:c r="F163" s="108"/>
      <x:c r="G163" s="108"/>
      <x:c r="H163" s="108"/>
      <x:c r="I163" s="108"/>
      <x:c r="J163" s="108"/>
      <x:c r="K163" s="108"/>
      <x:c r="L163" s="108"/>
      <x:c r="M163" s="108"/>
      <x:c r="N163" s="44"/>
      <x:c r="O163" s="44"/>
      <x:c r="P163" s="44"/>
      <x:c r="Q163" s="44"/>
      <x:c r="R163" s="44"/>
      <x:c r="S163" s="44"/>
      <x:c r="T163" s="44"/>
      <x:c r="U163" s="44"/>
      <x:c r="V163" s="44"/>
      <x:c r="W163" s="44"/>
      <x:c r="X163" s="112"/>
      <x:c r="Y163" s="112"/>
      <x:c r="Z163" s="112"/>
      <x:c r="AA163" s="112"/>
      <x:c r="AB163" s="96" t="str">
        <x:f>IF(B163="","",COUNTA(D163:M163)/10)</x:f>
      </x:c>
      <x:c r="AC163" s="44" t="str">
        <x:f>IF(B163="","",IF(AB163=1,"Completo",IF(AB163&gt;=0.6,"En desarrollo","Pendiente")))</x:f>
      </x:c>
      <x:c r="AD163" s="136"/>
      <x:c r="AE163" s="136"/>
      <x:c r="AF163" s="136"/>
      <x:c r="AG163" s="136"/>
      <x:c r="AH163" s="138"/>
      <x:c r="AI163" s="138"/>
      <x:c r="AJ163" s="138"/>
      <x:c r="AK163" s="136"/>
      <x:c r="AL163" s="136"/>
      <x:c r="AM163" s="136"/>
      <x:c r="AN163" s="136"/>
      <x:c r="AO163" s="136"/>
      <x:c r="AP163" s="136"/>
      <x:c r="AQ163" s="136"/>
      <x:c r="AR163" s="136"/>
      <x:c r="AS163" s="136"/>
    </x:row>
    <x:row r="164">
      <x:c r="A164" s="104"/>
      <x:c r="B164" s="104"/>
      <x:c r="C164" s="104"/>
      <x:c r="D164" s="108"/>
      <x:c r="E164" s="108"/>
      <x:c r="F164" s="108"/>
      <x:c r="G164" s="108"/>
      <x:c r="H164" s="108"/>
      <x:c r="I164" s="108"/>
      <x:c r="J164" s="108"/>
      <x:c r="K164" s="108"/>
      <x:c r="L164" s="108"/>
      <x:c r="M164" s="108"/>
      <x:c r="N164" s="44"/>
      <x:c r="O164" s="44"/>
      <x:c r="P164" s="44"/>
      <x:c r="Q164" s="44"/>
      <x:c r="R164" s="44"/>
      <x:c r="S164" s="44"/>
      <x:c r="T164" s="44"/>
      <x:c r="U164" s="44"/>
      <x:c r="V164" s="44"/>
      <x:c r="W164" s="44"/>
      <x:c r="X164" s="112"/>
      <x:c r="Y164" s="112"/>
      <x:c r="Z164" s="112"/>
      <x:c r="AA164" s="112"/>
      <x:c r="AB164" s="96" t="str">
        <x:f>IF(B164="","",COUNTA(D164:M164)/10)</x:f>
      </x:c>
      <x:c r="AC164" s="44" t="str">
        <x:f>IF(B164="","",IF(AB164=1,"Completo",IF(AB164&gt;=0.6,"En desarrollo","Pendiente")))</x:f>
      </x:c>
      <x:c r="AD164" s="136"/>
      <x:c r="AE164" s="136"/>
      <x:c r="AF164" s="136"/>
      <x:c r="AG164" s="136"/>
      <x:c r="AH164" s="138"/>
      <x:c r="AI164" s="138"/>
      <x:c r="AJ164" s="138"/>
      <x:c r="AK164" s="136"/>
      <x:c r="AL164" s="136"/>
      <x:c r="AM164" s="136"/>
      <x:c r="AN164" s="136"/>
      <x:c r="AO164" s="136"/>
      <x:c r="AP164" s="136"/>
      <x:c r="AQ164" s="136"/>
      <x:c r="AR164" s="136"/>
      <x:c r="AS164" s="136"/>
    </x:row>
    <x:row r="165">
      <x:c r="A165" s="104"/>
      <x:c r="B165" s="104"/>
      <x:c r="C165" s="104"/>
      <x:c r="D165" s="108"/>
      <x:c r="E165" s="108"/>
      <x:c r="F165" s="108"/>
      <x:c r="G165" s="108"/>
      <x:c r="H165" s="108"/>
      <x:c r="I165" s="108"/>
      <x:c r="J165" s="108"/>
      <x:c r="K165" s="108"/>
      <x:c r="L165" s="108"/>
      <x:c r="M165" s="108"/>
      <x:c r="N165" s="44"/>
      <x:c r="O165" s="44"/>
      <x:c r="P165" s="44"/>
      <x:c r="Q165" s="44"/>
      <x:c r="R165" s="44"/>
      <x:c r="S165" s="44"/>
      <x:c r="T165" s="44"/>
      <x:c r="U165" s="44"/>
      <x:c r="V165" s="44"/>
      <x:c r="W165" s="44"/>
      <x:c r="X165" s="112"/>
      <x:c r="Y165" s="112"/>
      <x:c r="Z165" s="112"/>
      <x:c r="AA165" s="112"/>
      <x:c r="AB165" s="96" t="str">
        <x:f>IF(B165="","",COUNTA(D165:M165)/10)</x:f>
      </x:c>
      <x:c r="AC165" s="44" t="str">
        <x:f>IF(B165="","",IF(AB165=1,"Completo",IF(AB165&gt;=0.6,"En desarrollo","Pendiente")))</x:f>
      </x:c>
      <x:c r="AD165" s="136"/>
      <x:c r="AE165" s="136"/>
      <x:c r="AF165" s="136"/>
      <x:c r="AG165" s="136"/>
      <x:c r="AH165" s="138"/>
      <x:c r="AI165" s="138"/>
      <x:c r="AJ165" s="138"/>
      <x:c r="AK165" s="136"/>
      <x:c r="AL165" s="136"/>
      <x:c r="AM165" s="136"/>
      <x:c r="AN165" s="136"/>
      <x:c r="AO165" s="136"/>
      <x:c r="AP165" s="136"/>
      <x:c r="AQ165" s="136"/>
      <x:c r="AR165" s="136"/>
      <x:c r="AS165" s="136"/>
    </x:row>
    <x:row r="166">
      <x:c r="A166" s="104"/>
      <x:c r="B166" s="104"/>
      <x:c r="C166" s="104"/>
      <x:c r="D166" s="108"/>
      <x:c r="E166" s="108"/>
      <x:c r="F166" s="108"/>
      <x:c r="G166" s="108"/>
      <x:c r="H166" s="108"/>
      <x:c r="I166" s="108"/>
      <x:c r="J166" s="108"/>
      <x:c r="K166" s="108"/>
      <x:c r="L166" s="108"/>
      <x:c r="M166" s="108"/>
      <x:c r="N166" s="44"/>
      <x:c r="O166" s="44"/>
      <x:c r="P166" s="44"/>
      <x:c r="Q166" s="44"/>
      <x:c r="R166" s="44"/>
      <x:c r="S166" s="44"/>
      <x:c r="T166" s="44"/>
      <x:c r="U166" s="44"/>
      <x:c r="V166" s="44"/>
      <x:c r="W166" s="44"/>
      <x:c r="X166" s="112"/>
      <x:c r="Y166" s="112"/>
      <x:c r="Z166" s="112"/>
      <x:c r="AA166" s="112"/>
      <x:c r="AB166" s="96" t="str">
        <x:f>IF(B166="","",COUNTA(D166:M166)/10)</x:f>
      </x:c>
      <x:c r="AC166" s="44" t="str">
        <x:f>IF(B166="","",IF(AB166=1,"Completo",IF(AB166&gt;=0.6,"En desarrollo","Pendiente")))</x:f>
      </x:c>
      <x:c r="AD166" s="136"/>
      <x:c r="AE166" s="136"/>
      <x:c r="AF166" s="136"/>
      <x:c r="AG166" s="136"/>
      <x:c r="AH166" s="138"/>
      <x:c r="AI166" s="138"/>
      <x:c r="AJ166" s="138"/>
      <x:c r="AK166" s="136"/>
      <x:c r="AL166" s="136"/>
      <x:c r="AM166" s="136"/>
      <x:c r="AN166" s="136"/>
      <x:c r="AO166" s="136"/>
      <x:c r="AP166" s="136"/>
      <x:c r="AQ166" s="136"/>
      <x:c r="AR166" s="136"/>
      <x:c r="AS166" s="136"/>
    </x:row>
    <x:row r="167">
      <x:c r="A167" s="104"/>
      <x:c r="B167" s="104"/>
      <x:c r="C167" s="104"/>
      <x:c r="D167" s="108"/>
      <x:c r="E167" s="108"/>
      <x:c r="F167" s="108"/>
      <x:c r="G167" s="108"/>
      <x:c r="H167" s="108"/>
      <x:c r="I167" s="108"/>
      <x:c r="J167" s="108"/>
      <x:c r="K167" s="108"/>
      <x:c r="L167" s="108"/>
      <x:c r="M167" s="108"/>
      <x:c r="N167" s="44"/>
      <x:c r="O167" s="44"/>
      <x:c r="P167" s="44"/>
      <x:c r="Q167" s="44"/>
      <x:c r="R167" s="44"/>
      <x:c r="S167" s="44"/>
      <x:c r="T167" s="44"/>
      <x:c r="U167" s="44"/>
      <x:c r="V167" s="44"/>
      <x:c r="W167" s="44"/>
      <x:c r="X167" s="112"/>
      <x:c r="Y167" s="112"/>
      <x:c r="Z167" s="112"/>
      <x:c r="AA167" s="112"/>
      <x:c r="AB167" s="96" t="str">
        <x:f>IF(B167="","",COUNTA(D167:M167)/10)</x:f>
      </x:c>
      <x:c r="AC167" s="44" t="str">
        <x:f>IF(B167="","",IF(AB167=1,"Completo",IF(AB167&gt;=0.6,"En desarrollo","Pendiente")))</x:f>
      </x:c>
      <x:c r="AD167" s="136"/>
      <x:c r="AE167" s="136"/>
      <x:c r="AF167" s="136"/>
      <x:c r="AG167" s="136"/>
      <x:c r="AH167" s="138"/>
      <x:c r="AI167" s="138"/>
      <x:c r="AJ167" s="138"/>
      <x:c r="AK167" s="136"/>
      <x:c r="AL167" s="136"/>
      <x:c r="AM167" s="136"/>
      <x:c r="AN167" s="136"/>
      <x:c r="AO167" s="136"/>
      <x:c r="AP167" s="136"/>
      <x:c r="AQ167" s="136"/>
      <x:c r="AR167" s="136"/>
      <x:c r="AS167" s="136"/>
    </x:row>
    <x:row r="168">
      <x:c r="A168" s="104"/>
      <x:c r="B168" s="104"/>
      <x:c r="C168" s="104"/>
      <x:c r="D168" s="108"/>
      <x:c r="E168" s="108"/>
      <x:c r="F168" s="108"/>
      <x:c r="G168" s="108"/>
      <x:c r="H168" s="108"/>
      <x:c r="I168" s="108"/>
      <x:c r="J168" s="108"/>
      <x:c r="K168" s="108"/>
      <x:c r="L168" s="108"/>
      <x:c r="M168" s="108"/>
      <x:c r="N168" s="44"/>
      <x:c r="O168" s="44"/>
      <x:c r="P168" s="44"/>
      <x:c r="Q168" s="44"/>
      <x:c r="R168" s="44"/>
      <x:c r="S168" s="44"/>
      <x:c r="T168" s="44"/>
      <x:c r="U168" s="44"/>
      <x:c r="V168" s="44"/>
      <x:c r="W168" s="44"/>
      <x:c r="X168" s="112"/>
      <x:c r="Y168" s="112"/>
      <x:c r="Z168" s="112"/>
      <x:c r="AA168" s="112"/>
      <x:c r="AB168" s="96" t="str">
        <x:f>IF(B168="","",COUNTA(D168:M168)/10)</x:f>
      </x:c>
      <x:c r="AC168" s="44" t="str">
        <x:f>IF(B168="","",IF(AB168=1,"Completo",IF(AB168&gt;=0.6,"En desarrollo","Pendiente")))</x:f>
      </x:c>
      <x:c r="AD168" s="136"/>
      <x:c r="AE168" s="136"/>
      <x:c r="AF168" s="136"/>
      <x:c r="AG168" s="136"/>
      <x:c r="AH168" s="138"/>
      <x:c r="AI168" s="138"/>
      <x:c r="AJ168" s="138"/>
      <x:c r="AK168" s="136"/>
      <x:c r="AL168" s="136"/>
      <x:c r="AM168" s="136"/>
      <x:c r="AN168" s="136"/>
      <x:c r="AO168" s="136"/>
      <x:c r="AP168" s="136"/>
      <x:c r="AQ168" s="136"/>
      <x:c r="AR168" s="136"/>
      <x:c r="AS168" s="136"/>
    </x:row>
    <x:row r="169">
      <x:c r="A169" s="104"/>
      <x:c r="B169" s="104"/>
      <x:c r="C169" s="104"/>
      <x:c r="D169" s="108"/>
      <x:c r="E169" s="108"/>
      <x:c r="F169" s="108"/>
      <x:c r="G169" s="108"/>
      <x:c r="H169" s="108"/>
      <x:c r="I169" s="108"/>
      <x:c r="J169" s="108"/>
      <x:c r="K169" s="108"/>
      <x:c r="L169" s="108"/>
      <x:c r="M169" s="108"/>
      <x:c r="N169" s="44"/>
      <x:c r="O169" s="44"/>
      <x:c r="P169" s="44"/>
      <x:c r="Q169" s="44"/>
      <x:c r="R169" s="44"/>
      <x:c r="S169" s="44"/>
      <x:c r="T169" s="44"/>
      <x:c r="U169" s="44"/>
      <x:c r="V169" s="44"/>
      <x:c r="W169" s="44"/>
      <x:c r="X169" s="112"/>
      <x:c r="Y169" s="112"/>
      <x:c r="Z169" s="112"/>
      <x:c r="AA169" s="112"/>
      <x:c r="AB169" s="96" t="str">
        <x:f>IF(B169="","",COUNTA(D169:M169)/10)</x:f>
      </x:c>
      <x:c r="AC169" s="44" t="str">
        <x:f>IF(B169="","",IF(AB169=1,"Completo",IF(AB169&gt;=0.6,"En desarrollo","Pendiente")))</x:f>
      </x:c>
      <x:c r="AD169" s="136"/>
      <x:c r="AE169" s="136"/>
      <x:c r="AF169" s="136"/>
      <x:c r="AG169" s="136"/>
      <x:c r="AH169" s="138"/>
      <x:c r="AI169" s="138"/>
      <x:c r="AJ169" s="138"/>
      <x:c r="AK169" s="136"/>
      <x:c r="AL169" s="136"/>
      <x:c r="AM169" s="136"/>
      <x:c r="AN169" s="136"/>
      <x:c r="AO169" s="136"/>
      <x:c r="AP169" s="136"/>
      <x:c r="AQ169" s="136"/>
      <x:c r="AR169" s="136"/>
      <x:c r="AS169" s="136"/>
    </x:row>
    <x:row r="170">
      <x:c r="A170" s="104"/>
      <x:c r="B170" s="104"/>
      <x:c r="C170" s="104"/>
      <x:c r="D170" s="108"/>
      <x:c r="E170" s="108"/>
      <x:c r="F170" s="108"/>
      <x:c r="G170" s="108"/>
      <x:c r="H170" s="108"/>
      <x:c r="I170" s="108"/>
      <x:c r="J170" s="108"/>
      <x:c r="K170" s="108"/>
      <x:c r="L170" s="108"/>
      <x:c r="M170" s="108"/>
      <x:c r="N170" s="44"/>
      <x:c r="O170" s="44"/>
      <x:c r="P170" s="44"/>
      <x:c r="Q170" s="44"/>
      <x:c r="R170" s="44"/>
      <x:c r="S170" s="44"/>
      <x:c r="T170" s="44"/>
      <x:c r="U170" s="44"/>
      <x:c r="V170" s="44"/>
      <x:c r="W170" s="44"/>
      <x:c r="X170" s="112"/>
      <x:c r="Y170" s="112"/>
      <x:c r="Z170" s="112"/>
      <x:c r="AA170" s="112"/>
      <x:c r="AB170" s="96" t="str">
        <x:f>IF(B170="","",COUNTA(D170:M170)/10)</x:f>
      </x:c>
      <x:c r="AC170" s="44" t="str">
        <x:f>IF(B170="","",IF(AB170=1,"Completo",IF(AB170&gt;=0.6,"En desarrollo","Pendiente")))</x:f>
      </x:c>
      <x:c r="AD170" s="136"/>
      <x:c r="AE170" s="136"/>
      <x:c r="AF170" s="136"/>
      <x:c r="AG170" s="136"/>
      <x:c r="AH170" s="138"/>
      <x:c r="AI170" s="138"/>
      <x:c r="AJ170" s="138"/>
      <x:c r="AK170" s="136"/>
      <x:c r="AL170" s="136"/>
      <x:c r="AM170" s="136"/>
      <x:c r="AN170" s="136"/>
      <x:c r="AO170" s="136"/>
      <x:c r="AP170" s="136"/>
      <x:c r="AQ170" s="136"/>
      <x:c r="AR170" s="136"/>
      <x:c r="AS170" s="136"/>
    </x:row>
    <x:row r="171">
      <x:c r="A171" s="104"/>
      <x:c r="B171" s="104"/>
      <x:c r="C171" s="104"/>
      <x:c r="D171" s="108"/>
      <x:c r="E171" s="108"/>
      <x:c r="F171" s="108"/>
      <x:c r="G171" s="108"/>
      <x:c r="H171" s="108"/>
      <x:c r="I171" s="108"/>
      <x:c r="J171" s="108"/>
      <x:c r="K171" s="108"/>
      <x:c r="L171" s="108"/>
      <x:c r="M171" s="108"/>
      <x:c r="N171" s="44"/>
      <x:c r="O171" s="44"/>
      <x:c r="P171" s="44"/>
      <x:c r="Q171" s="44"/>
      <x:c r="R171" s="44"/>
      <x:c r="S171" s="44"/>
      <x:c r="T171" s="44"/>
      <x:c r="U171" s="44"/>
      <x:c r="V171" s="44"/>
      <x:c r="W171" s="44"/>
      <x:c r="X171" s="112"/>
      <x:c r="Y171" s="112"/>
      <x:c r="Z171" s="112"/>
      <x:c r="AA171" s="112"/>
      <x:c r="AB171" s="96" t="str">
        <x:f>IF(B171="","",COUNTA(D171:M171)/10)</x:f>
      </x:c>
      <x:c r="AC171" s="44" t="str">
        <x:f>IF(B171="","",IF(AB171=1,"Completo",IF(AB171&gt;=0.6,"En desarrollo","Pendiente")))</x:f>
      </x:c>
      <x:c r="AD171" s="136"/>
      <x:c r="AE171" s="136"/>
      <x:c r="AF171" s="136"/>
      <x:c r="AG171" s="136"/>
      <x:c r="AH171" s="138"/>
      <x:c r="AI171" s="138"/>
      <x:c r="AJ171" s="138"/>
      <x:c r="AK171" s="136"/>
      <x:c r="AL171" s="136"/>
      <x:c r="AM171" s="136"/>
      <x:c r="AN171" s="136"/>
      <x:c r="AO171" s="136"/>
      <x:c r="AP171" s="136"/>
      <x:c r="AQ171" s="136"/>
      <x:c r="AR171" s="136"/>
      <x:c r="AS171" s="136"/>
    </x:row>
    <x:row r="172">
      <x:c r="A172" s="104"/>
      <x:c r="B172" s="104"/>
      <x:c r="C172" s="104"/>
      <x:c r="D172" s="108"/>
      <x:c r="E172" s="108"/>
      <x:c r="F172" s="108"/>
      <x:c r="G172" s="108"/>
      <x:c r="H172" s="108"/>
      <x:c r="I172" s="108"/>
      <x:c r="J172" s="108"/>
      <x:c r="K172" s="108"/>
      <x:c r="L172" s="108"/>
      <x:c r="M172" s="108"/>
      <x:c r="N172" s="44"/>
      <x:c r="O172" s="44"/>
      <x:c r="P172" s="44"/>
      <x:c r="Q172" s="44"/>
      <x:c r="R172" s="44"/>
      <x:c r="S172" s="44"/>
      <x:c r="T172" s="44"/>
      <x:c r="U172" s="44"/>
      <x:c r="V172" s="44"/>
      <x:c r="W172" s="44"/>
      <x:c r="X172" s="112"/>
      <x:c r="Y172" s="112"/>
      <x:c r="Z172" s="112"/>
      <x:c r="AA172" s="112"/>
      <x:c r="AB172" s="96" t="str">
        <x:f>IF(B172="","",COUNTA(D172:M172)/10)</x:f>
      </x:c>
      <x:c r="AC172" s="44" t="str">
        <x:f>IF(B172="","",IF(AB172=1,"Completo",IF(AB172&gt;=0.6,"En desarrollo","Pendiente")))</x:f>
      </x:c>
      <x:c r="AD172" s="136"/>
      <x:c r="AE172" s="136"/>
      <x:c r="AF172" s="136"/>
      <x:c r="AG172" s="136"/>
      <x:c r="AH172" s="138"/>
      <x:c r="AI172" s="138"/>
      <x:c r="AJ172" s="138"/>
      <x:c r="AK172" s="136"/>
      <x:c r="AL172" s="136"/>
      <x:c r="AM172" s="136"/>
      <x:c r="AN172" s="136"/>
      <x:c r="AO172" s="136"/>
      <x:c r="AP172" s="136"/>
      <x:c r="AQ172" s="136"/>
      <x:c r="AR172" s="136"/>
      <x:c r="AS172" s="136"/>
    </x:row>
    <x:row r="173">
      <x:c r="A173" s="104"/>
      <x:c r="B173" s="104"/>
      <x:c r="C173" s="104"/>
      <x:c r="D173" s="108"/>
      <x:c r="E173" s="108"/>
      <x:c r="F173" s="108"/>
      <x:c r="G173" s="108"/>
      <x:c r="H173" s="108"/>
      <x:c r="I173" s="108"/>
      <x:c r="J173" s="108"/>
      <x:c r="K173" s="108"/>
      <x:c r="L173" s="108"/>
      <x:c r="M173" s="108"/>
      <x:c r="N173" s="44"/>
      <x:c r="O173" s="44"/>
      <x:c r="P173" s="44"/>
      <x:c r="Q173" s="44"/>
      <x:c r="R173" s="44"/>
      <x:c r="S173" s="44"/>
      <x:c r="T173" s="44"/>
      <x:c r="U173" s="44"/>
      <x:c r="V173" s="44"/>
      <x:c r="W173" s="44"/>
      <x:c r="X173" s="112"/>
      <x:c r="Y173" s="112"/>
      <x:c r="Z173" s="112"/>
      <x:c r="AA173" s="112"/>
      <x:c r="AB173" s="96" t="str">
        <x:f>IF(B173="","",COUNTA(D173:M173)/10)</x:f>
      </x:c>
      <x:c r="AC173" s="44" t="str">
        <x:f>IF(B173="","",IF(AB173=1,"Completo",IF(AB173&gt;=0.6,"En desarrollo","Pendiente")))</x:f>
      </x:c>
      <x:c r="AD173" s="136"/>
      <x:c r="AE173" s="136"/>
      <x:c r="AF173" s="136"/>
      <x:c r="AG173" s="136"/>
      <x:c r="AH173" s="138"/>
      <x:c r="AI173" s="138"/>
      <x:c r="AJ173" s="138"/>
      <x:c r="AK173" s="136"/>
      <x:c r="AL173" s="136"/>
      <x:c r="AM173" s="136"/>
      <x:c r="AN173" s="136"/>
      <x:c r="AO173" s="136"/>
      <x:c r="AP173" s="136"/>
      <x:c r="AQ173" s="136"/>
      <x:c r="AR173" s="136"/>
      <x:c r="AS173" s="136"/>
    </x:row>
    <x:row r="174">
      <x:c r="A174" s="104"/>
      <x:c r="B174" s="104"/>
      <x:c r="C174" s="104"/>
      <x:c r="D174" s="108"/>
      <x:c r="E174" s="108"/>
      <x:c r="F174" s="108"/>
      <x:c r="G174" s="108"/>
      <x:c r="H174" s="108"/>
      <x:c r="I174" s="108"/>
      <x:c r="J174" s="108"/>
      <x:c r="K174" s="108"/>
      <x:c r="L174" s="108"/>
      <x:c r="M174" s="108"/>
      <x:c r="N174" s="44"/>
      <x:c r="O174" s="44"/>
      <x:c r="P174" s="44"/>
      <x:c r="Q174" s="44"/>
      <x:c r="R174" s="44"/>
      <x:c r="S174" s="44"/>
      <x:c r="T174" s="44"/>
      <x:c r="U174" s="44"/>
      <x:c r="V174" s="44"/>
      <x:c r="W174" s="44"/>
      <x:c r="X174" s="112"/>
      <x:c r="Y174" s="112"/>
      <x:c r="Z174" s="112"/>
      <x:c r="AA174" s="112"/>
      <x:c r="AB174" s="96" t="str">
        <x:f>IF(B174="","",COUNTA(D174:M174)/10)</x:f>
      </x:c>
      <x:c r="AC174" s="44" t="str">
        <x:f>IF(B174="","",IF(AB174=1,"Completo",IF(AB174&gt;=0.6,"En desarrollo","Pendiente")))</x:f>
      </x:c>
      <x:c r="AD174" s="136"/>
      <x:c r="AE174" s="136"/>
      <x:c r="AF174" s="136"/>
      <x:c r="AG174" s="136"/>
      <x:c r="AH174" s="138"/>
      <x:c r="AI174" s="138"/>
      <x:c r="AJ174" s="138"/>
      <x:c r="AK174" s="136"/>
      <x:c r="AL174" s="136"/>
      <x:c r="AM174" s="136"/>
      <x:c r="AN174" s="136"/>
      <x:c r="AO174" s="136"/>
      <x:c r="AP174" s="136"/>
      <x:c r="AQ174" s="136"/>
      <x:c r="AR174" s="136"/>
      <x:c r="AS174" s="136"/>
    </x:row>
    <x:row r="175">
      <x:c r="A175" s="104"/>
      <x:c r="B175" s="104"/>
      <x:c r="C175" s="104"/>
      <x:c r="D175" s="108"/>
      <x:c r="E175" s="108"/>
      <x:c r="F175" s="108"/>
      <x:c r="G175" s="108"/>
      <x:c r="H175" s="108"/>
      <x:c r="I175" s="108"/>
      <x:c r="J175" s="108"/>
      <x:c r="K175" s="108"/>
      <x:c r="L175" s="108"/>
      <x:c r="M175" s="108"/>
      <x:c r="N175" s="44"/>
      <x:c r="O175" s="44"/>
      <x:c r="P175" s="44"/>
      <x:c r="Q175" s="44"/>
      <x:c r="R175" s="44"/>
      <x:c r="S175" s="44"/>
      <x:c r="T175" s="44"/>
      <x:c r="U175" s="44"/>
      <x:c r="V175" s="44"/>
      <x:c r="W175" s="44"/>
      <x:c r="X175" s="112"/>
      <x:c r="Y175" s="112"/>
      <x:c r="Z175" s="112"/>
      <x:c r="AA175" s="112"/>
      <x:c r="AB175" s="96" t="str">
        <x:f>IF(B175="","",COUNTA(D175:M175)/10)</x:f>
      </x:c>
      <x:c r="AC175" s="44" t="str">
        <x:f>IF(B175="","",IF(AB175=1,"Completo",IF(AB175&gt;=0.6,"En desarrollo","Pendiente")))</x:f>
      </x:c>
      <x:c r="AD175" s="136"/>
      <x:c r="AE175" s="136"/>
      <x:c r="AF175" s="136"/>
      <x:c r="AG175" s="136"/>
      <x:c r="AH175" s="138"/>
      <x:c r="AI175" s="138"/>
      <x:c r="AJ175" s="138"/>
      <x:c r="AK175" s="136"/>
      <x:c r="AL175" s="136"/>
      <x:c r="AM175" s="136"/>
      <x:c r="AN175" s="136"/>
      <x:c r="AO175" s="136"/>
      <x:c r="AP175" s="136"/>
      <x:c r="AQ175" s="136"/>
      <x:c r="AR175" s="136"/>
      <x:c r="AS175" s="136"/>
    </x:row>
    <x:row r="176">
      <x:c r="A176" s="104"/>
      <x:c r="B176" s="104"/>
      <x:c r="C176" s="104"/>
      <x:c r="D176" s="108"/>
      <x:c r="E176" s="108"/>
      <x:c r="F176" s="108"/>
      <x:c r="G176" s="108"/>
      <x:c r="H176" s="108"/>
      <x:c r="I176" s="108"/>
      <x:c r="J176" s="108"/>
      <x:c r="K176" s="108"/>
      <x:c r="L176" s="108"/>
      <x:c r="M176" s="108"/>
      <x:c r="N176" s="44"/>
      <x:c r="O176" s="44"/>
      <x:c r="P176" s="44"/>
      <x:c r="Q176" s="44"/>
      <x:c r="R176" s="44"/>
      <x:c r="S176" s="44"/>
      <x:c r="T176" s="44"/>
      <x:c r="U176" s="44"/>
      <x:c r="V176" s="44"/>
      <x:c r="W176" s="44"/>
      <x:c r="X176" s="112"/>
      <x:c r="Y176" s="112"/>
      <x:c r="Z176" s="112"/>
      <x:c r="AA176" s="112"/>
      <x:c r="AB176" s="96" t="str">
        <x:f>IF(B176="","",COUNTA(D176:M176)/10)</x:f>
      </x:c>
      <x:c r="AC176" s="44" t="str">
        <x:f>IF(B176="","",IF(AB176=1,"Completo",IF(AB176&gt;=0.6,"En desarrollo","Pendiente")))</x:f>
      </x:c>
      <x:c r="AD176" s="136"/>
      <x:c r="AE176" s="136"/>
      <x:c r="AF176" s="136"/>
      <x:c r="AG176" s="136"/>
      <x:c r="AH176" s="138"/>
      <x:c r="AI176" s="138"/>
      <x:c r="AJ176" s="138"/>
      <x:c r="AK176" s="136"/>
      <x:c r="AL176" s="136"/>
      <x:c r="AM176" s="136"/>
      <x:c r="AN176" s="136"/>
      <x:c r="AO176" s="136"/>
      <x:c r="AP176" s="136"/>
      <x:c r="AQ176" s="136"/>
      <x:c r="AR176" s="136"/>
      <x:c r="AS176" s="136"/>
    </x:row>
    <x:row r="177">
      <x:c r="A177" s="104"/>
      <x:c r="B177" s="104"/>
      <x:c r="C177" s="104"/>
      <x:c r="D177" s="108"/>
      <x:c r="E177" s="108"/>
      <x:c r="F177" s="108"/>
      <x:c r="G177" s="108"/>
      <x:c r="H177" s="108"/>
      <x:c r="I177" s="108"/>
      <x:c r="J177" s="108"/>
      <x:c r="K177" s="108"/>
      <x:c r="L177" s="108"/>
      <x:c r="M177" s="108"/>
      <x:c r="N177" s="44"/>
      <x:c r="O177" s="44"/>
      <x:c r="P177" s="44"/>
      <x:c r="Q177" s="44"/>
      <x:c r="R177" s="44"/>
      <x:c r="S177" s="44"/>
      <x:c r="T177" s="44"/>
      <x:c r="U177" s="44"/>
      <x:c r="V177" s="44"/>
      <x:c r="W177" s="44"/>
      <x:c r="X177" s="112"/>
      <x:c r="Y177" s="112"/>
      <x:c r="Z177" s="112"/>
      <x:c r="AA177" s="112"/>
      <x:c r="AB177" s="96" t="str">
        <x:f>IF(B177="","",COUNTA(D177:M177)/10)</x:f>
      </x:c>
      <x:c r="AC177" s="44" t="str">
        <x:f>IF(B177="","",IF(AB177=1,"Completo",IF(AB177&gt;=0.6,"En desarrollo","Pendiente")))</x:f>
      </x:c>
      <x:c r="AD177" s="136"/>
      <x:c r="AE177" s="136"/>
      <x:c r="AF177" s="136"/>
      <x:c r="AG177" s="136"/>
      <x:c r="AH177" s="138"/>
      <x:c r="AI177" s="138"/>
      <x:c r="AJ177" s="138"/>
      <x:c r="AK177" s="136"/>
      <x:c r="AL177" s="136"/>
      <x:c r="AM177" s="136"/>
      <x:c r="AN177" s="136"/>
      <x:c r="AO177" s="136"/>
      <x:c r="AP177" s="136"/>
      <x:c r="AQ177" s="136"/>
      <x:c r="AR177" s="136"/>
      <x:c r="AS177" s="136"/>
    </x:row>
    <x:row r="178">
      <x:c r="A178" s="104"/>
      <x:c r="B178" s="104"/>
      <x:c r="C178" s="104"/>
      <x:c r="D178" s="108"/>
      <x:c r="E178" s="108"/>
      <x:c r="F178" s="108"/>
      <x:c r="G178" s="108"/>
      <x:c r="H178" s="108"/>
      <x:c r="I178" s="108"/>
      <x:c r="J178" s="108"/>
      <x:c r="K178" s="108"/>
      <x:c r="L178" s="108"/>
      <x:c r="M178" s="108"/>
      <x:c r="N178" s="44"/>
      <x:c r="O178" s="44"/>
      <x:c r="P178" s="44"/>
      <x:c r="Q178" s="44"/>
      <x:c r="R178" s="44"/>
      <x:c r="S178" s="44"/>
      <x:c r="T178" s="44"/>
      <x:c r="U178" s="44"/>
      <x:c r="V178" s="44"/>
      <x:c r="W178" s="44"/>
      <x:c r="X178" s="112"/>
      <x:c r="Y178" s="112"/>
      <x:c r="Z178" s="112"/>
      <x:c r="AA178" s="112"/>
      <x:c r="AB178" s="96" t="str">
        <x:f>IF(B178="","",COUNTA(D178:M178)/10)</x:f>
      </x:c>
      <x:c r="AC178" s="44" t="str">
        <x:f>IF(B178="","",IF(AB178=1,"Completo",IF(AB178&gt;=0.6,"En desarrollo","Pendiente")))</x:f>
      </x:c>
      <x:c r="AD178" s="136"/>
      <x:c r="AE178" s="136"/>
      <x:c r="AF178" s="136"/>
      <x:c r="AG178" s="136"/>
      <x:c r="AH178" s="138"/>
      <x:c r="AI178" s="138"/>
      <x:c r="AJ178" s="138"/>
      <x:c r="AK178" s="136"/>
      <x:c r="AL178" s="136"/>
      <x:c r="AM178" s="136"/>
      <x:c r="AN178" s="136"/>
      <x:c r="AO178" s="136"/>
      <x:c r="AP178" s="136"/>
      <x:c r="AQ178" s="136"/>
      <x:c r="AR178" s="136"/>
      <x:c r="AS178" s="136"/>
    </x:row>
    <x:row r="179">
      <x:c r="A179" s="104"/>
      <x:c r="B179" s="104"/>
      <x:c r="C179" s="104"/>
      <x:c r="D179" s="108"/>
      <x:c r="E179" s="108"/>
      <x:c r="F179" s="108"/>
      <x:c r="G179" s="108"/>
      <x:c r="H179" s="108"/>
      <x:c r="I179" s="108"/>
      <x:c r="J179" s="108"/>
      <x:c r="K179" s="108"/>
      <x:c r="L179" s="108"/>
      <x:c r="M179" s="108"/>
      <x:c r="N179" s="44"/>
      <x:c r="O179" s="44"/>
      <x:c r="P179" s="44"/>
      <x:c r="Q179" s="44"/>
      <x:c r="R179" s="44"/>
      <x:c r="S179" s="44"/>
      <x:c r="T179" s="44"/>
      <x:c r="U179" s="44"/>
      <x:c r="V179" s="44"/>
      <x:c r="W179" s="44"/>
      <x:c r="X179" s="112"/>
      <x:c r="Y179" s="112"/>
      <x:c r="Z179" s="112"/>
      <x:c r="AA179" s="112"/>
      <x:c r="AB179" s="96" t="str">
        <x:f>IF(B179="","",COUNTA(D179:M179)/10)</x:f>
      </x:c>
      <x:c r="AC179" s="44" t="str">
        <x:f>IF(B179="","",IF(AB179=1,"Completo",IF(AB179&gt;=0.6,"En desarrollo","Pendiente")))</x:f>
      </x:c>
      <x:c r="AD179" s="136"/>
      <x:c r="AE179" s="136"/>
      <x:c r="AF179" s="136"/>
      <x:c r="AG179" s="136"/>
      <x:c r="AH179" s="138"/>
      <x:c r="AI179" s="138"/>
      <x:c r="AJ179" s="138"/>
      <x:c r="AK179" s="136"/>
      <x:c r="AL179" s="136"/>
      <x:c r="AM179" s="136"/>
      <x:c r="AN179" s="136"/>
      <x:c r="AO179" s="136"/>
      <x:c r="AP179" s="136"/>
      <x:c r="AQ179" s="136"/>
      <x:c r="AR179" s="136"/>
      <x:c r="AS179" s="136"/>
    </x:row>
    <x:row r="180">
      <x:c r="A180" s="104"/>
      <x:c r="B180" s="104"/>
      <x:c r="C180" s="104"/>
      <x:c r="D180" s="108"/>
      <x:c r="E180" s="108"/>
      <x:c r="F180" s="108"/>
      <x:c r="G180" s="108"/>
      <x:c r="H180" s="108"/>
      <x:c r="I180" s="108"/>
      <x:c r="J180" s="108"/>
      <x:c r="K180" s="108"/>
      <x:c r="L180" s="108"/>
      <x:c r="M180" s="108"/>
      <x:c r="N180" s="44"/>
      <x:c r="O180" s="44"/>
      <x:c r="P180" s="44"/>
      <x:c r="Q180" s="44"/>
      <x:c r="R180" s="44"/>
      <x:c r="S180" s="44"/>
      <x:c r="T180" s="44"/>
      <x:c r="U180" s="44"/>
      <x:c r="V180" s="44"/>
      <x:c r="W180" s="44"/>
      <x:c r="X180" s="112"/>
      <x:c r="Y180" s="112"/>
      <x:c r="Z180" s="112"/>
      <x:c r="AA180" s="112"/>
      <x:c r="AB180" s="96" t="str">
        <x:f>IF(B180="","",COUNTA(D180:M180)/10)</x:f>
      </x:c>
      <x:c r="AC180" s="44" t="str">
        <x:f>IF(B180="","",IF(AB180=1,"Completo",IF(AB180&gt;=0.6,"En desarrollo","Pendiente")))</x:f>
      </x:c>
      <x:c r="AD180" s="136"/>
      <x:c r="AE180" s="136"/>
      <x:c r="AF180" s="136"/>
      <x:c r="AG180" s="136"/>
      <x:c r="AH180" s="138"/>
      <x:c r="AI180" s="138"/>
      <x:c r="AJ180" s="138"/>
      <x:c r="AK180" s="136"/>
      <x:c r="AL180" s="136"/>
      <x:c r="AM180" s="136"/>
      <x:c r="AN180" s="136"/>
      <x:c r="AO180" s="136"/>
      <x:c r="AP180" s="136"/>
      <x:c r="AQ180" s="136"/>
      <x:c r="AR180" s="136"/>
      <x:c r="AS180" s="136"/>
    </x:row>
    <x:row r="181">
      <x:c r="A181" s="104"/>
      <x:c r="B181" s="104"/>
      <x:c r="C181" s="104"/>
      <x:c r="D181" s="108"/>
      <x:c r="E181" s="108"/>
      <x:c r="F181" s="108"/>
      <x:c r="G181" s="108"/>
      <x:c r="H181" s="108"/>
      <x:c r="I181" s="108"/>
      <x:c r="J181" s="108"/>
      <x:c r="K181" s="108"/>
      <x:c r="L181" s="108"/>
      <x:c r="M181" s="108"/>
      <x:c r="N181" s="44"/>
      <x:c r="O181" s="44"/>
      <x:c r="P181" s="44"/>
      <x:c r="Q181" s="44"/>
      <x:c r="R181" s="44"/>
      <x:c r="S181" s="44"/>
      <x:c r="T181" s="44"/>
      <x:c r="U181" s="44"/>
      <x:c r="V181" s="44"/>
      <x:c r="W181" s="44"/>
      <x:c r="X181" s="112"/>
      <x:c r="Y181" s="112"/>
      <x:c r="Z181" s="112"/>
      <x:c r="AA181" s="112"/>
      <x:c r="AB181" s="96" t="str">
        <x:f>IF(B181="","",COUNTA(D181:M181)/10)</x:f>
      </x:c>
      <x:c r="AC181" s="44" t="str">
        <x:f>IF(B181="","",IF(AB181=1,"Completo",IF(AB181&gt;=0.6,"En desarrollo","Pendiente")))</x:f>
      </x:c>
      <x:c r="AD181" s="136"/>
      <x:c r="AE181" s="136"/>
      <x:c r="AF181" s="136"/>
      <x:c r="AG181" s="136"/>
      <x:c r="AH181" s="138"/>
      <x:c r="AI181" s="138"/>
      <x:c r="AJ181" s="138"/>
      <x:c r="AK181" s="136"/>
      <x:c r="AL181" s="136"/>
      <x:c r="AM181" s="136"/>
      <x:c r="AN181" s="136"/>
      <x:c r="AO181" s="136"/>
      <x:c r="AP181" s="136"/>
      <x:c r="AQ181" s="136"/>
      <x:c r="AR181" s="136"/>
      <x:c r="AS181" s="136"/>
    </x:row>
    <x:row r="182">
      <x:c r="A182" s="104"/>
      <x:c r="B182" s="104"/>
      <x:c r="C182" s="104"/>
      <x:c r="D182" s="108"/>
      <x:c r="E182" s="108"/>
      <x:c r="F182" s="108"/>
      <x:c r="G182" s="108"/>
      <x:c r="H182" s="108"/>
      <x:c r="I182" s="108"/>
      <x:c r="J182" s="108"/>
      <x:c r="K182" s="108"/>
      <x:c r="L182" s="108"/>
      <x:c r="M182" s="108"/>
      <x:c r="N182" s="44"/>
      <x:c r="O182" s="44"/>
      <x:c r="P182" s="44"/>
      <x:c r="Q182" s="44"/>
      <x:c r="R182" s="44"/>
      <x:c r="S182" s="44"/>
      <x:c r="T182" s="44"/>
      <x:c r="U182" s="44"/>
      <x:c r="V182" s="44"/>
      <x:c r="W182" s="44"/>
      <x:c r="X182" s="112"/>
      <x:c r="Y182" s="112"/>
      <x:c r="Z182" s="112"/>
      <x:c r="AA182" s="112"/>
      <x:c r="AB182" s="96" t="str">
        <x:f>IF(B182="","",COUNTA(D182:M182)/10)</x:f>
      </x:c>
      <x:c r="AC182" s="44" t="str">
        <x:f>IF(B182="","",IF(AB182=1,"Completo",IF(AB182&gt;=0.6,"En desarrollo","Pendiente")))</x:f>
      </x:c>
      <x:c r="AD182" s="136"/>
      <x:c r="AE182" s="136"/>
      <x:c r="AF182" s="136"/>
      <x:c r="AG182" s="136"/>
      <x:c r="AH182" s="138"/>
      <x:c r="AI182" s="138"/>
      <x:c r="AJ182" s="138"/>
      <x:c r="AK182" s="136"/>
      <x:c r="AL182" s="136"/>
      <x:c r="AM182" s="136"/>
      <x:c r="AN182" s="136"/>
      <x:c r="AO182" s="136"/>
      <x:c r="AP182" s="136"/>
      <x:c r="AQ182" s="136"/>
      <x:c r="AR182" s="136"/>
      <x:c r="AS182" s="136"/>
    </x:row>
    <x:row r="183">
      <x:c r="A183" s="104"/>
      <x:c r="B183" s="104"/>
      <x:c r="C183" s="104"/>
      <x:c r="D183" s="108"/>
      <x:c r="E183" s="108"/>
      <x:c r="F183" s="108"/>
      <x:c r="G183" s="108"/>
      <x:c r="H183" s="108"/>
      <x:c r="I183" s="108"/>
      <x:c r="J183" s="108"/>
      <x:c r="K183" s="108"/>
      <x:c r="L183" s="108"/>
      <x:c r="M183" s="108"/>
      <x:c r="N183" s="44"/>
      <x:c r="O183" s="44"/>
      <x:c r="P183" s="44"/>
      <x:c r="Q183" s="44"/>
      <x:c r="R183" s="44"/>
      <x:c r="S183" s="44"/>
      <x:c r="T183" s="44"/>
      <x:c r="U183" s="44"/>
      <x:c r="V183" s="44"/>
      <x:c r="W183" s="44"/>
      <x:c r="X183" s="112"/>
      <x:c r="Y183" s="112"/>
      <x:c r="Z183" s="112"/>
      <x:c r="AA183" s="112"/>
      <x:c r="AB183" s="96" t="str">
        <x:f>IF(B183="","",COUNTA(D183:M183)/10)</x:f>
      </x:c>
      <x:c r="AC183" s="44" t="str">
        <x:f>IF(B183="","",IF(AB183=1,"Completo",IF(AB183&gt;=0.6,"En desarrollo","Pendiente")))</x:f>
      </x:c>
      <x:c r="AD183" s="136"/>
      <x:c r="AE183" s="136"/>
      <x:c r="AF183" s="136"/>
      <x:c r="AG183" s="136"/>
      <x:c r="AH183" s="138"/>
      <x:c r="AI183" s="138"/>
      <x:c r="AJ183" s="138"/>
      <x:c r="AK183" s="136"/>
      <x:c r="AL183" s="136"/>
      <x:c r="AM183" s="136"/>
      <x:c r="AN183" s="136"/>
      <x:c r="AO183" s="136"/>
      <x:c r="AP183" s="136"/>
      <x:c r="AQ183" s="136"/>
      <x:c r="AR183" s="136"/>
      <x:c r="AS183" s="136"/>
    </x:row>
    <x:row r="184">
      <x:c r="A184" s="104"/>
      <x:c r="B184" s="104"/>
      <x:c r="C184" s="104"/>
      <x:c r="D184" s="108"/>
      <x:c r="E184" s="108"/>
      <x:c r="F184" s="108"/>
      <x:c r="G184" s="108"/>
      <x:c r="H184" s="108"/>
      <x:c r="I184" s="108"/>
      <x:c r="J184" s="108"/>
      <x:c r="K184" s="108"/>
      <x:c r="L184" s="108"/>
      <x:c r="M184" s="108"/>
      <x:c r="N184" s="44"/>
      <x:c r="O184" s="44"/>
      <x:c r="P184" s="44"/>
      <x:c r="Q184" s="44"/>
      <x:c r="R184" s="44"/>
      <x:c r="S184" s="44"/>
      <x:c r="T184" s="44"/>
      <x:c r="U184" s="44"/>
      <x:c r="V184" s="44"/>
      <x:c r="W184" s="44"/>
      <x:c r="X184" s="112"/>
      <x:c r="Y184" s="112"/>
      <x:c r="Z184" s="112"/>
      <x:c r="AA184" s="112"/>
      <x:c r="AB184" s="96" t="str">
        <x:f>IF(B184="","",COUNTA(D184:M184)/10)</x:f>
      </x:c>
      <x:c r="AC184" s="44" t="str">
        <x:f>IF(B184="","",IF(AB184=1,"Completo",IF(AB184&gt;=0.6,"En desarrollo","Pendiente")))</x:f>
      </x:c>
      <x:c r="AD184" s="136"/>
      <x:c r="AE184" s="136"/>
      <x:c r="AF184" s="136"/>
      <x:c r="AG184" s="136"/>
      <x:c r="AH184" s="138"/>
      <x:c r="AI184" s="138"/>
      <x:c r="AJ184" s="138"/>
      <x:c r="AK184" s="136"/>
      <x:c r="AL184" s="136"/>
      <x:c r="AM184" s="136"/>
      <x:c r="AN184" s="136"/>
      <x:c r="AO184" s="136"/>
      <x:c r="AP184" s="136"/>
      <x:c r="AQ184" s="136"/>
      <x:c r="AR184" s="136"/>
      <x:c r="AS184" s="136"/>
    </x:row>
    <x:row r="185">
      <x:c r="A185" s="104"/>
      <x:c r="B185" s="104"/>
      <x:c r="C185" s="104"/>
      <x:c r="D185" s="108"/>
      <x:c r="E185" s="108"/>
      <x:c r="F185" s="108"/>
      <x:c r="G185" s="108"/>
      <x:c r="H185" s="108"/>
      <x:c r="I185" s="108"/>
      <x:c r="J185" s="108"/>
      <x:c r="K185" s="108"/>
      <x:c r="L185" s="108"/>
      <x:c r="M185" s="108"/>
      <x:c r="N185" s="44"/>
      <x:c r="O185" s="44"/>
      <x:c r="P185" s="44"/>
      <x:c r="Q185" s="44"/>
      <x:c r="R185" s="44"/>
      <x:c r="S185" s="44"/>
      <x:c r="T185" s="44"/>
      <x:c r="U185" s="44"/>
      <x:c r="V185" s="44"/>
      <x:c r="W185" s="44"/>
      <x:c r="X185" s="112"/>
      <x:c r="Y185" s="112"/>
      <x:c r="Z185" s="112"/>
      <x:c r="AA185" s="112"/>
      <x:c r="AB185" s="96" t="str">
        <x:f>IF(B185="","",COUNTA(D185:M185)/10)</x:f>
      </x:c>
      <x:c r="AC185" s="44" t="str">
        <x:f>IF(B185="","",IF(AB185=1,"Completo",IF(AB185&gt;=0.6,"En desarrollo","Pendiente")))</x:f>
      </x:c>
      <x:c r="AD185" s="136"/>
      <x:c r="AE185" s="136"/>
      <x:c r="AF185" s="136"/>
      <x:c r="AG185" s="136"/>
      <x:c r="AH185" s="138"/>
      <x:c r="AI185" s="138"/>
      <x:c r="AJ185" s="138"/>
      <x:c r="AK185" s="136"/>
      <x:c r="AL185" s="136"/>
      <x:c r="AM185" s="136"/>
      <x:c r="AN185" s="136"/>
      <x:c r="AO185" s="136"/>
      <x:c r="AP185" s="136"/>
      <x:c r="AQ185" s="136"/>
      <x:c r="AR185" s="136"/>
      <x:c r="AS185" s="136"/>
    </x:row>
    <x:row r="186">
      <x:c r="A186" s="104"/>
      <x:c r="B186" s="104"/>
      <x:c r="C186" s="104"/>
      <x:c r="D186" s="108"/>
      <x:c r="E186" s="108"/>
      <x:c r="F186" s="108"/>
      <x:c r="G186" s="108"/>
      <x:c r="H186" s="108"/>
      <x:c r="I186" s="108"/>
      <x:c r="J186" s="108"/>
      <x:c r="K186" s="108"/>
      <x:c r="L186" s="108"/>
      <x:c r="M186" s="108"/>
      <x:c r="N186" s="44"/>
      <x:c r="O186" s="44"/>
      <x:c r="P186" s="44"/>
      <x:c r="Q186" s="44"/>
      <x:c r="R186" s="44"/>
      <x:c r="S186" s="44"/>
      <x:c r="T186" s="44"/>
      <x:c r="U186" s="44"/>
      <x:c r="V186" s="44"/>
      <x:c r="W186" s="44"/>
      <x:c r="X186" s="112"/>
      <x:c r="Y186" s="112"/>
      <x:c r="Z186" s="112"/>
      <x:c r="AA186" s="112"/>
      <x:c r="AB186" s="96" t="str">
        <x:f>IF(B186="","",COUNTA(D186:M186)/10)</x:f>
      </x:c>
      <x:c r="AC186" s="44" t="str">
        <x:f>IF(B186="","",IF(AB186=1,"Completo",IF(AB186&gt;=0.6,"En desarrollo","Pendiente")))</x:f>
      </x:c>
      <x:c r="AD186" s="136"/>
      <x:c r="AE186" s="136"/>
      <x:c r="AF186" s="136"/>
      <x:c r="AG186" s="136"/>
      <x:c r="AH186" s="138"/>
      <x:c r="AI186" s="138"/>
      <x:c r="AJ186" s="138"/>
      <x:c r="AK186" s="136"/>
      <x:c r="AL186" s="136"/>
      <x:c r="AM186" s="136"/>
      <x:c r="AN186" s="136"/>
      <x:c r="AO186" s="136"/>
      <x:c r="AP186" s="136"/>
      <x:c r="AQ186" s="136"/>
      <x:c r="AR186" s="136"/>
      <x:c r="AS186" s="136"/>
    </x:row>
    <x:row r="187">
      <x:c r="A187" s="104"/>
      <x:c r="B187" s="104"/>
      <x:c r="C187" s="104"/>
      <x:c r="D187" s="108"/>
      <x:c r="E187" s="108"/>
      <x:c r="F187" s="108"/>
      <x:c r="G187" s="108"/>
      <x:c r="H187" s="108"/>
      <x:c r="I187" s="108"/>
      <x:c r="J187" s="108"/>
      <x:c r="K187" s="108"/>
      <x:c r="L187" s="108"/>
      <x:c r="M187" s="108"/>
      <x:c r="N187" s="44"/>
      <x:c r="O187" s="44"/>
      <x:c r="P187" s="44"/>
      <x:c r="Q187" s="44"/>
      <x:c r="R187" s="44"/>
      <x:c r="S187" s="44"/>
      <x:c r="T187" s="44"/>
      <x:c r="U187" s="44"/>
      <x:c r="V187" s="44"/>
      <x:c r="W187" s="44"/>
      <x:c r="X187" s="112"/>
      <x:c r="Y187" s="112"/>
      <x:c r="Z187" s="112"/>
      <x:c r="AA187" s="112"/>
      <x:c r="AB187" s="96" t="str">
        <x:f>IF(B187="","",COUNTA(D187:M187)/10)</x:f>
      </x:c>
      <x:c r="AC187" s="44" t="str">
        <x:f>IF(B187="","",IF(AB187=1,"Completo",IF(AB187&gt;=0.6,"En desarrollo","Pendiente")))</x:f>
      </x:c>
      <x:c r="AD187" s="136"/>
      <x:c r="AE187" s="136"/>
      <x:c r="AF187" s="136"/>
      <x:c r="AG187" s="136"/>
      <x:c r="AH187" s="138"/>
      <x:c r="AI187" s="138"/>
      <x:c r="AJ187" s="138"/>
      <x:c r="AK187" s="136"/>
      <x:c r="AL187" s="136"/>
      <x:c r="AM187" s="136"/>
      <x:c r="AN187" s="136"/>
      <x:c r="AO187" s="136"/>
      <x:c r="AP187" s="136"/>
      <x:c r="AQ187" s="136"/>
      <x:c r="AR187" s="136"/>
      <x:c r="AS187" s="136"/>
    </x:row>
    <x:row r="188">
      <x:c r="A188" s="104"/>
      <x:c r="B188" s="104"/>
      <x:c r="C188" s="104"/>
      <x:c r="D188" s="108"/>
      <x:c r="E188" s="108"/>
      <x:c r="F188" s="108"/>
      <x:c r="G188" s="108"/>
      <x:c r="H188" s="108"/>
      <x:c r="I188" s="108"/>
      <x:c r="J188" s="108"/>
      <x:c r="K188" s="108"/>
      <x:c r="L188" s="108"/>
      <x:c r="M188" s="108"/>
      <x:c r="N188" s="44"/>
      <x:c r="O188" s="44"/>
      <x:c r="P188" s="44"/>
      <x:c r="Q188" s="44"/>
      <x:c r="R188" s="44"/>
      <x:c r="S188" s="44"/>
      <x:c r="T188" s="44"/>
      <x:c r="U188" s="44"/>
      <x:c r="V188" s="44"/>
      <x:c r="W188" s="44"/>
      <x:c r="X188" s="112"/>
      <x:c r="Y188" s="112"/>
      <x:c r="Z188" s="112"/>
      <x:c r="AA188" s="112"/>
      <x:c r="AB188" s="96" t="str">
        <x:f>IF(B188="","",COUNTA(D188:M188)/10)</x:f>
      </x:c>
      <x:c r="AC188" s="44" t="str">
        <x:f>IF(B188="","",IF(AB188=1,"Completo",IF(AB188&gt;=0.6,"En desarrollo","Pendiente")))</x:f>
      </x:c>
      <x:c r="AD188" s="136"/>
      <x:c r="AE188" s="136"/>
      <x:c r="AF188" s="136"/>
      <x:c r="AG188" s="136"/>
      <x:c r="AH188" s="138"/>
      <x:c r="AI188" s="138"/>
      <x:c r="AJ188" s="138"/>
      <x:c r="AK188" s="136"/>
      <x:c r="AL188" s="136"/>
      <x:c r="AM188" s="136"/>
      <x:c r="AN188" s="136"/>
      <x:c r="AO188" s="136"/>
      <x:c r="AP188" s="136"/>
      <x:c r="AQ188" s="136"/>
      <x:c r="AR188" s="136"/>
      <x:c r="AS188" s="136"/>
    </x:row>
    <x:row r="189">
      <x:c r="A189" s="104"/>
      <x:c r="B189" s="104"/>
      <x:c r="C189" s="104"/>
      <x:c r="D189" s="108"/>
      <x:c r="E189" s="108"/>
      <x:c r="F189" s="108"/>
      <x:c r="G189" s="108"/>
      <x:c r="H189" s="108"/>
      <x:c r="I189" s="108"/>
      <x:c r="J189" s="108"/>
      <x:c r="K189" s="108"/>
      <x:c r="L189" s="108"/>
      <x:c r="M189" s="108"/>
      <x:c r="N189" s="44"/>
      <x:c r="O189" s="44"/>
      <x:c r="P189" s="44"/>
      <x:c r="Q189" s="44"/>
      <x:c r="R189" s="44"/>
      <x:c r="S189" s="44"/>
      <x:c r="T189" s="44"/>
      <x:c r="U189" s="44"/>
      <x:c r="V189" s="44"/>
      <x:c r="W189" s="44"/>
      <x:c r="X189" s="112"/>
      <x:c r="Y189" s="112"/>
      <x:c r="Z189" s="112"/>
      <x:c r="AA189" s="112"/>
      <x:c r="AB189" s="96" t="str">
        <x:f>IF(B189="","",COUNTA(D189:M189)/10)</x:f>
      </x:c>
      <x:c r="AC189" s="44" t="str">
        <x:f>IF(B189="","",IF(AB189=1,"Completo",IF(AB189&gt;=0.6,"En desarrollo","Pendiente")))</x:f>
      </x:c>
      <x:c r="AD189" s="136"/>
      <x:c r="AE189" s="136"/>
      <x:c r="AF189" s="136"/>
      <x:c r="AG189" s="136"/>
      <x:c r="AH189" s="138"/>
      <x:c r="AI189" s="138"/>
      <x:c r="AJ189" s="138"/>
      <x:c r="AK189" s="136"/>
      <x:c r="AL189" s="136"/>
      <x:c r="AM189" s="136"/>
      <x:c r="AN189" s="136"/>
      <x:c r="AO189" s="136"/>
      <x:c r="AP189" s="136"/>
      <x:c r="AQ189" s="136"/>
      <x:c r="AR189" s="136"/>
      <x:c r="AS189" s="136"/>
    </x:row>
    <x:row r="190">
      <x:c r="A190" s="104"/>
      <x:c r="B190" s="104"/>
      <x:c r="C190" s="104"/>
      <x:c r="D190" s="108"/>
      <x:c r="E190" s="108"/>
      <x:c r="F190" s="108"/>
      <x:c r="G190" s="108"/>
      <x:c r="H190" s="108"/>
      <x:c r="I190" s="108"/>
      <x:c r="J190" s="108"/>
      <x:c r="K190" s="108"/>
      <x:c r="L190" s="108"/>
      <x:c r="M190" s="108"/>
      <x:c r="N190" s="44"/>
      <x:c r="O190" s="44"/>
      <x:c r="P190" s="44"/>
      <x:c r="Q190" s="44"/>
      <x:c r="R190" s="44"/>
      <x:c r="S190" s="44"/>
      <x:c r="T190" s="44"/>
      <x:c r="U190" s="44"/>
      <x:c r="V190" s="44"/>
      <x:c r="W190" s="44"/>
      <x:c r="X190" s="112"/>
      <x:c r="Y190" s="112"/>
      <x:c r="Z190" s="112"/>
      <x:c r="AA190" s="112"/>
      <x:c r="AB190" s="96" t="str">
        <x:f>IF(B190="","",COUNTA(D190:M190)/10)</x:f>
      </x:c>
      <x:c r="AC190" s="44" t="str">
        <x:f>IF(B190="","",IF(AB190=1,"Completo",IF(AB190&gt;=0.6,"En desarrollo","Pendiente")))</x:f>
      </x:c>
      <x:c r="AD190" s="136"/>
      <x:c r="AE190" s="136"/>
      <x:c r="AF190" s="136"/>
      <x:c r="AG190" s="136"/>
      <x:c r="AH190" s="138"/>
      <x:c r="AI190" s="138"/>
      <x:c r="AJ190" s="138"/>
      <x:c r="AK190" s="136"/>
      <x:c r="AL190" s="136"/>
      <x:c r="AM190" s="136"/>
      <x:c r="AN190" s="136"/>
      <x:c r="AO190" s="136"/>
      <x:c r="AP190" s="136"/>
      <x:c r="AQ190" s="136"/>
      <x:c r="AR190" s="136"/>
      <x:c r="AS190" s="136"/>
    </x:row>
    <x:row r="191">
      <x:c r="A191" s="104"/>
      <x:c r="B191" s="104"/>
      <x:c r="C191" s="104"/>
      <x:c r="D191" s="108"/>
      <x:c r="E191" s="108"/>
      <x:c r="F191" s="108"/>
      <x:c r="G191" s="108"/>
      <x:c r="H191" s="108"/>
      <x:c r="I191" s="108"/>
      <x:c r="J191" s="108"/>
      <x:c r="K191" s="108"/>
      <x:c r="L191" s="108"/>
      <x:c r="M191" s="108"/>
      <x:c r="N191" s="44"/>
      <x:c r="O191" s="44"/>
      <x:c r="P191" s="44"/>
      <x:c r="Q191" s="44"/>
      <x:c r="R191" s="44"/>
      <x:c r="S191" s="44"/>
      <x:c r="T191" s="44"/>
      <x:c r="U191" s="44"/>
      <x:c r="V191" s="44"/>
      <x:c r="W191" s="44"/>
      <x:c r="X191" s="112"/>
      <x:c r="Y191" s="112"/>
      <x:c r="Z191" s="112"/>
      <x:c r="AA191" s="112"/>
      <x:c r="AB191" s="96" t="str">
        <x:f>IF(B191="","",COUNTA(D191:M191)/10)</x:f>
      </x:c>
      <x:c r="AC191" s="44" t="str">
        <x:f>IF(B191="","",IF(AB191=1,"Completo",IF(AB191&gt;=0.6,"En desarrollo","Pendiente")))</x:f>
      </x:c>
      <x:c r="AD191" s="136"/>
      <x:c r="AE191" s="136"/>
      <x:c r="AF191" s="136"/>
      <x:c r="AG191" s="136"/>
      <x:c r="AH191" s="138"/>
      <x:c r="AI191" s="138"/>
      <x:c r="AJ191" s="138"/>
      <x:c r="AK191" s="136"/>
      <x:c r="AL191" s="136"/>
      <x:c r="AM191" s="136"/>
      <x:c r="AN191" s="136"/>
      <x:c r="AO191" s="136"/>
      <x:c r="AP191" s="136"/>
      <x:c r="AQ191" s="136"/>
      <x:c r="AR191" s="136"/>
      <x:c r="AS191" s="136"/>
    </x:row>
    <x:row r="192">
      <x:c r="A192" s="104"/>
      <x:c r="B192" s="104"/>
      <x:c r="C192" s="104"/>
      <x:c r="D192" s="108"/>
      <x:c r="E192" s="108"/>
      <x:c r="F192" s="108"/>
      <x:c r="G192" s="108"/>
      <x:c r="H192" s="108"/>
      <x:c r="I192" s="108"/>
      <x:c r="J192" s="108"/>
      <x:c r="K192" s="108"/>
      <x:c r="L192" s="108"/>
      <x:c r="M192" s="108"/>
      <x:c r="N192" s="44"/>
      <x:c r="O192" s="44"/>
      <x:c r="P192" s="44"/>
      <x:c r="Q192" s="44"/>
      <x:c r="R192" s="44"/>
      <x:c r="S192" s="44"/>
      <x:c r="T192" s="44"/>
      <x:c r="U192" s="44"/>
      <x:c r="V192" s="44"/>
      <x:c r="W192" s="44"/>
      <x:c r="X192" s="112"/>
      <x:c r="Y192" s="112"/>
      <x:c r="Z192" s="112"/>
      <x:c r="AA192" s="112"/>
      <x:c r="AB192" s="96" t="str">
        <x:f>IF(B192="","",COUNTA(D192:M192)/10)</x:f>
      </x:c>
      <x:c r="AC192" s="44" t="str">
        <x:f>IF(B192="","",IF(AB192=1,"Completo",IF(AB192&gt;=0.6,"En desarrollo","Pendiente")))</x:f>
      </x:c>
      <x:c r="AD192" s="136"/>
      <x:c r="AE192" s="136"/>
      <x:c r="AF192" s="136"/>
      <x:c r="AG192" s="136"/>
      <x:c r="AH192" s="138"/>
      <x:c r="AI192" s="138"/>
      <x:c r="AJ192" s="138"/>
      <x:c r="AK192" s="136"/>
      <x:c r="AL192" s="136"/>
      <x:c r="AM192" s="136"/>
      <x:c r="AN192" s="136"/>
      <x:c r="AO192" s="136"/>
      <x:c r="AP192" s="136"/>
      <x:c r="AQ192" s="136"/>
      <x:c r="AR192" s="136"/>
      <x:c r="AS192" s="136"/>
    </x:row>
    <x:row r="193">
      <x:c r="A193" s="104"/>
      <x:c r="B193" s="104"/>
      <x:c r="C193" s="104"/>
      <x:c r="D193" s="108"/>
      <x:c r="E193" s="108"/>
      <x:c r="F193" s="108"/>
      <x:c r="G193" s="108"/>
      <x:c r="H193" s="108"/>
      <x:c r="I193" s="108"/>
      <x:c r="J193" s="108"/>
      <x:c r="K193" s="108"/>
      <x:c r="L193" s="108"/>
      <x:c r="M193" s="108"/>
      <x:c r="N193" s="44"/>
      <x:c r="O193" s="44"/>
      <x:c r="P193" s="44"/>
      <x:c r="Q193" s="44"/>
      <x:c r="R193" s="44"/>
      <x:c r="S193" s="44"/>
      <x:c r="T193" s="44"/>
      <x:c r="U193" s="44"/>
      <x:c r="V193" s="44"/>
      <x:c r="W193" s="44"/>
      <x:c r="X193" s="112"/>
      <x:c r="Y193" s="112"/>
      <x:c r="Z193" s="112"/>
      <x:c r="AA193" s="112"/>
      <x:c r="AB193" s="96" t="str">
        <x:f>IF(B193="","",COUNTA(D193:M193)/10)</x:f>
      </x:c>
      <x:c r="AC193" s="44" t="str">
        <x:f>IF(B193="","",IF(AB193=1,"Completo",IF(AB193&gt;=0.6,"En desarrollo","Pendiente")))</x:f>
      </x:c>
      <x:c r="AD193" s="136"/>
      <x:c r="AE193" s="136"/>
      <x:c r="AF193" s="136"/>
      <x:c r="AG193" s="136"/>
      <x:c r="AH193" s="138"/>
      <x:c r="AI193" s="138"/>
      <x:c r="AJ193" s="138"/>
      <x:c r="AK193" s="136"/>
      <x:c r="AL193" s="136"/>
      <x:c r="AM193" s="136"/>
      <x:c r="AN193" s="136"/>
      <x:c r="AO193" s="136"/>
      <x:c r="AP193" s="136"/>
      <x:c r="AQ193" s="136"/>
      <x:c r="AR193" s="136"/>
      <x:c r="AS193" s="136"/>
    </x:row>
    <x:row r="194">
      <x:c r="A194" s="104"/>
      <x:c r="B194" s="104"/>
      <x:c r="C194" s="104"/>
      <x:c r="D194" s="108"/>
      <x:c r="E194" s="108"/>
      <x:c r="F194" s="108"/>
      <x:c r="G194" s="108"/>
      <x:c r="H194" s="108"/>
      <x:c r="I194" s="108"/>
      <x:c r="J194" s="108"/>
      <x:c r="K194" s="108"/>
      <x:c r="L194" s="108"/>
      <x:c r="M194" s="108"/>
      <x:c r="N194" s="44"/>
      <x:c r="O194" s="44"/>
      <x:c r="P194" s="44"/>
      <x:c r="Q194" s="44"/>
      <x:c r="R194" s="44"/>
      <x:c r="S194" s="44"/>
      <x:c r="T194" s="44"/>
      <x:c r="U194" s="44"/>
      <x:c r="V194" s="44"/>
      <x:c r="W194" s="44"/>
      <x:c r="X194" s="112"/>
      <x:c r="Y194" s="112"/>
      <x:c r="Z194" s="112"/>
      <x:c r="AA194" s="112"/>
      <x:c r="AB194" s="96" t="str">
        <x:f>IF(B194="","",COUNTA(D194:M194)/10)</x:f>
      </x:c>
      <x:c r="AC194" s="44" t="str">
        <x:f>IF(B194="","",IF(AB194=1,"Completo",IF(AB194&gt;=0.6,"En desarrollo","Pendiente")))</x:f>
      </x:c>
      <x:c r="AD194" s="136"/>
      <x:c r="AE194" s="136"/>
      <x:c r="AF194" s="136"/>
      <x:c r="AG194" s="136"/>
      <x:c r="AH194" s="138"/>
      <x:c r="AI194" s="138"/>
      <x:c r="AJ194" s="138"/>
      <x:c r="AK194" s="136"/>
      <x:c r="AL194" s="136"/>
      <x:c r="AM194" s="136"/>
      <x:c r="AN194" s="136"/>
      <x:c r="AO194" s="136"/>
      <x:c r="AP194" s="136"/>
      <x:c r="AQ194" s="136"/>
      <x:c r="AR194" s="136"/>
      <x:c r="AS194" s="136"/>
    </x:row>
    <x:row r="195">
      <x:c r="A195" s="104"/>
      <x:c r="B195" s="104"/>
      <x:c r="C195" s="104"/>
      <x:c r="D195" s="108"/>
      <x:c r="E195" s="108"/>
      <x:c r="F195" s="108"/>
      <x:c r="G195" s="108"/>
      <x:c r="H195" s="108"/>
      <x:c r="I195" s="108"/>
      <x:c r="J195" s="108"/>
      <x:c r="K195" s="108"/>
      <x:c r="L195" s="108"/>
      <x:c r="M195" s="108"/>
      <x:c r="N195" s="44"/>
      <x:c r="O195" s="44"/>
      <x:c r="P195" s="44"/>
      <x:c r="Q195" s="44"/>
      <x:c r="R195" s="44"/>
      <x:c r="S195" s="44"/>
      <x:c r="T195" s="44"/>
      <x:c r="U195" s="44"/>
      <x:c r="V195" s="44"/>
      <x:c r="W195" s="44"/>
      <x:c r="X195" s="112"/>
      <x:c r="Y195" s="112"/>
      <x:c r="Z195" s="112"/>
      <x:c r="AA195" s="112"/>
      <x:c r="AB195" s="96" t="str">
        <x:f>IF(B195="","",COUNTA(D195:M195)/10)</x:f>
      </x:c>
      <x:c r="AC195" s="44" t="str">
        <x:f>IF(B195="","",IF(AB195=1,"Completo",IF(AB195&gt;=0.6,"En desarrollo","Pendiente")))</x:f>
      </x:c>
      <x:c r="AD195" s="136"/>
      <x:c r="AE195" s="136"/>
      <x:c r="AF195" s="136"/>
      <x:c r="AG195" s="136"/>
      <x:c r="AH195" s="138"/>
      <x:c r="AI195" s="138"/>
      <x:c r="AJ195" s="138"/>
      <x:c r="AK195" s="136"/>
      <x:c r="AL195" s="136"/>
      <x:c r="AM195" s="136"/>
      <x:c r="AN195" s="136"/>
      <x:c r="AO195" s="136"/>
      <x:c r="AP195" s="136"/>
      <x:c r="AQ195" s="136"/>
      <x:c r="AR195" s="136"/>
      <x:c r="AS195" s="136"/>
    </x:row>
    <x:row r="196">
      <x:c r="A196" s="104"/>
      <x:c r="B196" s="104"/>
      <x:c r="C196" s="104"/>
      <x:c r="D196" s="108"/>
      <x:c r="E196" s="108"/>
      <x:c r="F196" s="108"/>
      <x:c r="G196" s="108"/>
      <x:c r="H196" s="108"/>
      <x:c r="I196" s="108"/>
      <x:c r="J196" s="108"/>
      <x:c r="K196" s="108"/>
      <x:c r="L196" s="108"/>
      <x:c r="M196" s="108"/>
      <x:c r="N196" s="44"/>
      <x:c r="O196" s="44"/>
      <x:c r="P196" s="44"/>
      <x:c r="Q196" s="44"/>
      <x:c r="R196" s="44"/>
      <x:c r="S196" s="44"/>
      <x:c r="T196" s="44"/>
      <x:c r="U196" s="44"/>
      <x:c r="V196" s="44"/>
      <x:c r="W196" s="44"/>
      <x:c r="X196" s="112"/>
      <x:c r="Y196" s="112"/>
      <x:c r="Z196" s="112"/>
      <x:c r="AA196" s="112"/>
      <x:c r="AB196" s="96" t="str">
        <x:f>IF(B196="","",COUNTA(D196:M196)/10)</x:f>
      </x:c>
      <x:c r="AC196" s="44" t="str">
        <x:f>IF(B196="","",IF(AB196=1,"Completo",IF(AB196&gt;=0.6,"En desarrollo","Pendiente")))</x:f>
      </x:c>
      <x:c r="AD196" s="136"/>
      <x:c r="AE196" s="136"/>
      <x:c r="AF196" s="136"/>
      <x:c r="AG196" s="136"/>
      <x:c r="AH196" s="138"/>
      <x:c r="AI196" s="138"/>
      <x:c r="AJ196" s="138"/>
      <x:c r="AK196" s="136"/>
      <x:c r="AL196" s="136"/>
      <x:c r="AM196" s="136"/>
      <x:c r="AN196" s="136"/>
      <x:c r="AO196" s="136"/>
      <x:c r="AP196" s="136"/>
      <x:c r="AQ196" s="136"/>
      <x:c r="AR196" s="136"/>
      <x:c r="AS196" s="136"/>
    </x:row>
    <x:row r="197">
      <x:c r="A197" s="104"/>
      <x:c r="B197" s="104"/>
      <x:c r="C197" s="104"/>
      <x:c r="D197" s="108"/>
      <x:c r="E197" s="108"/>
      <x:c r="F197" s="108"/>
      <x:c r="G197" s="108"/>
      <x:c r="H197" s="108"/>
      <x:c r="I197" s="108"/>
      <x:c r="J197" s="108"/>
      <x:c r="K197" s="108"/>
      <x:c r="L197" s="108"/>
      <x:c r="M197" s="108"/>
      <x:c r="N197" s="44"/>
      <x:c r="O197" s="44"/>
      <x:c r="P197" s="44"/>
      <x:c r="Q197" s="44"/>
      <x:c r="R197" s="44"/>
      <x:c r="S197" s="44"/>
      <x:c r="T197" s="44"/>
      <x:c r="U197" s="44"/>
      <x:c r="V197" s="44"/>
      <x:c r="W197" s="44"/>
      <x:c r="X197" s="112"/>
      <x:c r="Y197" s="112"/>
      <x:c r="Z197" s="112"/>
      <x:c r="AA197" s="112"/>
      <x:c r="AB197" s="96" t="str">
        <x:f>IF(B197="","",COUNTA(D197:M197)/10)</x:f>
      </x:c>
      <x:c r="AC197" s="44" t="str">
        <x:f>IF(B197="","",IF(AB197=1,"Completo",IF(AB197&gt;=0.6,"En desarrollo","Pendiente")))</x:f>
      </x:c>
      <x:c r="AD197" s="136"/>
      <x:c r="AE197" s="136"/>
      <x:c r="AF197" s="136"/>
      <x:c r="AG197" s="136"/>
      <x:c r="AH197" s="138"/>
      <x:c r="AI197" s="138"/>
      <x:c r="AJ197" s="138"/>
      <x:c r="AK197" s="136"/>
      <x:c r="AL197" s="136"/>
      <x:c r="AM197" s="136"/>
      <x:c r="AN197" s="136"/>
      <x:c r="AO197" s="136"/>
      <x:c r="AP197" s="136"/>
      <x:c r="AQ197" s="136"/>
      <x:c r="AR197" s="136"/>
      <x:c r="AS197" s="136"/>
    </x:row>
    <x:row r="198">
      <x:c r="A198" s="104"/>
      <x:c r="B198" s="104"/>
      <x:c r="C198" s="104"/>
      <x:c r="D198" s="108"/>
      <x:c r="E198" s="108"/>
      <x:c r="F198" s="108"/>
      <x:c r="G198" s="108"/>
      <x:c r="H198" s="108"/>
      <x:c r="I198" s="108"/>
      <x:c r="J198" s="108"/>
      <x:c r="K198" s="108"/>
      <x:c r="L198" s="108"/>
      <x:c r="M198" s="108"/>
      <x:c r="N198" s="44"/>
      <x:c r="O198" s="44"/>
      <x:c r="P198" s="44"/>
      <x:c r="Q198" s="44"/>
      <x:c r="R198" s="44"/>
      <x:c r="S198" s="44"/>
      <x:c r="T198" s="44"/>
      <x:c r="U198" s="44"/>
      <x:c r="V198" s="44"/>
      <x:c r="W198" s="44"/>
      <x:c r="X198" s="112"/>
      <x:c r="Y198" s="112"/>
      <x:c r="Z198" s="112"/>
      <x:c r="AA198" s="112"/>
      <x:c r="AB198" s="96" t="str">
        <x:f>IF(B198="","",COUNTA(D198:M198)/10)</x:f>
      </x:c>
      <x:c r="AC198" s="44" t="str">
        <x:f>IF(B198="","",IF(AB198=1,"Completo",IF(AB198&gt;=0.6,"En desarrollo","Pendiente")))</x:f>
      </x:c>
      <x:c r="AD198" s="136"/>
      <x:c r="AE198" s="136"/>
      <x:c r="AF198" s="136"/>
      <x:c r="AG198" s="136"/>
      <x:c r="AH198" s="138"/>
      <x:c r="AI198" s="138"/>
      <x:c r="AJ198" s="138"/>
      <x:c r="AK198" s="136"/>
      <x:c r="AL198" s="136"/>
      <x:c r="AM198" s="136"/>
      <x:c r="AN198" s="136"/>
      <x:c r="AO198" s="136"/>
      <x:c r="AP198" s="136"/>
      <x:c r="AQ198" s="136"/>
      <x:c r="AR198" s="136"/>
      <x:c r="AS198" s="136"/>
    </x:row>
    <x:row r="199">
      <x:c r="A199" s="104"/>
      <x:c r="B199" s="104"/>
      <x:c r="C199" s="104"/>
      <x:c r="D199" s="108"/>
      <x:c r="E199" s="108"/>
      <x:c r="F199" s="108"/>
      <x:c r="G199" s="108"/>
      <x:c r="H199" s="108"/>
      <x:c r="I199" s="108"/>
      <x:c r="J199" s="108"/>
      <x:c r="K199" s="108"/>
      <x:c r="L199" s="108"/>
      <x:c r="M199" s="108"/>
      <x:c r="N199" s="44"/>
      <x:c r="O199" s="44"/>
      <x:c r="P199" s="44"/>
      <x:c r="Q199" s="44"/>
      <x:c r="R199" s="44"/>
      <x:c r="S199" s="44"/>
      <x:c r="T199" s="44"/>
      <x:c r="U199" s="44"/>
      <x:c r="V199" s="44"/>
      <x:c r="W199" s="44"/>
      <x:c r="X199" s="112"/>
      <x:c r="Y199" s="112"/>
      <x:c r="Z199" s="112"/>
      <x:c r="AA199" s="112"/>
      <x:c r="AB199" s="96" t="str">
        <x:f>IF(B199="","",COUNTA(D199:M199)/10)</x:f>
      </x:c>
      <x:c r="AC199" s="44" t="str">
        <x:f>IF(B199="","",IF(AB199=1,"Completo",IF(AB199&gt;=0.6,"En desarrollo","Pendiente")))</x:f>
      </x:c>
      <x:c r="AD199" s="136"/>
      <x:c r="AE199" s="136"/>
      <x:c r="AF199" s="136"/>
      <x:c r="AG199" s="136"/>
      <x:c r="AH199" s="138"/>
      <x:c r="AI199" s="138"/>
      <x:c r="AJ199" s="138"/>
      <x:c r="AK199" s="136"/>
      <x:c r="AL199" s="136"/>
      <x:c r="AM199" s="136"/>
      <x:c r="AN199" s="136"/>
      <x:c r="AO199" s="136"/>
      <x:c r="AP199" s="136"/>
      <x:c r="AQ199" s="136"/>
      <x:c r="AR199" s="136"/>
      <x:c r="AS199" s="136"/>
    </x:row>
    <x:row r="200">
      <x:c r="A200" s="104"/>
      <x:c r="B200" s="104"/>
      <x:c r="C200" s="104"/>
      <x:c r="D200" s="108"/>
      <x:c r="E200" s="108"/>
      <x:c r="F200" s="108"/>
      <x:c r="G200" s="108"/>
      <x:c r="H200" s="108"/>
      <x:c r="I200" s="108"/>
      <x:c r="J200" s="108"/>
      <x:c r="K200" s="108"/>
      <x:c r="L200" s="108"/>
      <x:c r="M200" s="108"/>
      <x:c r="N200" s="44"/>
      <x:c r="O200" s="44"/>
      <x:c r="P200" s="44"/>
      <x:c r="Q200" s="44"/>
      <x:c r="R200" s="44"/>
      <x:c r="S200" s="44"/>
      <x:c r="T200" s="44"/>
      <x:c r="U200" s="44"/>
      <x:c r="V200" s="44"/>
      <x:c r="W200" s="44"/>
      <x:c r="X200" s="112"/>
      <x:c r="Y200" s="112"/>
      <x:c r="Z200" s="112"/>
      <x:c r="AA200" s="112"/>
      <x:c r="AB200" s="96" t="str">
        <x:f>IF(B200="","",COUNTA(D200:M200)/10)</x:f>
      </x:c>
      <x:c r="AC200" s="44" t="str">
        <x:f>IF(B200="","",IF(AB200=1,"Completo",IF(AB200&gt;=0.6,"En desarrollo","Pendiente")))</x:f>
      </x:c>
      <x:c r="AD200" s="136"/>
      <x:c r="AE200" s="136"/>
      <x:c r="AF200" s="136"/>
      <x:c r="AG200" s="136"/>
      <x:c r="AH200" s="138"/>
      <x:c r="AI200" s="138"/>
      <x:c r="AJ200" s="138"/>
      <x:c r="AK200" s="136"/>
      <x:c r="AL200" s="136"/>
      <x:c r="AM200" s="136"/>
      <x:c r="AN200" s="136"/>
      <x:c r="AO200" s="136"/>
      <x:c r="AP200" s="136"/>
      <x:c r="AQ200" s="136"/>
      <x:c r="AR200" s="136"/>
      <x:c r="AS200" s="136"/>
    </x:row>
    <x:row r="201">
      <x:c r="A201" s="104"/>
      <x:c r="B201" s="104"/>
      <x:c r="C201" s="104"/>
      <x:c r="D201" s="108"/>
      <x:c r="E201" s="108"/>
      <x:c r="F201" s="108"/>
      <x:c r="G201" s="108"/>
      <x:c r="H201" s="108"/>
      <x:c r="I201" s="108"/>
      <x:c r="J201" s="108"/>
      <x:c r="K201" s="108"/>
      <x:c r="L201" s="108"/>
      <x:c r="M201" s="108"/>
      <x:c r="N201" s="44"/>
      <x:c r="O201" s="44"/>
      <x:c r="P201" s="44"/>
      <x:c r="Q201" s="44"/>
      <x:c r="R201" s="44"/>
      <x:c r="S201" s="44"/>
      <x:c r="T201" s="44"/>
      <x:c r="U201" s="44"/>
      <x:c r="V201" s="44"/>
      <x:c r="W201" s="44"/>
      <x:c r="X201" s="112"/>
      <x:c r="Y201" s="112"/>
      <x:c r="Z201" s="112"/>
      <x:c r="AA201" s="112"/>
      <x:c r="AB201" s="96" t="str">
        <x:f>IF(B201="","",COUNTA(D201:M201)/10)</x:f>
      </x:c>
      <x:c r="AC201" s="44" t="str">
        <x:f>IF(B201="","",IF(AB201=1,"Completo",IF(AB201&gt;=0.6,"En desarrollo","Pendiente")))</x:f>
      </x:c>
      <x:c r="AD201" s="136"/>
      <x:c r="AE201" s="136"/>
      <x:c r="AF201" s="136"/>
      <x:c r="AG201" s="136"/>
      <x:c r="AH201" s="138"/>
      <x:c r="AI201" s="138"/>
      <x:c r="AJ201" s="138"/>
      <x:c r="AK201" s="136"/>
      <x:c r="AL201" s="136"/>
      <x:c r="AM201" s="136"/>
      <x:c r="AN201" s="136"/>
      <x:c r="AO201" s="136"/>
      <x:c r="AP201" s="136"/>
      <x:c r="AQ201" s="136"/>
      <x:c r="AR201" s="136"/>
      <x:c r="AS201" s="136"/>
    </x:row>
    <x:row r="202">
      <x:c r="A202" s="104"/>
      <x:c r="B202" s="104"/>
      <x:c r="C202" s="104"/>
      <x:c r="D202" s="108"/>
      <x:c r="E202" s="108"/>
      <x:c r="F202" s="108"/>
      <x:c r="G202" s="108"/>
      <x:c r="H202" s="108"/>
      <x:c r="I202" s="108"/>
      <x:c r="J202" s="108"/>
      <x:c r="K202" s="108"/>
      <x:c r="L202" s="108"/>
      <x:c r="M202" s="108"/>
      <x:c r="N202" s="44"/>
      <x:c r="O202" s="44"/>
      <x:c r="P202" s="44"/>
      <x:c r="Q202" s="44"/>
      <x:c r="R202" s="44"/>
      <x:c r="S202" s="44"/>
      <x:c r="T202" s="44"/>
      <x:c r="U202" s="44"/>
      <x:c r="V202" s="44"/>
      <x:c r="W202" s="44"/>
      <x:c r="X202" s="112"/>
      <x:c r="Y202" s="112"/>
      <x:c r="Z202" s="112"/>
      <x:c r="AA202" s="112"/>
      <x:c r="AB202" s="96" t="str">
        <x:f>IF(B202="","",COUNTA(D202:M202)/10)</x:f>
      </x:c>
      <x:c r="AC202" s="44" t="str">
        <x:f>IF(B202="","",IF(AB202=1,"Completo",IF(AB202&gt;=0.6,"En desarrollo","Pendiente")))</x:f>
      </x:c>
      <x:c r="AD202" s="136"/>
      <x:c r="AE202" s="136"/>
      <x:c r="AF202" s="136"/>
      <x:c r="AG202" s="136"/>
      <x:c r="AH202" s="138"/>
      <x:c r="AI202" s="138"/>
      <x:c r="AJ202" s="138"/>
      <x:c r="AK202" s="136"/>
      <x:c r="AL202" s="136"/>
      <x:c r="AM202" s="136"/>
      <x:c r="AN202" s="136"/>
      <x:c r="AO202" s="136"/>
      <x:c r="AP202" s="136"/>
      <x:c r="AQ202" s="136"/>
      <x:c r="AR202" s="136"/>
      <x:c r="AS202" s="136"/>
    </x:row>
    <x:row r="203">
      <x:c r="A203" s="104"/>
      <x:c r="B203" s="104"/>
      <x:c r="C203" s="104"/>
      <x:c r="D203" s="108"/>
      <x:c r="E203" s="108"/>
      <x:c r="F203" s="108"/>
      <x:c r="G203" s="108"/>
      <x:c r="H203" s="108"/>
      <x:c r="I203" s="108"/>
      <x:c r="J203" s="108"/>
      <x:c r="K203" s="108"/>
      <x:c r="L203" s="108"/>
      <x:c r="M203" s="108"/>
      <x:c r="N203" s="44"/>
      <x:c r="O203" s="44"/>
      <x:c r="P203" s="44"/>
      <x:c r="Q203" s="44"/>
      <x:c r="R203" s="44"/>
      <x:c r="S203" s="44"/>
      <x:c r="T203" s="44"/>
      <x:c r="U203" s="44"/>
      <x:c r="V203" s="44"/>
      <x:c r="W203" s="44"/>
      <x:c r="X203" s="112"/>
      <x:c r="Y203" s="112"/>
      <x:c r="Z203" s="112"/>
      <x:c r="AA203" s="112"/>
      <x:c r="AB203" s="96" t="str">
        <x:f>IF(B203="","",COUNTA(D203:M203)/10)</x:f>
      </x:c>
      <x:c r="AC203" s="44" t="str">
        <x:f>IF(B203="","",IF(AB203=1,"Completo",IF(AB203&gt;=0.6,"En desarrollo","Pendiente")))</x:f>
      </x:c>
      <x:c r="AD203" s="136"/>
      <x:c r="AE203" s="136"/>
      <x:c r="AF203" s="136"/>
      <x:c r="AG203" s="136"/>
      <x:c r="AH203" s="138"/>
      <x:c r="AI203" s="138"/>
      <x:c r="AJ203" s="138"/>
      <x:c r="AK203" s="136"/>
      <x:c r="AL203" s="136"/>
      <x:c r="AM203" s="136"/>
      <x:c r="AN203" s="136"/>
      <x:c r="AO203" s="136"/>
      <x:c r="AP203" s="136"/>
      <x:c r="AQ203" s="136"/>
      <x:c r="AR203" s="136"/>
      <x:c r="AS203" s="136"/>
    </x:row>
    <x:row r="204">
      <x:c r="A204" s="104"/>
      <x:c r="B204" s="104"/>
      <x:c r="C204" s="104"/>
      <x:c r="D204" s="108"/>
      <x:c r="E204" s="108"/>
      <x:c r="F204" s="108"/>
      <x:c r="G204" s="108"/>
      <x:c r="H204" s="108"/>
      <x:c r="I204" s="108"/>
      <x:c r="J204" s="108"/>
      <x:c r="K204" s="108"/>
      <x:c r="L204" s="108"/>
      <x:c r="M204" s="108"/>
      <x:c r="N204" s="44"/>
      <x:c r="O204" s="44"/>
      <x:c r="P204" s="44"/>
      <x:c r="Q204" s="44"/>
      <x:c r="R204" s="44"/>
      <x:c r="S204" s="44"/>
      <x:c r="T204" s="44"/>
      <x:c r="U204" s="44"/>
      <x:c r="V204" s="44"/>
      <x:c r="W204" s="44"/>
      <x:c r="X204" s="112"/>
      <x:c r="Y204" s="112"/>
      <x:c r="Z204" s="112"/>
      <x:c r="AA204" s="112"/>
      <x:c r="AB204" s="96" t="str">
        <x:f>IF(B204="","",COUNTA(D204:M204)/10)</x:f>
      </x:c>
      <x:c r="AC204" s="44" t="str">
        <x:f>IF(B204="","",IF(AB204=1,"Completo",IF(AB204&gt;=0.6,"En desarrollo","Pendiente")))</x:f>
      </x:c>
      <x:c r="AD204" s="136"/>
      <x:c r="AE204" s="136"/>
      <x:c r="AF204" s="136"/>
      <x:c r="AG204" s="136"/>
      <x:c r="AH204" s="138"/>
      <x:c r="AI204" s="138"/>
      <x:c r="AJ204" s="138"/>
      <x:c r="AK204" s="136"/>
      <x:c r="AL204" s="136"/>
      <x:c r="AM204" s="136"/>
      <x:c r="AN204" s="136"/>
      <x:c r="AO204" s="136"/>
      <x:c r="AP204" s="136"/>
      <x:c r="AQ204" s="136"/>
      <x:c r="AR204" s="136"/>
      <x:c r="AS204" s="136"/>
    </x:row>
    <x:row r="205">
      <x:c r="A205" s="104"/>
      <x:c r="B205" s="104"/>
      <x:c r="C205" s="104"/>
      <x:c r="D205" s="108"/>
      <x:c r="E205" s="108"/>
      <x:c r="F205" s="108"/>
      <x:c r="G205" s="108"/>
      <x:c r="H205" s="108"/>
      <x:c r="I205" s="108"/>
      <x:c r="J205" s="108"/>
      <x:c r="K205" s="108"/>
      <x:c r="L205" s="108"/>
      <x:c r="M205" s="108"/>
      <x:c r="N205" s="44"/>
      <x:c r="O205" s="44"/>
      <x:c r="P205" s="44"/>
      <x:c r="Q205" s="44"/>
      <x:c r="R205" s="44"/>
      <x:c r="S205" s="44"/>
      <x:c r="T205" s="44"/>
      <x:c r="U205" s="44"/>
      <x:c r="V205" s="44"/>
      <x:c r="W205" s="44"/>
      <x:c r="X205" s="112"/>
      <x:c r="Y205" s="112"/>
      <x:c r="Z205" s="112"/>
      <x:c r="AA205" s="112"/>
      <x:c r="AB205" s="96" t="str">
        <x:f>IF(B205="","",COUNTA(D205:M205)/10)</x:f>
      </x:c>
      <x:c r="AC205" s="44" t="str">
        <x:f>IF(B205="","",IF(AB205=1,"Completo",IF(AB205&gt;=0.6,"En desarrollo","Pendiente")))</x:f>
      </x:c>
      <x:c r="AD205" s="136"/>
      <x:c r="AE205" s="136"/>
      <x:c r="AF205" s="136"/>
      <x:c r="AG205" s="136"/>
      <x:c r="AH205" s="138"/>
      <x:c r="AI205" s="138"/>
      <x:c r="AJ205" s="138"/>
      <x:c r="AK205" s="136"/>
      <x:c r="AL205" s="136"/>
      <x:c r="AM205" s="136"/>
      <x:c r="AN205" s="136"/>
      <x:c r="AO205" s="136"/>
      <x:c r="AP205" s="136"/>
      <x:c r="AQ205" s="136"/>
      <x:c r="AR205" s="136"/>
      <x:c r="AS205" s="136"/>
    </x:row>
    <x:row r="206">
      <x:c r="A206" s="104"/>
      <x:c r="B206" s="104"/>
      <x:c r="C206" s="104"/>
      <x:c r="D206" s="108"/>
      <x:c r="E206" s="108"/>
      <x:c r="F206" s="108"/>
      <x:c r="G206" s="108"/>
      <x:c r="H206" s="108"/>
      <x:c r="I206" s="108"/>
      <x:c r="J206" s="108"/>
      <x:c r="K206" s="108"/>
      <x:c r="L206" s="108"/>
      <x:c r="M206" s="108"/>
      <x:c r="N206" s="44"/>
      <x:c r="O206" s="44"/>
      <x:c r="P206" s="44"/>
      <x:c r="Q206" s="44"/>
      <x:c r="R206" s="44"/>
      <x:c r="S206" s="44"/>
      <x:c r="T206" s="44"/>
      <x:c r="U206" s="44"/>
      <x:c r="V206" s="44"/>
      <x:c r="W206" s="44"/>
      <x:c r="X206" s="112"/>
      <x:c r="Y206" s="112"/>
      <x:c r="Z206" s="112"/>
      <x:c r="AA206" s="112"/>
      <x:c r="AB206" s="96" t="str">
        <x:f>IF(B206="","",COUNTA(D206:M206)/10)</x:f>
      </x:c>
      <x:c r="AC206" s="44" t="str">
        <x:f>IF(B206="","",IF(AB206=1,"Completo",IF(AB206&gt;=0.6,"En desarrollo","Pendiente")))</x:f>
      </x:c>
      <x:c r="AD206" s="136"/>
      <x:c r="AE206" s="136"/>
      <x:c r="AF206" s="136"/>
      <x:c r="AG206" s="136"/>
      <x:c r="AH206" s="138"/>
      <x:c r="AI206" s="138"/>
      <x:c r="AJ206" s="138"/>
      <x:c r="AK206" s="136"/>
      <x:c r="AL206" s="136"/>
      <x:c r="AM206" s="136"/>
      <x:c r="AN206" s="136"/>
      <x:c r="AO206" s="136"/>
      <x:c r="AP206" s="136"/>
      <x:c r="AQ206" s="136"/>
      <x:c r="AR206" s="136"/>
      <x:c r="AS206" s="136"/>
    </x:row>
    <x:row r="207">
      <x:c r="A207" s="104"/>
      <x:c r="B207" s="104"/>
      <x:c r="C207" s="104"/>
      <x:c r="D207" s="108"/>
      <x:c r="E207" s="108"/>
      <x:c r="F207" s="108"/>
      <x:c r="G207" s="108"/>
      <x:c r="H207" s="108"/>
      <x:c r="I207" s="108"/>
      <x:c r="J207" s="108"/>
      <x:c r="K207" s="108"/>
      <x:c r="L207" s="108"/>
      <x:c r="M207" s="108"/>
      <x:c r="N207" s="44"/>
      <x:c r="O207" s="44"/>
      <x:c r="P207" s="44"/>
      <x:c r="Q207" s="44"/>
      <x:c r="R207" s="44"/>
      <x:c r="S207" s="44"/>
      <x:c r="T207" s="44"/>
      <x:c r="U207" s="44"/>
      <x:c r="V207" s="44"/>
      <x:c r="W207" s="44"/>
      <x:c r="X207" s="112"/>
      <x:c r="Y207" s="112"/>
      <x:c r="Z207" s="112"/>
      <x:c r="AA207" s="112"/>
      <x:c r="AB207" s="96" t="str">
        <x:f>IF(B207="","",COUNTA(D207:M207)/10)</x:f>
      </x:c>
      <x:c r="AC207" s="44" t="str">
        <x:f>IF(B207="","",IF(AB207=1,"Completo",IF(AB207&gt;=0.6,"En desarrollo","Pendiente")))</x:f>
      </x:c>
      <x:c r="AD207" s="136"/>
      <x:c r="AE207" s="136"/>
      <x:c r="AF207" s="136"/>
      <x:c r="AG207" s="136"/>
      <x:c r="AH207" s="138"/>
      <x:c r="AI207" s="138"/>
      <x:c r="AJ207" s="138"/>
      <x:c r="AK207" s="136"/>
      <x:c r="AL207" s="136"/>
      <x:c r="AM207" s="136"/>
      <x:c r="AN207" s="136"/>
      <x:c r="AO207" s="136"/>
      <x:c r="AP207" s="136"/>
      <x:c r="AQ207" s="136"/>
      <x:c r="AR207" s="136"/>
      <x:c r="AS207" s="136"/>
    </x:row>
    <x:row r="208">
      <x:c r="A208" s="104"/>
      <x:c r="B208" s="104"/>
      <x:c r="C208" s="104"/>
      <x:c r="D208" s="108"/>
      <x:c r="E208" s="108"/>
      <x:c r="F208" s="108"/>
      <x:c r="G208" s="108"/>
      <x:c r="H208" s="108"/>
      <x:c r="I208" s="108"/>
      <x:c r="J208" s="108"/>
      <x:c r="K208" s="108"/>
      <x:c r="L208" s="108"/>
      <x:c r="M208" s="108"/>
      <x:c r="N208" s="44"/>
      <x:c r="O208" s="44"/>
      <x:c r="P208" s="44"/>
      <x:c r="Q208" s="44"/>
      <x:c r="R208" s="44"/>
      <x:c r="S208" s="44"/>
      <x:c r="T208" s="44"/>
      <x:c r="U208" s="44"/>
      <x:c r="V208" s="44"/>
      <x:c r="W208" s="44"/>
      <x:c r="X208" s="112"/>
      <x:c r="Y208" s="112"/>
      <x:c r="Z208" s="112"/>
      <x:c r="AA208" s="112"/>
      <x:c r="AB208" s="96" t="str">
        <x:f>IF(B208="","",COUNTA(D208:M208)/10)</x:f>
      </x:c>
      <x:c r="AC208" s="44" t="str">
        <x:f>IF(B208="","",IF(AB208=1,"Completo",IF(AB208&gt;=0.6,"En desarrollo","Pendiente")))</x:f>
      </x:c>
      <x:c r="AD208" s="136"/>
      <x:c r="AE208" s="136"/>
      <x:c r="AF208" s="136"/>
      <x:c r="AG208" s="136"/>
      <x:c r="AH208" s="138"/>
      <x:c r="AI208" s="138"/>
      <x:c r="AJ208" s="138"/>
      <x:c r="AK208" s="136"/>
      <x:c r="AL208" s="136"/>
      <x:c r="AM208" s="136"/>
      <x:c r="AN208" s="136"/>
      <x:c r="AO208" s="136"/>
      <x:c r="AP208" s="136"/>
      <x:c r="AQ208" s="136"/>
      <x:c r="AR208" s="136"/>
      <x:c r="AS208" s="136"/>
    </x:row>
    <x:row r="209">
      <x:c r="A209" s="104"/>
      <x:c r="B209" s="104"/>
      <x:c r="C209" s="104"/>
      <x:c r="D209" s="108"/>
      <x:c r="E209" s="108"/>
      <x:c r="F209" s="108"/>
      <x:c r="G209" s="108"/>
      <x:c r="H209" s="108"/>
      <x:c r="I209" s="108"/>
      <x:c r="J209" s="108"/>
      <x:c r="K209" s="108"/>
      <x:c r="L209" s="108"/>
      <x:c r="M209" s="108"/>
      <x:c r="N209" s="44"/>
      <x:c r="O209" s="44"/>
      <x:c r="P209" s="44"/>
      <x:c r="Q209" s="44"/>
      <x:c r="R209" s="44"/>
      <x:c r="S209" s="44"/>
      <x:c r="T209" s="44"/>
      <x:c r="U209" s="44"/>
      <x:c r="V209" s="44"/>
      <x:c r="W209" s="44"/>
      <x:c r="X209" s="112"/>
      <x:c r="Y209" s="112"/>
      <x:c r="Z209" s="112"/>
      <x:c r="AA209" s="112"/>
      <x:c r="AB209" s="96" t="str">
        <x:f>IF(B209="","",COUNTA(D209:M209)/10)</x:f>
      </x:c>
      <x:c r="AC209" s="44" t="str">
        <x:f>IF(B209="","",IF(AB209=1,"Completo",IF(AB209&gt;=0.6,"En desarrollo","Pendiente")))</x:f>
      </x:c>
      <x:c r="AD209" s="136"/>
      <x:c r="AE209" s="136"/>
      <x:c r="AF209" s="136"/>
      <x:c r="AG209" s="136"/>
      <x:c r="AH209" s="138"/>
      <x:c r="AI209" s="138"/>
      <x:c r="AJ209" s="138"/>
      <x:c r="AK209" s="136"/>
      <x:c r="AL209" s="136"/>
      <x:c r="AM209" s="136"/>
      <x:c r="AN209" s="136"/>
      <x:c r="AO209" s="136"/>
      <x:c r="AP209" s="136"/>
      <x:c r="AQ209" s="136"/>
      <x:c r="AR209" s="136"/>
      <x:c r="AS209" s="136"/>
    </x:row>
    <x:row r="210">
      <x:c r="A210" s="104"/>
      <x:c r="B210" s="104"/>
      <x:c r="C210" s="104"/>
      <x:c r="D210" s="108"/>
      <x:c r="E210" s="108"/>
      <x:c r="F210" s="108"/>
      <x:c r="G210" s="108"/>
      <x:c r="H210" s="108"/>
      <x:c r="I210" s="108"/>
      <x:c r="J210" s="108"/>
      <x:c r="K210" s="108"/>
      <x:c r="L210" s="108"/>
      <x:c r="M210" s="108"/>
      <x:c r="N210" s="44"/>
      <x:c r="O210" s="44"/>
      <x:c r="P210" s="44"/>
      <x:c r="Q210" s="44"/>
      <x:c r="R210" s="44"/>
      <x:c r="S210" s="44"/>
      <x:c r="T210" s="44"/>
      <x:c r="U210" s="44"/>
      <x:c r="V210" s="44"/>
      <x:c r="W210" s="44"/>
      <x:c r="X210" s="112"/>
      <x:c r="Y210" s="112"/>
      <x:c r="Z210" s="112"/>
      <x:c r="AA210" s="112"/>
      <x:c r="AB210" s="96" t="str">
        <x:f>IF(B210="","",COUNTA(D210:M210)/10)</x:f>
      </x:c>
      <x:c r="AC210" s="44" t="str">
        <x:f>IF(B210="","",IF(AB210=1,"Completo",IF(AB210&gt;=0.6,"En desarrollo","Pendiente")))</x:f>
      </x:c>
      <x:c r="AD210" s="136"/>
      <x:c r="AE210" s="136"/>
      <x:c r="AF210" s="136"/>
      <x:c r="AG210" s="136"/>
      <x:c r="AH210" s="138"/>
      <x:c r="AI210" s="138"/>
      <x:c r="AJ210" s="138"/>
      <x:c r="AK210" s="136"/>
      <x:c r="AL210" s="136"/>
      <x:c r="AM210" s="136"/>
      <x:c r="AN210" s="136"/>
      <x:c r="AO210" s="136"/>
      <x:c r="AP210" s="136"/>
      <x:c r="AQ210" s="136"/>
      <x:c r="AR210" s="136"/>
      <x:c r="AS210" s="136"/>
    </x:row>
    <x:row r="211">
      <x:c r="A211" s="104"/>
      <x:c r="B211" s="104"/>
      <x:c r="C211" s="104"/>
      <x:c r="D211" s="108"/>
      <x:c r="E211" s="108"/>
      <x:c r="F211" s="108"/>
      <x:c r="G211" s="108"/>
      <x:c r="H211" s="108"/>
      <x:c r="I211" s="108"/>
      <x:c r="J211" s="108"/>
      <x:c r="K211" s="108"/>
      <x:c r="L211" s="108"/>
      <x:c r="M211" s="108"/>
      <x:c r="N211" s="44"/>
      <x:c r="O211" s="44"/>
      <x:c r="P211" s="44"/>
      <x:c r="Q211" s="44"/>
      <x:c r="R211" s="44"/>
      <x:c r="S211" s="44"/>
      <x:c r="T211" s="44"/>
      <x:c r="U211" s="44"/>
      <x:c r="V211" s="44"/>
      <x:c r="W211" s="44"/>
      <x:c r="X211" s="112"/>
      <x:c r="Y211" s="112"/>
      <x:c r="Z211" s="112"/>
      <x:c r="AA211" s="112"/>
      <x:c r="AB211" s="96" t="str">
        <x:f>IF(B211="","",COUNTA(D211:M211)/10)</x:f>
      </x:c>
      <x:c r="AC211" s="44" t="str">
        <x:f>IF(B211="","",IF(AB211=1,"Completo",IF(AB211&gt;=0.6,"En desarrollo","Pendiente")))</x:f>
      </x:c>
      <x:c r="AD211" s="136"/>
      <x:c r="AE211" s="136"/>
      <x:c r="AF211" s="136"/>
      <x:c r="AG211" s="136"/>
      <x:c r="AH211" s="138"/>
      <x:c r="AI211" s="138"/>
      <x:c r="AJ211" s="138"/>
      <x:c r="AK211" s="136"/>
      <x:c r="AL211" s="136"/>
      <x:c r="AM211" s="136"/>
      <x:c r="AN211" s="136"/>
      <x:c r="AO211" s="136"/>
      <x:c r="AP211" s="136"/>
      <x:c r="AQ211" s="136"/>
      <x:c r="AR211" s="136"/>
      <x:c r="AS211" s="136"/>
    </x:row>
    <x:row r="212">
      <x:c r="A212" s="104"/>
      <x:c r="B212" s="104"/>
      <x:c r="C212" s="104"/>
      <x:c r="D212" s="108"/>
      <x:c r="E212" s="108"/>
      <x:c r="F212" s="108"/>
      <x:c r="G212" s="108"/>
      <x:c r="H212" s="108"/>
      <x:c r="I212" s="108"/>
      <x:c r="J212" s="108"/>
      <x:c r="K212" s="108"/>
      <x:c r="L212" s="108"/>
      <x:c r="M212" s="108"/>
      <x:c r="N212" s="44"/>
      <x:c r="O212" s="44"/>
      <x:c r="P212" s="44"/>
      <x:c r="Q212" s="44"/>
      <x:c r="R212" s="44"/>
      <x:c r="S212" s="44"/>
      <x:c r="T212" s="44"/>
      <x:c r="U212" s="44"/>
      <x:c r="V212" s="44"/>
      <x:c r="W212" s="44"/>
      <x:c r="X212" s="112"/>
      <x:c r="Y212" s="112"/>
      <x:c r="Z212" s="112"/>
      <x:c r="AA212" s="112"/>
      <x:c r="AB212" s="96" t="str">
        <x:f>IF(B212="","",COUNTA(D212:M212)/10)</x:f>
      </x:c>
      <x:c r="AC212" s="44" t="str">
        <x:f>IF(B212="","",IF(AB212=1,"Completo",IF(AB212&gt;=0.6,"En desarrollo","Pendiente")))</x:f>
      </x:c>
      <x:c r="AD212" s="136"/>
      <x:c r="AE212" s="136"/>
      <x:c r="AF212" s="136"/>
      <x:c r="AG212" s="136"/>
      <x:c r="AH212" s="138"/>
      <x:c r="AI212" s="138"/>
      <x:c r="AJ212" s="138"/>
      <x:c r="AK212" s="136"/>
      <x:c r="AL212" s="136"/>
      <x:c r="AM212" s="136"/>
      <x:c r="AN212" s="136"/>
      <x:c r="AO212" s="136"/>
      <x:c r="AP212" s="136"/>
      <x:c r="AQ212" s="136"/>
      <x:c r="AR212" s="136"/>
      <x:c r="AS212" s="136"/>
    </x:row>
    <x:row r="213">
      <x:c r="A213" s="104"/>
      <x:c r="B213" s="104"/>
      <x:c r="C213" s="104"/>
      <x:c r="D213" s="108"/>
      <x:c r="E213" s="108"/>
      <x:c r="F213" s="108"/>
      <x:c r="G213" s="108"/>
      <x:c r="H213" s="108"/>
      <x:c r="I213" s="108"/>
      <x:c r="J213" s="108"/>
      <x:c r="K213" s="108"/>
      <x:c r="L213" s="108"/>
      <x:c r="M213" s="108"/>
      <x:c r="N213" s="44"/>
      <x:c r="O213" s="44"/>
      <x:c r="P213" s="44"/>
      <x:c r="Q213" s="44"/>
      <x:c r="R213" s="44"/>
      <x:c r="S213" s="44"/>
      <x:c r="T213" s="44"/>
      <x:c r="U213" s="44"/>
      <x:c r="V213" s="44"/>
      <x:c r="W213" s="44"/>
      <x:c r="X213" s="112"/>
      <x:c r="Y213" s="112"/>
      <x:c r="Z213" s="112"/>
      <x:c r="AA213" s="112"/>
      <x:c r="AB213" s="96" t="str">
        <x:f>IF(B213="","",COUNTA(D213:M213)/10)</x:f>
      </x:c>
      <x:c r="AC213" s="44" t="str">
        <x:f>IF(B213="","",IF(AB213=1,"Completo",IF(AB213&gt;=0.6,"En desarrollo","Pendiente")))</x:f>
      </x:c>
      <x:c r="AD213" s="136"/>
      <x:c r="AE213" s="136"/>
      <x:c r="AF213" s="136"/>
      <x:c r="AG213" s="136"/>
      <x:c r="AH213" s="138"/>
      <x:c r="AI213" s="138"/>
      <x:c r="AJ213" s="138"/>
      <x:c r="AK213" s="136"/>
      <x:c r="AL213" s="136"/>
      <x:c r="AM213" s="136"/>
      <x:c r="AN213" s="136"/>
      <x:c r="AO213" s="136"/>
      <x:c r="AP213" s="136"/>
      <x:c r="AQ213" s="136"/>
      <x:c r="AR213" s="136"/>
      <x:c r="AS213" s="136"/>
    </x:row>
    <x:row r="214">
      <x:c r="A214" s="104"/>
      <x:c r="B214" s="104"/>
      <x:c r="C214" s="104"/>
      <x:c r="D214" s="108"/>
      <x:c r="E214" s="108"/>
      <x:c r="F214" s="108"/>
      <x:c r="G214" s="108"/>
      <x:c r="H214" s="108"/>
      <x:c r="I214" s="108"/>
      <x:c r="J214" s="108"/>
      <x:c r="K214" s="108"/>
      <x:c r="L214" s="108"/>
      <x:c r="M214" s="108"/>
      <x:c r="N214" s="44"/>
      <x:c r="O214" s="44"/>
      <x:c r="P214" s="44"/>
      <x:c r="Q214" s="44"/>
      <x:c r="R214" s="44"/>
      <x:c r="S214" s="44"/>
      <x:c r="T214" s="44"/>
      <x:c r="U214" s="44"/>
      <x:c r="V214" s="44"/>
      <x:c r="W214" s="44"/>
      <x:c r="X214" s="112"/>
      <x:c r="Y214" s="112"/>
      <x:c r="Z214" s="112"/>
      <x:c r="AA214" s="112"/>
      <x:c r="AB214" s="96" t="str">
        <x:f>IF(B214="","",COUNTA(D214:M214)/10)</x:f>
      </x:c>
      <x:c r="AC214" s="44" t="str">
        <x:f>IF(B214="","",IF(AB214=1,"Completo",IF(AB214&gt;=0.6,"En desarrollo","Pendiente")))</x:f>
      </x:c>
      <x:c r="AD214" s="136"/>
      <x:c r="AE214" s="136"/>
      <x:c r="AF214" s="136"/>
      <x:c r="AG214" s="136"/>
      <x:c r="AH214" s="138"/>
      <x:c r="AI214" s="138"/>
      <x:c r="AJ214" s="138"/>
      <x:c r="AK214" s="136"/>
      <x:c r="AL214" s="136"/>
      <x:c r="AM214" s="136"/>
      <x:c r="AN214" s="136"/>
      <x:c r="AO214" s="136"/>
      <x:c r="AP214" s="136"/>
      <x:c r="AQ214" s="136"/>
      <x:c r="AR214" s="136"/>
      <x:c r="AS214" s="136"/>
    </x:row>
    <x:row r="215">
      <x:c r="A215" s="104"/>
      <x:c r="B215" s="104"/>
      <x:c r="C215" s="104"/>
      <x:c r="D215" s="108"/>
      <x:c r="E215" s="108"/>
      <x:c r="F215" s="108"/>
      <x:c r="G215" s="108"/>
      <x:c r="H215" s="108"/>
      <x:c r="I215" s="108"/>
      <x:c r="J215" s="108"/>
      <x:c r="K215" s="108"/>
      <x:c r="L215" s="108"/>
      <x:c r="M215" s="108"/>
      <x:c r="N215" s="44"/>
      <x:c r="O215" s="44"/>
      <x:c r="P215" s="44"/>
      <x:c r="Q215" s="44"/>
      <x:c r="R215" s="44"/>
      <x:c r="S215" s="44"/>
      <x:c r="T215" s="44"/>
      <x:c r="U215" s="44"/>
      <x:c r="V215" s="44"/>
      <x:c r="W215" s="44"/>
      <x:c r="X215" s="112"/>
      <x:c r="Y215" s="112"/>
      <x:c r="Z215" s="112"/>
      <x:c r="AA215" s="112"/>
      <x:c r="AB215" s="96" t="str">
        <x:f>IF(B215="","",COUNTA(D215:M215)/10)</x:f>
      </x:c>
      <x:c r="AC215" s="44" t="str">
        <x:f>IF(B215="","",IF(AB215=1,"Completo",IF(AB215&gt;=0.6,"En desarrollo","Pendiente")))</x:f>
      </x:c>
      <x:c r="AD215" s="136"/>
      <x:c r="AE215" s="136"/>
      <x:c r="AF215" s="136"/>
      <x:c r="AG215" s="136"/>
      <x:c r="AH215" s="138"/>
      <x:c r="AI215" s="138"/>
      <x:c r="AJ215" s="138"/>
      <x:c r="AK215" s="136"/>
      <x:c r="AL215" s="136"/>
      <x:c r="AM215" s="136"/>
      <x:c r="AN215" s="136"/>
      <x:c r="AO215" s="136"/>
      <x:c r="AP215" s="136"/>
      <x:c r="AQ215" s="136"/>
      <x:c r="AR215" s="136"/>
      <x:c r="AS215" s="136"/>
    </x:row>
    <x:row r="216">
      <x:c r="A216" s="104"/>
      <x:c r="B216" s="104"/>
      <x:c r="C216" s="104"/>
      <x:c r="D216" s="108"/>
      <x:c r="E216" s="108"/>
      <x:c r="F216" s="108"/>
      <x:c r="G216" s="108"/>
      <x:c r="H216" s="108"/>
      <x:c r="I216" s="108"/>
      <x:c r="J216" s="108"/>
      <x:c r="K216" s="108"/>
      <x:c r="L216" s="108"/>
      <x:c r="M216" s="108"/>
      <x:c r="N216" s="44"/>
      <x:c r="O216" s="44"/>
      <x:c r="P216" s="44"/>
      <x:c r="Q216" s="44"/>
      <x:c r="R216" s="44"/>
      <x:c r="S216" s="44"/>
      <x:c r="T216" s="44"/>
      <x:c r="U216" s="44"/>
      <x:c r="V216" s="44"/>
      <x:c r="W216" s="44"/>
      <x:c r="X216" s="112"/>
      <x:c r="Y216" s="112"/>
      <x:c r="Z216" s="112"/>
      <x:c r="AA216" s="112"/>
      <x:c r="AB216" s="96" t="str">
        <x:f>IF(B216="","",COUNTA(D216:M216)/10)</x:f>
      </x:c>
      <x:c r="AC216" s="44" t="str">
        <x:f>IF(B216="","",IF(AB216=1,"Completo",IF(AB216&gt;=0.6,"En desarrollo","Pendiente")))</x:f>
      </x:c>
      <x:c r="AD216" s="136"/>
      <x:c r="AE216" s="136"/>
      <x:c r="AF216" s="136"/>
      <x:c r="AG216" s="136"/>
      <x:c r="AH216" s="138"/>
      <x:c r="AI216" s="138"/>
      <x:c r="AJ216" s="138"/>
      <x:c r="AK216" s="136"/>
      <x:c r="AL216" s="136"/>
      <x:c r="AM216" s="136"/>
      <x:c r="AN216" s="136"/>
      <x:c r="AO216" s="136"/>
      <x:c r="AP216" s="136"/>
      <x:c r="AQ216" s="136"/>
      <x:c r="AR216" s="136"/>
      <x:c r="AS216" s="136"/>
    </x:row>
    <x:row r="217">
      <x:c r="A217" s="104"/>
      <x:c r="B217" s="104"/>
      <x:c r="C217" s="104"/>
      <x:c r="D217" s="108"/>
      <x:c r="E217" s="108"/>
      <x:c r="F217" s="108"/>
      <x:c r="G217" s="108"/>
      <x:c r="H217" s="108"/>
      <x:c r="I217" s="108"/>
      <x:c r="J217" s="108"/>
      <x:c r="K217" s="108"/>
      <x:c r="L217" s="108"/>
      <x:c r="M217" s="108"/>
      <x:c r="N217" s="44"/>
      <x:c r="O217" s="44"/>
      <x:c r="P217" s="44"/>
      <x:c r="Q217" s="44"/>
      <x:c r="R217" s="44"/>
      <x:c r="S217" s="44"/>
      <x:c r="T217" s="44"/>
      <x:c r="U217" s="44"/>
      <x:c r="V217" s="44"/>
      <x:c r="W217" s="44"/>
      <x:c r="X217" s="112"/>
      <x:c r="Y217" s="112"/>
      <x:c r="Z217" s="112"/>
      <x:c r="AA217" s="112"/>
      <x:c r="AB217" s="96" t="str">
        <x:f>IF(B217="","",COUNTA(D217:M217)/10)</x:f>
      </x:c>
      <x:c r="AC217" s="44" t="str">
        <x:f>IF(B217="","",IF(AB217=1,"Completo",IF(AB217&gt;=0.6,"En desarrollo","Pendiente")))</x:f>
      </x:c>
      <x:c r="AD217" s="136"/>
      <x:c r="AE217" s="136"/>
      <x:c r="AF217" s="136"/>
      <x:c r="AG217" s="136"/>
      <x:c r="AH217" s="138"/>
      <x:c r="AI217" s="138"/>
      <x:c r="AJ217" s="138"/>
      <x:c r="AK217" s="136"/>
      <x:c r="AL217" s="136"/>
      <x:c r="AM217" s="136"/>
      <x:c r="AN217" s="136"/>
      <x:c r="AO217" s="136"/>
      <x:c r="AP217" s="136"/>
      <x:c r="AQ217" s="136"/>
      <x:c r="AR217" s="136"/>
      <x:c r="AS217" s="136"/>
    </x:row>
    <x:row r="218">
      <x:c r="A218" s="104"/>
      <x:c r="B218" s="104"/>
      <x:c r="C218" s="104"/>
      <x:c r="D218" s="108"/>
      <x:c r="E218" s="108"/>
      <x:c r="F218" s="108"/>
      <x:c r="G218" s="108"/>
      <x:c r="H218" s="108"/>
      <x:c r="I218" s="108"/>
      <x:c r="J218" s="108"/>
      <x:c r="K218" s="108"/>
      <x:c r="L218" s="108"/>
      <x:c r="M218" s="108"/>
      <x:c r="N218" s="44"/>
      <x:c r="O218" s="44"/>
      <x:c r="P218" s="44"/>
      <x:c r="Q218" s="44"/>
      <x:c r="R218" s="44"/>
      <x:c r="S218" s="44"/>
      <x:c r="T218" s="44"/>
      <x:c r="U218" s="44"/>
      <x:c r="V218" s="44"/>
      <x:c r="W218" s="44"/>
      <x:c r="X218" s="112"/>
      <x:c r="Y218" s="112"/>
      <x:c r="Z218" s="112"/>
      <x:c r="AA218" s="112"/>
      <x:c r="AB218" s="96" t="str">
        <x:f>IF(B218="","",COUNTA(D218:M218)/10)</x:f>
      </x:c>
      <x:c r="AC218" s="44" t="str">
        <x:f>IF(B218="","",IF(AB218=1,"Completo",IF(AB218&gt;=0.6,"En desarrollo","Pendiente")))</x:f>
      </x:c>
      <x:c r="AD218" s="136"/>
      <x:c r="AE218" s="136"/>
      <x:c r="AF218" s="136"/>
      <x:c r="AG218" s="136"/>
      <x:c r="AH218" s="138"/>
      <x:c r="AI218" s="138"/>
      <x:c r="AJ218" s="138"/>
      <x:c r="AK218" s="136"/>
      <x:c r="AL218" s="136"/>
      <x:c r="AM218" s="136"/>
      <x:c r="AN218" s="136"/>
      <x:c r="AO218" s="136"/>
      <x:c r="AP218" s="136"/>
      <x:c r="AQ218" s="136"/>
      <x:c r="AR218" s="136"/>
      <x:c r="AS218" s="136"/>
    </x:row>
    <x:row r="219">
      <x:c r="A219" s="104"/>
      <x:c r="B219" s="104"/>
      <x:c r="C219" s="104"/>
      <x:c r="D219" s="108"/>
      <x:c r="E219" s="108"/>
      <x:c r="F219" s="108"/>
      <x:c r="G219" s="108"/>
      <x:c r="H219" s="108"/>
      <x:c r="I219" s="108"/>
      <x:c r="J219" s="108"/>
      <x:c r="K219" s="108"/>
      <x:c r="L219" s="108"/>
      <x:c r="M219" s="108"/>
      <x:c r="N219" s="44"/>
      <x:c r="O219" s="44"/>
      <x:c r="P219" s="44"/>
      <x:c r="Q219" s="44"/>
      <x:c r="R219" s="44"/>
      <x:c r="S219" s="44"/>
      <x:c r="T219" s="44"/>
      <x:c r="U219" s="44"/>
      <x:c r="V219" s="44"/>
      <x:c r="W219" s="44"/>
      <x:c r="X219" s="112"/>
      <x:c r="Y219" s="112"/>
      <x:c r="Z219" s="112"/>
      <x:c r="AA219" s="112"/>
      <x:c r="AB219" s="96" t="str">
        <x:f>IF(B219="","",COUNTA(D219:M219)/10)</x:f>
      </x:c>
      <x:c r="AC219" s="44" t="str">
        <x:f>IF(B219="","",IF(AB219=1,"Completo",IF(AB219&gt;=0.6,"En desarrollo","Pendiente")))</x:f>
      </x:c>
      <x:c r="AD219" s="136"/>
      <x:c r="AE219" s="136"/>
      <x:c r="AF219" s="136"/>
      <x:c r="AG219" s="136"/>
      <x:c r="AH219" s="138"/>
      <x:c r="AI219" s="138"/>
      <x:c r="AJ219" s="138"/>
      <x:c r="AK219" s="136"/>
      <x:c r="AL219" s="136"/>
      <x:c r="AM219" s="136"/>
      <x:c r="AN219" s="136"/>
      <x:c r="AO219" s="136"/>
      <x:c r="AP219" s="136"/>
      <x:c r="AQ219" s="136"/>
      <x:c r="AR219" s="136"/>
      <x:c r="AS219" s="136"/>
    </x:row>
    <x:row r="220">
      <x:c r="A220" s="104"/>
      <x:c r="B220" s="104"/>
      <x:c r="C220" s="104"/>
      <x:c r="D220" s="108"/>
      <x:c r="E220" s="108"/>
      <x:c r="F220" s="108"/>
      <x:c r="G220" s="108"/>
      <x:c r="H220" s="108"/>
      <x:c r="I220" s="108"/>
      <x:c r="J220" s="108"/>
      <x:c r="K220" s="108"/>
      <x:c r="L220" s="108"/>
      <x:c r="M220" s="108"/>
      <x:c r="N220" s="44"/>
      <x:c r="O220" s="44"/>
      <x:c r="P220" s="44"/>
      <x:c r="Q220" s="44"/>
      <x:c r="R220" s="44"/>
      <x:c r="S220" s="44"/>
      <x:c r="T220" s="44"/>
      <x:c r="U220" s="44"/>
      <x:c r="V220" s="44"/>
      <x:c r="W220" s="44"/>
      <x:c r="X220" s="112"/>
      <x:c r="Y220" s="112"/>
      <x:c r="Z220" s="112"/>
      <x:c r="AA220" s="112"/>
      <x:c r="AB220" s="96" t="str">
        <x:f>IF(B220="","",COUNTA(D220:M220)/10)</x:f>
      </x:c>
      <x:c r="AC220" s="44" t="str">
        <x:f>IF(B220="","",IF(AB220=1,"Completo",IF(AB220&gt;=0.6,"En desarrollo","Pendiente")))</x:f>
      </x:c>
      <x:c r="AD220" s="136"/>
      <x:c r="AE220" s="136"/>
      <x:c r="AF220" s="136"/>
      <x:c r="AG220" s="136"/>
      <x:c r="AH220" s="138"/>
      <x:c r="AI220" s="138"/>
      <x:c r="AJ220" s="138"/>
      <x:c r="AK220" s="136"/>
      <x:c r="AL220" s="136"/>
      <x:c r="AM220" s="136"/>
      <x:c r="AN220" s="136"/>
      <x:c r="AO220" s="136"/>
      <x:c r="AP220" s="136"/>
      <x:c r="AQ220" s="136"/>
      <x:c r="AR220" s="136"/>
      <x:c r="AS220" s="136"/>
    </x:row>
    <x:row r="221">
      <x:c r="A221" s="104"/>
      <x:c r="B221" s="104"/>
      <x:c r="C221" s="104"/>
      <x:c r="D221" s="108"/>
      <x:c r="E221" s="108"/>
      <x:c r="F221" s="108"/>
      <x:c r="G221" s="108"/>
      <x:c r="H221" s="108"/>
      <x:c r="I221" s="108"/>
      <x:c r="J221" s="108"/>
      <x:c r="K221" s="108"/>
      <x:c r="L221" s="108"/>
      <x:c r="M221" s="108"/>
      <x:c r="N221" s="44"/>
      <x:c r="O221" s="44"/>
      <x:c r="P221" s="44"/>
      <x:c r="Q221" s="44"/>
      <x:c r="R221" s="44"/>
      <x:c r="S221" s="44"/>
      <x:c r="T221" s="44"/>
      <x:c r="U221" s="44"/>
      <x:c r="V221" s="44"/>
      <x:c r="W221" s="44"/>
      <x:c r="X221" s="112"/>
      <x:c r="Y221" s="112"/>
      <x:c r="Z221" s="112"/>
      <x:c r="AA221" s="112"/>
      <x:c r="AB221" s="96" t="str">
        <x:f>IF(B221="","",COUNTA(D221:M221)/10)</x:f>
      </x:c>
      <x:c r="AC221" s="44" t="str">
        <x:f>IF(B221="","",IF(AB221=1,"Completo",IF(AB221&gt;=0.6,"En desarrollo","Pendiente")))</x:f>
      </x:c>
      <x:c r="AD221" s="136"/>
      <x:c r="AE221" s="136"/>
      <x:c r="AF221" s="136"/>
      <x:c r="AG221" s="136"/>
      <x:c r="AH221" s="138"/>
      <x:c r="AI221" s="138"/>
      <x:c r="AJ221" s="138"/>
      <x:c r="AK221" s="136"/>
      <x:c r="AL221" s="136"/>
      <x:c r="AM221" s="136"/>
      <x:c r="AN221" s="136"/>
      <x:c r="AO221" s="136"/>
      <x:c r="AP221" s="136"/>
      <x:c r="AQ221" s="136"/>
      <x:c r="AR221" s="136"/>
      <x:c r="AS221" s="136"/>
    </x:row>
    <x:row r="222">
      <x:c r="A222" s="104"/>
      <x:c r="B222" s="104"/>
      <x:c r="C222" s="104"/>
      <x:c r="D222" s="108"/>
      <x:c r="E222" s="108"/>
      <x:c r="F222" s="108"/>
      <x:c r="G222" s="108"/>
      <x:c r="H222" s="108"/>
      <x:c r="I222" s="108"/>
      <x:c r="J222" s="108"/>
      <x:c r="K222" s="108"/>
      <x:c r="L222" s="108"/>
      <x:c r="M222" s="108"/>
      <x:c r="N222" s="44"/>
      <x:c r="O222" s="44"/>
      <x:c r="P222" s="44"/>
      <x:c r="Q222" s="44"/>
      <x:c r="R222" s="44"/>
      <x:c r="S222" s="44"/>
      <x:c r="T222" s="44"/>
      <x:c r="U222" s="44"/>
      <x:c r="V222" s="44"/>
      <x:c r="W222" s="44"/>
      <x:c r="X222" s="112"/>
      <x:c r="Y222" s="112"/>
      <x:c r="Z222" s="112"/>
      <x:c r="AA222" s="112"/>
      <x:c r="AB222" s="96" t="str">
        <x:f>IF(B222="","",COUNTA(D222:M222)/10)</x:f>
      </x:c>
      <x:c r="AC222" s="44" t="str">
        <x:f>IF(B222="","",IF(AB222=1,"Completo",IF(AB222&gt;=0.6,"En desarrollo","Pendiente")))</x:f>
      </x:c>
      <x:c r="AD222" s="136"/>
      <x:c r="AE222" s="136"/>
      <x:c r="AF222" s="136"/>
      <x:c r="AG222" s="136"/>
      <x:c r="AH222" s="138"/>
      <x:c r="AI222" s="138"/>
      <x:c r="AJ222" s="138"/>
      <x:c r="AK222" s="136"/>
      <x:c r="AL222" s="136"/>
      <x:c r="AM222" s="136"/>
      <x:c r="AN222" s="136"/>
      <x:c r="AO222" s="136"/>
      <x:c r="AP222" s="136"/>
      <x:c r="AQ222" s="136"/>
      <x:c r="AR222" s="136"/>
      <x:c r="AS222" s="136"/>
    </x:row>
    <x:row r="223">
      <x:c r="A223" s="104"/>
      <x:c r="B223" s="104"/>
      <x:c r="C223" s="104"/>
      <x:c r="D223" s="108"/>
      <x:c r="E223" s="108"/>
      <x:c r="F223" s="108"/>
      <x:c r="G223" s="108"/>
      <x:c r="H223" s="108"/>
      <x:c r="I223" s="108"/>
      <x:c r="J223" s="108"/>
      <x:c r="K223" s="108"/>
      <x:c r="L223" s="108"/>
      <x:c r="M223" s="108"/>
      <x:c r="N223" s="44"/>
      <x:c r="O223" s="44"/>
      <x:c r="P223" s="44"/>
      <x:c r="Q223" s="44"/>
      <x:c r="R223" s="44"/>
      <x:c r="S223" s="44"/>
      <x:c r="T223" s="44"/>
      <x:c r="U223" s="44"/>
      <x:c r="V223" s="44"/>
      <x:c r="W223" s="44"/>
      <x:c r="X223" s="112"/>
      <x:c r="Y223" s="112"/>
      <x:c r="Z223" s="112"/>
      <x:c r="AA223" s="112"/>
      <x:c r="AB223" s="96" t="str">
        <x:f>IF(B223="","",COUNTA(D223:M223)/10)</x:f>
      </x:c>
      <x:c r="AC223" s="44" t="str">
        <x:f>IF(B223="","",IF(AB223=1,"Completo",IF(AB223&gt;=0.6,"En desarrollo","Pendiente")))</x:f>
      </x:c>
      <x:c r="AD223" s="136"/>
      <x:c r="AE223" s="136"/>
      <x:c r="AF223" s="136"/>
      <x:c r="AG223" s="136"/>
      <x:c r="AH223" s="138"/>
      <x:c r="AI223" s="138"/>
      <x:c r="AJ223" s="138"/>
      <x:c r="AK223" s="136"/>
      <x:c r="AL223" s="136"/>
      <x:c r="AM223" s="136"/>
      <x:c r="AN223" s="136"/>
      <x:c r="AO223" s="136"/>
      <x:c r="AP223" s="136"/>
      <x:c r="AQ223" s="136"/>
      <x:c r="AR223" s="136"/>
      <x:c r="AS223" s="136"/>
    </x:row>
    <x:row r="224">
      <x:c r="A224" s="104"/>
      <x:c r="B224" s="104"/>
      <x:c r="C224" s="104"/>
      <x:c r="D224" s="108"/>
      <x:c r="E224" s="108"/>
      <x:c r="F224" s="108"/>
      <x:c r="G224" s="108"/>
      <x:c r="H224" s="108"/>
      <x:c r="I224" s="108"/>
      <x:c r="J224" s="108"/>
      <x:c r="K224" s="108"/>
      <x:c r="L224" s="108"/>
      <x:c r="M224" s="108"/>
      <x:c r="N224" s="44"/>
      <x:c r="O224" s="44"/>
      <x:c r="P224" s="44"/>
      <x:c r="Q224" s="44"/>
      <x:c r="R224" s="44"/>
      <x:c r="S224" s="44"/>
      <x:c r="T224" s="44"/>
      <x:c r="U224" s="44"/>
      <x:c r="V224" s="44"/>
      <x:c r="W224" s="44"/>
      <x:c r="X224" s="112"/>
      <x:c r="Y224" s="112"/>
      <x:c r="Z224" s="112"/>
      <x:c r="AA224" s="112"/>
      <x:c r="AB224" s="96" t="str">
        <x:f>IF(B224="","",COUNTA(D224:M224)/10)</x:f>
      </x:c>
      <x:c r="AC224" s="44" t="str">
        <x:f>IF(B224="","",IF(AB224=1,"Completo",IF(AB224&gt;=0.6,"En desarrollo","Pendiente")))</x:f>
      </x:c>
      <x:c r="AD224" s="136"/>
      <x:c r="AE224" s="136"/>
      <x:c r="AF224" s="136"/>
      <x:c r="AG224" s="136"/>
      <x:c r="AH224" s="138"/>
      <x:c r="AI224" s="138"/>
      <x:c r="AJ224" s="138"/>
      <x:c r="AK224" s="136"/>
      <x:c r="AL224" s="136"/>
      <x:c r="AM224" s="136"/>
      <x:c r="AN224" s="136"/>
      <x:c r="AO224" s="136"/>
      <x:c r="AP224" s="136"/>
      <x:c r="AQ224" s="136"/>
      <x:c r="AR224" s="136"/>
      <x:c r="AS224" s="136"/>
    </x:row>
    <x:row r="225">
      <x:c r="A225" s="104"/>
      <x:c r="B225" s="104"/>
      <x:c r="C225" s="104"/>
      <x:c r="D225" s="108"/>
      <x:c r="E225" s="108"/>
      <x:c r="F225" s="108"/>
      <x:c r="G225" s="108"/>
      <x:c r="H225" s="108"/>
      <x:c r="I225" s="108"/>
      <x:c r="J225" s="108"/>
      <x:c r="K225" s="108"/>
      <x:c r="L225" s="108"/>
      <x:c r="M225" s="108"/>
      <x:c r="N225" s="44"/>
      <x:c r="O225" s="44"/>
      <x:c r="P225" s="44"/>
      <x:c r="Q225" s="44"/>
      <x:c r="R225" s="44"/>
      <x:c r="S225" s="44"/>
      <x:c r="T225" s="44"/>
      <x:c r="U225" s="44"/>
      <x:c r="V225" s="44"/>
      <x:c r="W225" s="44"/>
      <x:c r="X225" s="112"/>
      <x:c r="Y225" s="112"/>
      <x:c r="Z225" s="112"/>
      <x:c r="AA225" s="112"/>
      <x:c r="AB225" s="96" t="str">
        <x:f>IF(B225="","",COUNTA(D225:M225)/10)</x:f>
      </x:c>
      <x:c r="AC225" s="44" t="str">
        <x:f>IF(B225="","",IF(AB225=1,"Completo",IF(AB225&gt;=0.6,"En desarrollo","Pendiente")))</x:f>
      </x:c>
      <x:c r="AD225" s="136"/>
      <x:c r="AE225" s="136"/>
      <x:c r="AF225" s="136"/>
      <x:c r="AG225" s="136"/>
      <x:c r="AH225" s="138"/>
      <x:c r="AI225" s="138"/>
      <x:c r="AJ225" s="138"/>
      <x:c r="AK225" s="136"/>
      <x:c r="AL225" s="136"/>
      <x:c r="AM225" s="136"/>
      <x:c r="AN225" s="136"/>
      <x:c r="AO225" s="136"/>
      <x:c r="AP225" s="136"/>
      <x:c r="AQ225" s="136"/>
      <x:c r="AR225" s="136"/>
      <x:c r="AS225" s="136"/>
    </x:row>
    <x:row r="226">
      <x:c r="A226" s="104"/>
      <x:c r="B226" s="104"/>
      <x:c r="C226" s="104"/>
      <x:c r="D226" s="108"/>
      <x:c r="E226" s="108"/>
      <x:c r="F226" s="108"/>
      <x:c r="G226" s="108"/>
      <x:c r="H226" s="108"/>
      <x:c r="I226" s="108"/>
      <x:c r="J226" s="108"/>
      <x:c r="K226" s="108"/>
      <x:c r="L226" s="108"/>
      <x:c r="M226" s="108"/>
      <x:c r="N226" s="44"/>
      <x:c r="O226" s="44"/>
      <x:c r="P226" s="44"/>
      <x:c r="Q226" s="44"/>
      <x:c r="R226" s="44"/>
      <x:c r="S226" s="44"/>
      <x:c r="T226" s="44"/>
      <x:c r="U226" s="44"/>
      <x:c r="V226" s="44"/>
      <x:c r="W226" s="44"/>
      <x:c r="X226" s="112"/>
      <x:c r="Y226" s="112"/>
      <x:c r="Z226" s="112"/>
      <x:c r="AA226" s="112"/>
      <x:c r="AB226" s="96" t="str">
        <x:f>IF(B226="","",COUNTA(D226:M226)/10)</x:f>
      </x:c>
      <x:c r="AC226" s="44" t="str">
        <x:f>IF(B226="","",IF(AB226=1,"Completo",IF(AB226&gt;=0.6,"En desarrollo","Pendiente")))</x:f>
      </x:c>
      <x:c r="AD226" s="136"/>
      <x:c r="AE226" s="136"/>
      <x:c r="AF226" s="136"/>
      <x:c r="AG226" s="136"/>
      <x:c r="AH226" s="138"/>
      <x:c r="AI226" s="138"/>
      <x:c r="AJ226" s="138"/>
      <x:c r="AK226" s="136"/>
      <x:c r="AL226" s="136"/>
      <x:c r="AM226" s="136"/>
      <x:c r="AN226" s="136"/>
      <x:c r="AO226" s="136"/>
      <x:c r="AP226" s="136"/>
      <x:c r="AQ226" s="136"/>
      <x:c r="AR226" s="136"/>
      <x:c r="AS226" s="136"/>
    </x:row>
    <x:row r="227">
      <x:c r="A227" s="104"/>
      <x:c r="B227" s="104"/>
      <x:c r="C227" s="104"/>
      <x:c r="D227" s="108"/>
      <x:c r="E227" s="108"/>
      <x:c r="F227" s="108"/>
      <x:c r="G227" s="108"/>
      <x:c r="H227" s="108"/>
      <x:c r="I227" s="108"/>
      <x:c r="J227" s="108"/>
      <x:c r="K227" s="108"/>
      <x:c r="L227" s="108"/>
      <x:c r="M227" s="108"/>
      <x:c r="N227" s="44"/>
      <x:c r="O227" s="44"/>
      <x:c r="P227" s="44"/>
      <x:c r="Q227" s="44"/>
      <x:c r="R227" s="44"/>
      <x:c r="S227" s="44"/>
      <x:c r="T227" s="44"/>
      <x:c r="U227" s="44"/>
      <x:c r="V227" s="44"/>
      <x:c r="W227" s="44"/>
      <x:c r="X227" s="112"/>
      <x:c r="Y227" s="112"/>
      <x:c r="Z227" s="112"/>
      <x:c r="AA227" s="112"/>
      <x:c r="AB227" s="96" t="str">
        <x:f>IF(B227="","",COUNTA(D227:M227)/10)</x:f>
      </x:c>
      <x:c r="AC227" s="44" t="str">
        <x:f>IF(B227="","",IF(AB227=1,"Completo",IF(AB227&gt;=0.6,"En desarrollo","Pendiente")))</x:f>
      </x:c>
      <x:c r="AD227" s="136"/>
      <x:c r="AE227" s="136"/>
      <x:c r="AF227" s="136"/>
      <x:c r="AG227" s="136"/>
      <x:c r="AH227" s="138"/>
      <x:c r="AI227" s="138"/>
      <x:c r="AJ227" s="138"/>
      <x:c r="AK227" s="136"/>
      <x:c r="AL227" s="136"/>
      <x:c r="AM227" s="136"/>
      <x:c r="AN227" s="136"/>
      <x:c r="AO227" s="136"/>
      <x:c r="AP227" s="136"/>
      <x:c r="AQ227" s="136"/>
      <x:c r="AR227" s="136"/>
      <x:c r="AS227" s="136"/>
    </x:row>
    <x:row r="228">
      <x:c r="A228" s="104"/>
      <x:c r="B228" s="104"/>
      <x:c r="C228" s="104"/>
      <x:c r="D228" s="108"/>
      <x:c r="E228" s="108"/>
      <x:c r="F228" s="108"/>
      <x:c r="G228" s="108"/>
      <x:c r="H228" s="108"/>
      <x:c r="I228" s="108"/>
      <x:c r="J228" s="108"/>
      <x:c r="K228" s="108"/>
      <x:c r="L228" s="108"/>
      <x:c r="M228" s="108"/>
      <x:c r="N228" s="44"/>
      <x:c r="O228" s="44"/>
      <x:c r="P228" s="44"/>
      <x:c r="Q228" s="44"/>
      <x:c r="R228" s="44"/>
      <x:c r="S228" s="44"/>
      <x:c r="T228" s="44"/>
      <x:c r="U228" s="44"/>
      <x:c r="V228" s="44"/>
      <x:c r="W228" s="44"/>
      <x:c r="X228" s="112"/>
      <x:c r="Y228" s="112"/>
      <x:c r="Z228" s="112"/>
      <x:c r="AA228" s="112"/>
      <x:c r="AB228" s="96" t="str">
        <x:f>IF(B228="","",COUNTA(D228:M228)/10)</x:f>
      </x:c>
      <x:c r="AC228" s="44" t="str">
        <x:f>IF(B228="","",IF(AB228=1,"Completo",IF(AB228&gt;=0.6,"En desarrollo","Pendiente")))</x:f>
      </x:c>
      <x:c r="AD228" s="136"/>
      <x:c r="AE228" s="136"/>
      <x:c r="AF228" s="136"/>
      <x:c r="AG228" s="136"/>
      <x:c r="AH228" s="138"/>
      <x:c r="AI228" s="138"/>
      <x:c r="AJ228" s="138"/>
      <x:c r="AK228" s="136"/>
      <x:c r="AL228" s="136"/>
      <x:c r="AM228" s="136"/>
      <x:c r="AN228" s="136"/>
      <x:c r="AO228" s="136"/>
      <x:c r="AP228" s="136"/>
      <x:c r="AQ228" s="136"/>
      <x:c r="AR228" s="136"/>
      <x:c r="AS228" s="136"/>
    </x:row>
    <x:row r="229">
      <x:c r="A229" s="104"/>
      <x:c r="B229" s="104"/>
      <x:c r="C229" s="104"/>
      <x:c r="D229" s="108"/>
      <x:c r="E229" s="108"/>
      <x:c r="F229" s="108"/>
      <x:c r="G229" s="108"/>
      <x:c r="H229" s="108"/>
      <x:c r="I229" s="108"/>
      <x:c r="J229" s="108"/>
      <x:c r="K229" s="108"/>
      <x:c r="L229" s="108"/>
      <x:c r="M229" s="108"/>
      <x:c r="N229" s="44"/>
      <x:c r="O229" s="44"/>
      <x:c r="P229" s="44"/>
      <x:c r="Q229" s="44"/>
      <x:c r="R229" s="44"/>
      <x:c r="S229" s="44"/>
      <x:c r="T229" s="44"/>
      <x:c r="U229" s="44"/>
      <x:c r="V229" s="44"/>
      <x:c r="W229" s="44"/>
      <x:c r="X229" s="112"/>
      <x:c r="Y229" s="112"/>
      <x:c r="Z229" s="112"/>
      <x:c r="AA229" s="112"/>
      <x:c r="AB229" s="96" t="str">
        <x:f>IF(B229="","",COUNTA(D229:M229)/10)</x:f>
      </x:c>
      <x:c r="AC229" s="44" t="str">
        <x:f>IF(B229="","",IF(AB229=1,"Completo",IF(AB229&gt;=0.6,"En desarrollo","Pendiente")))</x:f>
      </x:c>
      <x:c r="AD229" s="136"/>
      <x:c r="AE229" s="136"/>
      <x:c r="AF229" s="136"/>
      <x:c r="AG229" s="136"/>
      <x:c r="AH229" s="138"/>
      <x:c r="AI229" s="138"/>
      <x:c r="AJ229" s="138"/>
      <x:c r="AK229" s="136"/>
      <x:c r="AL229" s="136"/>
      <x:c r="AM229" s="136"/>
      <x:c r="AN229" s="136"/>
      <x:c r="AO229" s="136"/>
      <x:c r="AP229" s="136"/>
      <x:c r="AQ229" s="136"/>
      <x:c r="AR229" s="136"/>
      <x:c r="AS229" s="136"/>
    </x:row>
    <x:row r="230">
      <x:c r="A230" s="104"/>
      <x:c r="B230" s="104"/>
      <x:c r="C230" s="104"/>
      <x:c r="D230" s="108"/>
      <x:c r="E230" s="108"/>
      <x:c r="F230" s="108"/>
      <x:c r="G230" s="108"/>
      <x:c r="H230" s="108"/>
      <x:c r="I230" s="108"/>
      <x:c r="J230" s="108"/>
      <x:c r="K230" s="108"/>
      <x:c r="L230" s="108"/>
      <x:c r="M230" s="108"/>
      <x:c r="N230" s="44"/>
      <x:c r="O230" s="44"/>
      <x:c r="P230" s="44"/>
      <x:c r="Q230" s="44"/>
      <x:c r="R230" s="44"/>
      <x:c r="S230" s="44"/>
      <x:c r="T230" s="44"/>
      <x:c r="U230" s="44"/>
      <x:c r="V230" s="44"/>
      <x:c r="W230" s="44"/>
      <x:c r="X230" s="112"/>
      <x:c r="Y230" s="112"/>
      <x:c r="Z230" s="112"/>
      <x:c r="AA230" s="112"/>
      <x:c r="AB230" s="96" t="str">
        <x:f>IF(B230="","",COUNTA(D230:M230)/10)</x:f>
      </x:c>
      <x:c r="AC230" s="44" t="str">
        <x:f>IF(B230="","",IF(AB230=1,"Completo",IF(AB230&gt;=0.6,"En desarrollo","Pendiente")))</x:f>
      </x:c>
      <x:c r="AD230" s="136"/>
      <x:c r="AE230" s="136"/>
      <x:c r="AF230" s="136"/>
      <x:c r="AG230" s="136"/>
      <x:c r="AH230" s="138"/>
      <x:c r="AI230" s="138"/>
      <x:c r="AJ230" s="138"/>
      <x:c r="AK230" s="136"/>
      <x:c r="AL230" s="136"/>
      <x:c r="AM230" s="136"/>
      <x:c r="AN230" s="136"/>
      <x:c r="AO230" s="136"/>
      <x:c r="AP230" s="136"/>
      <x:c r="AQ230" s="136"/>
      <x:c r="AR230" s="136"/>
      <x:c r="AS230" s="136"/>
    </x:row>
    <x:row r="231">
      <x:c r="A231" s="104"/>
      <x:c r="B231" s="104"/>
      <x:c r="C231" s="104"/>
      <x:c r="D231" s="108"/>
      <x:c r="E231" s="108"/>
      <x:c r="F231" s="108"/>
      <x:c r="G231" s="108"/>
      <x:c r="H231" s="108"/>
      <x:c r="I231" s="108"/>
      <x:c r="J231" s="108"/>
      <x:c r="K231" s="108"/>
      <x:c r="L231" s="108"/>
      <x:c r="M231" s="108"/>
      <x:c r="N231" s="44"/>
      <x:c r="O231" s="44"/>
      <x:c r="P231" s="44"/>
      <x:c r="Q231" s="44"/>
      <x:c r="R231" s="44"/>
      <x:c r="S231" s="44"/>
      <x:c r="T231" s="44"/>
      <x:c r="U231" s="44"/>
      <x:c r="V231" s="44"/>
      <x:c r="W231" s="44"/>
      <x:c r="X231" s="112"/>
      <x:c r="Y231" s="112"/>
      <x:c r="Z231" s="112"/>
      <x:c r="AA231" s="112"/>
      <x:c r="AB231" s="96" t="str">
        <x:f>IF(B231="","",COUNTA(D231:M231)/10)</x:f>
      </x:c>
      <x:c r="AC231" s="44" t="str">
        <x:f>IF(B231="","",IF(AB231=1,"Completo",IF(AB231&gt;=0.6,"En desarrollo","Pendiente")))</x:f>
      </x:c>
      <x:c r="AD231" s="136"/>
      <x:c r="AE231" s="136"/>
      <x:c r="AF231" s="136"/>
      <x:c r="AG231" s="136"/>
      <x:c r="AH231" s="138"/>
      <x:c r="AI231" s="138"/>
      <x:c r="AJ231" s="138"/>
      <x:c r="AK231" s="136"/>
      <x:c r="AL231" s="136"/>
      <x:c r="AM231" s="136"/>
      <x:c r="AN231" s="136"/>
      <x:c r="AO231" s="136"/>
      <x:c r="AP231" s="136"/>
      <x:c r="AQ231" s="136"/>
      <x:c r="AR231" s="136"/>
      <x:c r="AS231" s="136"/>
    </x:row>
    <x:row r="232">
      <x:c r="A232" s="104"/>
      <x:c r="B232" s="104"/>
      <x:c r="C232" s="104"/>
      <x:c r="D232" s="108"/>
      <x:c r="E232" s="108"/>
      <x:c r="F232" s="108"/>
      <x:c r="G232" s="108"/>
      <x:c r="H232" s="108"/>
      <x:c r="I232" s="108"/>
      <x:c r="J232" s="108"/>
      <x:c r="K232" s="108"/>
      <x:c r="L232" s="108"/>
      <x:c r="M232" s="108"/>
      <x:c r="N232" s="44"/>
      <x:c r="O232" s="44"/>
      <x:c r="P232" s="44"/>
      <x:c r="Q232" s="44"/>
      <x:c r="R232" s="44"/>
      <x:c r="S232" s="44"/>
      <x:c r="T232" s="44"/>
      <x:c r="U232" s="44"/>
      <x:c r="V232" s="44"/>
      <x:c r="W232" s="44"/>
      <x:c r="X232" s="112"/>
      <x:c r="Y232" s="112"/>
      <x:c r="Z232" s="112"/>
      <x:c r="AA232" s="112"/>
      <x:c r="AB232" s="96" t="str">
        <x:f>IF(B232="","",COUNTA(D232:M232)/10)</x:f>
      </x:c>
      <x:c r="AC232" s="44" t="str">
        <x:f>IF(B232="","",IF(AB232=1,"Completo",IF(AB232&gt;=0.6,"En desarrollo","Pendiente")))</x:f>
      </x:c>
      <x:c r="AD232" s="136"/>
      <x:c r="AE232" s="136"/>
      <x:c r="AF232" s="136"/>
      <x:c r="AG232" s="136"/>
      <x:c r="AH232" s="138"/>
      <x:c r="AI232" s="138"/>
      <x:c r="AJ232" s="138"/>
      <x:c r="AK232" s="136"/>
      <x:c r="AL232" s="136"/>
      <x:c r="AM232" s="136"/>
      <x:c r="AN232" s="136"/>
      <x:c r="AO232" s="136"/>
      <x:c r="AP232" s="136"/>
      <x:c r="AQ232" s="136"/>
      <x:c r="AR232" s="136"/>
      <x:c r="AS232" s="136"/>
    </x:row>
    <x:row r="233">
      <x:c r="A233" s="104"/>
      <x:c r="B233" s="104"/>
      <x:c r="C233" s="104"/>
      <x:c r="D233" s="108"/>
      <x:c r="E233" s="108"/>
      <x:c r="F233" s="108"/>
      <x:c r="G233" s="108"/>
      <x:c r="H233" s="108"/>
      <x:c r="I233" s="108"/>
      <x:c r="J233" s="108"/>
      <x:c r="K233" s="108"/>
      <x:c r="L233" s="108"/>
      <x:c r="M233" s="108"/>
      <x:c r="N233" s="44"/>
      <x:c r="O233" s="44"/>
      <x:c r="P233" s="44"/>
      <x:c r="Q233" s="44"/>
      <x:c r="R233" s="44"/>
      <x:c r="S233" s="44"/>
      <x:c r="T233" s="44"/>
      <x:c r="U233" s="44"/>
      <x:c r="V233" s="44"/>
      <x:c r="W233" s="44"/>
      <x:c r="X233" s="112"/>
      <x:c r="Y233" s="112"/>
      <x:c r="Z233" s="112"/>
      <x:c r="AA233" s="112"/>
      <x:c r="AB233" s="96" t="str">
        <x:f>IF(B233="","",COUNTA(D233:M233)/10)</x:f>
      </x:c>
      <x:c r="AC233" s="44" t="str">
        <x:f>IF(B233="","",IF(AB233=1,"Completo",IF(AB233&gt;=0.6,"En desarrollo","Pendiente")))</x:f>
      </x:c>
      <x:c r="AD233" s="136"/>
      <x:c r="AE233" s="136"/>
      <x:c r="AF233" s="136"/>
      <x:c r="AG233" s="136"/>
      <x:c r="AH233" s="138"/>
      <x:c r="AI233" s="138"/>
      <x:c r="AJ233" s="138"/>
      <x:c r="AK233" s="136"/>
      <x:c r="AL233" s="136"/>
      <x:c r="AM233" s="136"/>
      <x:c r="AN233" s="136"/>
      <x:c r="AO233" s="136"/>
      <x:c r="AP233" s="136"/>
      <x:c r="AQ233" s="136"/>
      <x:c r="AR233" s="136"/>
      <x:c r="AS233" s="136"/>
    </x:row>
    <x:row r="234">
      <x:c r="A234" s="104"/>
      <x:c r="B234" s="104"/>
      <x:c r="C234" s="104"/>
      <x:c r="D234" s="108"/>
      <x:c r="E234" s="108"/>
      <x:c r="F234" s="108"/>
      <x:c r="G234" s="108"/>
      <x:c r="H234" s="108"/>
      <x:c r="I234" s="108"/>
      <x:c r="J234" s="108"/>
      <x:c r="K234" s="108"/>
      <x:c r="L234" s="108"/>
      <x:c r="M234" s="108"/>
      <x:c r="N234" s="44"/>
      <x:c r="O234" s="44"/>
      <x:c r="P234" s="44"/>
      <x:c r="Q234" s="44"/>
      <x:c r="R234" s="44"/>
      <x:c r="S234" s="44"/>
      <x:c r="T234" s="44"/>
      <x:c r="U234" s="44"/>
      <x:c r="V234" s="44"/>
      <x:c r="W234" s="44"/>
      <x:c r="X234" s="112"/>
      <x:c r="Y234" s="112"/>
      <x:c r="Z234" s="112"/>
      <x:c r="AA234" s="112"/>
      <x:c r="AB234" s="96" t="str">
        <x:f>IF(B234="","",COUNTA(D234:M234)/10)</x:f>
      </x:c>
      <x:c r="AC234" s="44" t="str">
        <x:f>IF(B234="","",IF(AB234=1,"Completo",IF(AB234&gt;=0.6,"En desarrollo","Pendiente")))</x:f>
      </x:c>
      <x:c r="AD234" s="136"/>
      <x:c r="AE234" s="136"/>
      <x:c r="AF234" s="136"/>
      <x:c r="AG234" s="136"/>
      <x:c r="AH234" s="138"/>
      <x:c r="AI234" s="138"/>
      <x:c r="AJ234" s="138"/>
      <x:c r="AK234" s="136"/>
      <x:c r="AL234" s="136"/>
      <x:c r="AM234" s="136"/>
      <x:c r="AN234" s="136"/>
      <x:c r="AO234" s="136"/>
      <x:c r="AP234" s="136"/>
      <x:c r="AQ234" s="136"/>
      <x:c r="AR234" s="136"/>
      <x:c r="AS234" s="136"/>
    </x:row>
    <x:row r="235">
      <x:c r="A235" s="104"/>
      <x:c r="B235" s="104"/>
      <x:c r="C235" s="104"/>
      <x:c r="D235" s="108"/>
      <x:c r="E235" s="108"/>
      <x:c r="F235" s="108"/>
      <x:c r="G235" s="108"/>
      <x:c r="H235" s="108"/>
      <x:c r="I235" s="108"/>
      <x:c r="J235" s="108"/>
      <x:c r="K235" s="108"/>
      <x:c r="L235" s="108"/>
      <x:c r="M235" s="108"/>
      <x:c r="N235" s="44"/>
      <x:c r="O235" s="44"/>
      <x:c r="P235" s="44"/>
      <x:c r="Q235" s="44"/>
      <x:c r="R235" s="44"/>
      <x:c r="S235" s="44"/>
      <x:c r="T235" s="44"/>
      <x:c r="U235" s="44"/>
      <x:c r="V235" s="44"/>
      <x:c r="W235" s="44"/>
      <x:c r="X235" s="112"/>
      <x:c r="Y235" s="112"/>
      <x:c r="Z235" s="112"/>
      <x:c r="AA235" s="112"/>
      <x:c r="AB235" s="96" t="str">
        <x:f>IF(B235="","",COUNTA(D235:M235)/10)</x:f>
      </x:c>
      <x:c r="AC235" s="44" t="str">
        <x:f>IF(B235="","",IF(AB235=1,"Completo",IF(AB235&gt;=0.6,"En desarrollo","Pendiente")))</x:f>
      </x:c>
      <x:c r="AD235" s="136"/>
      <x:c r="AE235" s="136"/>
      <x:c r="AF235" s="136"/>
      <x:c r="AG235" s="136"/>
      <x:c r="AH235" s="138"/>
      <x:c r="AI235" s="138"/>
      <x:c r="AJ235" s="138"/>
      <x:c r="AK235" s="136"/>
      <x:c r="AL235" s="136"/>
      <x:c r="AM235" s="136"/>
      <x:c r="AN235" s="136"/>
      <x:c r="AO235" s="136"/>
      <x:c r="AP235" s="136"/>
      <x:c r="AQ235" s="136"/>
      <x:c r="AR235" s="136"/>
      <x:c r="AS235" s="136"/>
    </x:row>
    <x:row r="236">
      <x:c r="A236" s="104"/>
      <x:c r="B236" s="104"/>
      <x:c r="C236" s="104"/>
      <x:c r="D236" s="108"/>
      <x:c r="E236" s="108"/>
      <x:c r="F236" s="108"/>
      <x:c r="G236" s="108"/>
      <x:c r="H236" s="108"/>
      <x:c r="I236" s="108"/>
      <x:c r="J236" s="108"/>
      <x:c r="K236" s="108"/>
      <x:c r="L236" s="108"/>
      <x:c r="M236" s="108"/>
      <x:c r="N236" s="44"/>
      <x:c r="O236" s="44"/>
      <x:c r="P236" s="44"/>
      <x:c r="Q236" s="44"/>
      <x:c r="R236" s="44"/>
      <x:c r="S236" s="44"/>
      <x:c r="T236" s="44"/>
      <x:c r="U236" s="44"/>
      <x:c r="V236" s="44"/>
      <x:c r="W236" s="44"/>
      <x:c r="X236" s="112"/>
      <x:c r="Y236" s="112"/>
      <x:c r="Z236" s="112"/>
      <x:c r="AA236" s="112"/>
      <x:c r="AB236" s="96" t="str">
        <x:f>IF(B236="","",COUNTA(D236:M236)/10)</x:f>
      </x:c>
      <x:c r="AC236" s="44" t="str">
        <x:f>IF(B236="","",IF(AB236=1,"Completo",IF(AB236&gt;=0.6,"En desarrollo","Pendiente")))</x:f>
      </x:c>
      <x:c r="AD236" s="136"/>
      <x:c r="AE236" s="136"/>
      <x:c r="AF236" s="136"/>
      <x:c r="AG236" s="136"/>
      <x:c r="AH236" s="138"/>
      <x:c r="AI236" s="138"/>
      <x:c r="AJ236" s="138"/>
      <x:c r="AK236" s="136"/>
      <x:c r="AL236" s="136"/>
      <x:c r="AM236" s="136"/>
      <x:c r="AN236" s="136"/>
      <x:c r="AO236" s="136"/>
      <x:c r="AP236" s="136"/>
      <x:c r="AQ236" s="136"/>
      <x:c r="AR236" s="136"/>
      <x:c r="AS236" s="136"/>
    </x:row>
    <x:row r="237">
      <x:c r="A237" s="104"/>
      <x:c r="B237" s="104"/>
      <x:c r="C237" s="104"/>
      <x:c r="D237" s="108"/>
      <x:c r="E237" s="108"/>
      <x:c r="F237" s="108"/>
      <x:c r="G237" s="108"/>
      <x:c r="H237" s="108"/>
      <x:c r="I237" s="108"/>
      <x:c r="J237" s="108"/>
      <x:c r="K237" s="108"/>
      <x:c r="L237" s="108"/>
      <x:c r="M237" s="108"/>
      <x:c r="N237" s="44"/>
      <x:c r="O237" s="44"/>
      <x:c r="P237" s="44"/>
      <x:c r="Q237" s="44"/>
      <x:c r="R237" s="44"/>
      <x:c r="S237" s="44"/>
      <x:c r="T237" s="44"/>
      <x:c r="U237" s="44"/>
      <x:c r="V237" s="44"/>
      <x:c r="W237" s="44"/>
      <x:c r="X237" s="112"/>
      <x:c r="Y237" s="112"/>
      <x:c r="Z237" s="112"/>
      <x:c r="AA237" s="112"/>
      <x:c r="AB237" s="96" t="str">
        <x:f>IF(B237="","",COUNTA(D237:M237)/10)</x:f>
      </x:c>
      <x:c r="AC237" s="44" t="str">
        <x:f>IF(B237="","",IF(AB237=1,"Completo",IF(AB237&gt;=0.6,"En desarrollo","Pendiente")))</x:f>
      </x:c>
      <x:c r="AD237" s="136"/>
      <x:c r="AE237" s="136"/>
      <x:c r="AF237" s="136"/>
      <x:c r="AG237" s="136"/>
      <x:c r="AH237" s="138"/>
      <x:c r="AI237" s="138"/>
      <x:c r="AJ237" s="138"/>
      <x:c r="AK237" s="136"/>
      <x:c r="AL237" s="136"/>
      <x:c r="AM237" s="136"/>
      <x:c r="AN237" s="136"/>
      <x:c r="AO237" s="136"/>
      <x:c r="AP237" s="136"/>
      <x:c r="AQ237" s="136"/>
      <x:c r="AR237" s="136"/>
      <x:c r="AS237" s="136"/>
    </x:row>
    <x:row r="238">
      <x:c r="A238" s="104"/>
      <x:c r="B238" s="104"/>
      <x:c r="C238" s="104"/>
      <x:c r="D238" s="108"/>
      <x:c r="E238" s="108"/>
      <x:c r="F238" s="108"/>
      <x:c r="G238" s="108"/>
      <x:c r="H238" s="108"/>
      <x:c r="I238" s="108"/>
      <x:c r="J238" s="108"/>
      <x:c r="K238" s="108"/>
      <x:c r="L238" s="108"/>
      <x:c r="M238" s="108"/>
      <x:c r="N238" s="44"/>
      <x:c r="O238" s="44"/>
      <x:c r="P238" s="44"/>
      <x:c r="Q238" s="44"/>
      <x:c r="R238" s="44"/>
      <x:c r="S238" s="44"/>
      <x:c r="T238" s="44"/>
      <x:c r="U238" s="44"/>
      <x:c r="V238" s="44"/>
      <x:c r="W238" s="44"/>
      <x:c r="X238" s="112"/>
      <x:c r="Y238" s="112"/>
      <x:c r="Z238" s="112"/>
      <x:c r="AA238" s="112"/>
      <x:c r="AB238" s="96" t="str">
        <x:f>IF(B238="","",COUNTA(D238:M238)/10)</x:f>
      </x:c>
      <x:c r="AC238" s="44" t="str">
        <x:f>IF(B238="","",IF(AB238=1,"Completo",IF(AB238&gt;=0.6,"En desarrollo","Pendiente")))</x:f>
      </x:c>
      <x:c r="AD238" s="136"/>
      <x:c r="AE238" s="136"/>
      <x:c r="AF238" s="136"/>
      <x:c r="AG238" s="136"/>
      <x:c r="AH238" s="138"/>
      <x:c r="AI238" s="138"/>
      <x:c r="AJ238" s="138"/>
      <x:c r="AK238" s="136"/>
      <x:c r="AL238" s="136"/>
      <x:c r="AM238" s="136"/>
      <x:c r="AN238" s="136"/>
      <x:c r="AO238" s="136"/>
      <x:c r="AP238" s="136"/>
      <x:c r="AQ238" s="136"/>
      <x:c r="AR238" s="136"/>
      <x:c r="AS238" s="136"/>
    </x:row>
    <x:row r="239">
      <x:c r="A239" s="104"/>
      <x:c r="B239" s="104"/>
      <x:c r="C239" s="104"/>
      <x:c r="D239" s="108"/>
      <x:c r="E239" s="108"/>
      <x:c r="F239" s="108"/>
      <x:c r="G239" s="108"/>
      <x:c r="H239" s="108"/>
      <x:c r="I239" s="108"/>
      <x:c r="J239" s="108"/>
      <x:c r="K239" s="108"/>
      <x:c r="L239" s="108"/>
      <x:c r="M239" s="108"/>
      <x:c r="N239" s="44"/>
      <x:c r="O239" s="44"/>
      <x:c r="P239" s="44"/>
      <x:c r="Q239" s="44"/>
      <x:c r="R239" s="44"/>
      <x:c r="S239" s="44"/>
      <x:c r="T239" s="44"/>
      <x:c r="U239" s="44"/>
      <x:c r="V239" s="44"/>
      <x:c r="W239" s="44"/>
      <x:c r="X239" s="112"/>
      <x:c r="Y239" s="112"/>
      <x:c r="Z239" s="112"/>
      <x:c r="AA239" s="112"/>
      <x:c r="AB239" s="96" t="str">
        <x:f>IF(B239="","",COUNTA(D239:M239)/10)</x:f>
      </x:c>
      <x:c r="AC239" s="44" t="str">
        <x:f>IF(B239="","",IF(AB239=1,"Completo",IF(AB239&gt;=0.6,"En desarrollo","Pendiente")))</x:f>
      </x:c>
      <x:c r="AD239" s="136"/>
      <x:c r="AE239" s="136"/>
      <x:c r="AF239" s="136"/>
      <x:c r="AG239" s="136"/>
      <x:c r="AH239" s="138"/>
      <x:c r="AI239" s="138"/>
      <x:c r="AJ239" s="138"/>
      <x:c r="AK239" s="136"/>
      <x:c r="AL239" s="136"/>
      <x:c r="AM239" s="136"/>
      <x:c r="AN239" s="136"/>
      <x:c r="AO239" s="136"/>
      <x:c r="AP239" s="136"/>
      <x:c r="AQ239" s="136"/>
      <x:c r="AR239" s="136"/>
      <x:c r="AS239" s="136"/>
    </x:row>
    <x:row r="240">
      <x:c r="A240" s="104"/>
      <x:c r="B240" s="104"/>
      <x:c r="C240" s="104"/>
      <x:c r="D240" s="108"/>
      <x:c r="E240" s="108"/>
      <x:c r="F240" s="108"/>
      <x:c r="G240" s="108"/>
      <x:c r="H240" s="108"/>
      <x:c r="I240" s="108"/>
      <x:c r="J240" s="108"/>
      <x:c r="K240" s="108"/>
      <x:c r="L240" s="108"/>
      <x:c r="M240" s="108"/>
      <x:c r="N240" s="44"/>
      <x:c r="O240" s="44"/>
      <x:c r="P240" s="44"/>
      <x:c r="Q240" s="44"/>
      <x:c r="R240" s="44"/>
      <x:c r="S240" s="44"/>
      <x:c r="T240" s="44"/>
      <x:c r="U240" s="44"/>
      <x:c r="V240" s="44"/>
      <x:c r="W240" s="44"/>
      <x:c r="X240" s="112"/>
      <x:c r="Y240" s="112"/>
      <x:c r="Z240" s="112"/>
      <x:c r="AA240" s="112"/>
      <x:c r="AB240" s="96" t="str">
        <x:f>IF(B240="","",COUNTA(D240:M240)/10)</x:f>
      </x:c>
      <x:c r="AC240" s="44" t="str">
        <x:f>IF(B240="","",IF(AB240=1,"Completo",IF(AB240&gt;=0.6,"En desarrollo","Pendiente")))</x:f>
      </x:c>
      <x:c r="AD240" s="136"/>
      <x:c r="AE240" s="136"/>
      <x:c r="AF240" s="136"/>
      <x:c r="AG240" s="136"/>
      <x:c r="AH240" s="138"/>
      <x:c r="AI240" s="138"/>
      <x:c r="AJ240" s="138"/>
      <x:c r="AK240" s="136"/>
      <x:c r="AL240" s="136"/>
      <x:c r="AM240" s="136"/>
      <x:c r="AN240" s="136"/>
      <x:c r="AO240" s="136"/>
      <x:c r="AP240" s="136"/>
      <x:c r="AQ240" s="136"/>
      <x:c r="AR240" s="136"/>
      <x:c r="AS240" s="136"/>
    </x:row>
    <x:row r="241">
      <x:c r="A241" s="104"/>
      <x:c r="B241" s="104"/>
      <x:c r="C241" s="104"/>
      <x:c r="D241" s="108"/>
      <x:c r="E241" s="108"/>
      <x:c r="F241" s="108"/>
      <x:c r="G241" s="108"/>
      <x:c r="H241" s="108"/>
      <x:c r="I241" s="108"/>
      <x:c r="J241" s="108"/>
      <x:c r="K241" s="108"/>
      <x:c r="L241" s="108"/>
      <x:c r="M241" s="108"/>
      <x:c r="N241" s="44"/>
      <x:c r="O241" s="44"/>
      <x:c r="P241" s="44"/>
      <x:c r="Q241" s="44"/>
      <x:c r="R241" s="44"/>
      <x:c r="S241" s="44"/>
      <x:c r="T241" s="44"/>
      <x:c r="U241" s="44"/>
      <x:c r="V241" s="44"/>
      <x:c r="W241" s="44"/>
      <x:c r="X241" s="112"/>
      <x:c r="Y241" s="112"/>
      <x:c r="Z241" s="112"/>
      <x:c r="AA241" s="112"/>
      <x:c r="AB241" s="96" t="str">
        <x:f>IF(B241="","",COUNTA(D241:M241)/10)</x:f>
      </x:c>
      <x:c r="AC241" s="44" t="str">
        <x:f>IF(B241="","",IF(AB241=1,"Completo",IF(AB241&gt;=0.6,"En desarrollo","Pendiente")))</x:f>
      </x:c>
      <x:c r="AD241" s="136"/>
      <x:c r="AE241" s="136"/>
      <x:c r="AF241" s="136"/>
      <x:c r="AG241" s="136"/>
      <x:c r="AH241" s="138"/>
      <x:c r="AI241" s="138"/>
      <x:c r="AJ241" s="138"/>
      <x:c r="AK241" s="136"/>
      <x:c r="AL241" s="136"/>
      <x:c r="AM241" s="136"/>
      <x:c r="AN241" s="136"/>
      <x:c r="AO241" s="136"/>
      <x:c r="AP241" s="136"/>
      <x:c r="AQ241" s="136"/>
      <x:c r="AR241" s="136"/>
      <x:c r="AS241" s="136"/>
    </x:row>
    <x:row r="242">
      <x:c r="A242" s="104"/>
      <x:c r="B242" s="104"/>
      <x:c r="C242" s="104"/>
      <x:c r="D242" s="108"/>
      <x:c r="E242" s="108"/>
      <x:c r="F242" s="108"/>
      <x:c r="G242" s="108"/>
      <x:c r="H242" s="108"/>
      <x:c r="I242" s="108"/>
      <x:c r="J242" s="108"/>
      <x:c r="K242" s="108"/>
      <x:c r="L242" s="108"/>
      <x:c r="M242" s="108"/>
      <x:c r="N242" s="44"/>
      <x:c r="O242" s="44"/>
      <x:c r="P242" s="44"/>
      <x:c r="Q242" s="44"/>
      <x:c r="R242" s="44"/>
      <x:c r="S242" s="44"/>
      <x:c r="T242" s="44"/>
      <x:c r="U242" s="44"/>
      <x:c r="V242" s="44"/>
      <x:c r="W242" s="44"/>
      <x:c r="X242" s="112"/>
      <x:c r="Y242" s="112"/>
      <x:c r="Z242" s="112"/>
      <x:c r="AA242" s="112"/>
      <x:c r="AB242" s="96" t="str">
        <x:f>IF(B242="","",COUNTA(D242:M242)/10)</x:f>
      </x:c>
      <x:c r="AC242" s="44" t="str">
        <x:f>IF(B242="","",IF(AB242=1,"Completo",IF(AB242&gt;=0.6,"En desarrollo","Pendiente")))</x:f>
      </x:c>
      <x:c r="AD242" s="136"/>
      <x:c r="AE242" s="136"/>
      <x:c r="AF242" s="136"/>
      <x:c r="AG242" s="136"/>
      <x:c r="AH242" s="138"/>
      <x:c r="AI242" s="138"/>
      <x:c r="AJ242" s="138"/>
      <x:c r="AK242" s="136"/>
      <x:c r="AL242" s="136"/>
      <x:c r="AM242" s="136"/>
      <x:c r="AN242" s="136"/>
      <x:c r="AO242" s="136"/>
      <x:c r="AP242" s="136"/>
      <x:c r="AQ242" s="136"/>
      <x:c r="AR242" s="136"/>
      <x:c r="AS242" s="136"/>
    </x:row>
    <x:row r="243">
      <x:c r="A243" s="104"/>
      <x:c r="B243" s="104"/>
      <x:c r="C243" s="104"/>
      <x:c r="D243" s="108"/>
      <x:c r="E243" s="108"/>
      <x:c r="F243" s="108"/>
      <x:c r="G243" s="108"/>
      <x:c r="H243" s="108"/>
      <x:c r="I243" s="108"/>
      <x:c r="J243" s="108"/>
      <x:c r="K243" s="108"/>
      <x:c r="L243" s="108"/>
      <x:c r="M243" s="108"/>
      <x:c r="N243" s="44"/>
      <x:c r="O243" s="44"/>
      <x:c r="P243" s="44"/>
      <x:c r="Q243" s="44"/>
      <x:c r="R243" s="44"/>
      <x:c r="S243" s="44"/>
      <x:c r="T243" s="44"/>
      <x:c r="U243" s="44"/>
      <x:c r="V243" s="44"/>
      <x:c r="W243" s="44"/>
      <x:c r="X243" s="112"/>
      <x:c r="Y243" s="112"/>
      <x:c r="Z243" s="112"/>
      <x:c r="AA243" s="112"/>
      <x:c r="AB243" s="96" t="str">
        <x:f>IF(B243="","",COUNTA(D243:M243)/10)</x:f>
      </x:c>
      <x:c r="AC243" s="44" t="str">
        <x:f>IF(B243="","",IF(AB243=1,"Completo",IF(AB243&gt;=0.6,"En desarrollo","Pendiente")))</x:f>
      </x:c>
      <x:c r="AD243" s="136"/>
      <x:c r="AE243" s="136"/>
      <x:c r="AF243" s="136"/>
      <x:c r="AG243" s="136"/>
      <x:c r="AH243" s="138"/>
      <x:c r="AI243" s="138"/>
      <x:c r="AJ243" s="138"/>
      <x:c r="AK243" s="136"/>
      <x:c r="AL243" s="136"/>
      <x:c r="AM243" s="136"/>
      <x:c r="AN243" s="136"/>
      <x:c r="AO243" s="136"/>
      <x:c r="AP243" s="136"/>
      <x:c r="AQ243" s="136"/>
      <x:c r="AR243" s="136"/>
      <x:c r="AS243" s="136"/>
    </x:row>
    <x:row r="244">
      <x:c r="A244" s="104"/>
      <x:c r="B244" s="104"/>
      <x:c r="C244" s="104"/>
      <x:c r="D244" s="108"/>
      <x:c r="E244" s="108"/>
      <x:c r="F244" s="108"/>
      <x:c r="G244" s="108"/>
      <x:c r="H244" s="108"/>
      <x:c r="I244" s="108"/>
      <x:c r="J244" s="108"/>
      <x:c r="K244" s="108"/>
      <x:c r="L244" s="108"/>
      <x:c r="M244" s="108"/>
      <x:c r="N244" s="44"/>
      <x:c r="O244" s="44"/>
      <x:c r="P244" s="44"/>
      <x:c r="Q244" s="44"/>
      <x:c r="R244" s="44"/>
      <x:c r="S244" s="44"/>
      <x:c r="T244" s="44"/>
      <x:c r="U244" s="44"/>
      <x:c r="V244" s="44"/>
      <x:c r="W244" s="44"/>
      <x:c r="X244" s="112"/>
      <x:c r="Y244" s="112"/>
      <x:c r="Z244" s="112"/>
      <x:c r="AA244" s="112"/>
      <x:c r="AB244" s="96" t="str">
        <x:f>IF(B244="","",COUNTA(D244:M244)/10)</x:f>
      </x:c>
      <x:c r="AC244" s="44" t="str">
        <x:f>IF(B244="","",IF(AB244=1,"Completo",IF(AB244&gt;=0.6,"En desarrollo","Pendiente")))</x:f>
      </x:c>
      <x:c r="AD244" s="136"/>
      <x:c r="AE244" s="136"/>
      <x:c r="AF244" s="136"/>
      <x:c r="AG244" s="136"/>
      <x:c r="AH244" s="138"/>
      <x:c r="AI244" s="138"/>
      <x:c r="AJ244" s="138"/>
      <x:c r="AK244" s="136"/>
      <x:c r="AL244" s="136"/>
      <x:c r="AM244" s="136"/>
      <x:c r="AN244" s="136"/>
      <x:c r="AO244" s="136"/>
      <x:c r="AP244" s="136"/>
      <x:c r="AQ244" s="136"/>
      <x:c r="AR244" s="136"/>
      <x:c r="AS244" s="136"/>
    </x:row>
    <x:row r="245">
      <x:c r="A245" s="104"/>
      <x:c r="B245" s="104"/>
      <x:c r="C245" s="104"/>
      <x:c r="D245" s="108"/>
      <x:c r="E245" s="108"/>
      <x:c r="F245" s="108"/>
      <x:c r="G245" s="108"/>
      <x:c r="H245" s="108"/>
      <x:c r="I245" s="108"/>
      <x:c r="J245" s="108"/>
      <x:c r="K245" s="108"/>
      <x:c r="L245" s="108"/>
      <x:c r="M245" s="108"/>
      <x:c r="N245" s="44"/>
      <x:c r="O245" s="44"/>
      <x:c r="P245" s="44"/>
      <x:c r="Q245" s="44"/>
      <x:c r="R245" s="44"/>
      <x:c r="S245" s="44"/>
      <x:c r="T245" s="44"/>
      <x:c r="U245" s="44"/>
      <x:c r="V245" s="44"/>
      <x:c r="W245" s="44"/>
      <x:c r="X245" s="112"/>
      <x:c r="Y245" s="112"/>
      <x:c r="Z245" s="112"/>
      <x:c r="AA245" s="112"/>
      <x:c r="AB245" s="96" t="str">
        <x:f>IF(B245="","",COUNTA(D245:M245)/10)</x:f>
      </x:c>
      <x:c r="AC245" s="44" t="str">
        <x:f>IF(B245="","",IF(AB245=1,"Completo",IF(AB245&gt;=0.6,"En desarrollo","Pendiente")))</x:f>
      </x:c>
      <x:c r="AD245" s="136"/>
      <x:c r="AE245" s="136"/>
      <x:c r="AF245" s="136"/>
      <x:c r="AG245" s="136"/>
      <x:c r="AH245" s="138"/>
      <x:c r="AI245" s="138"/>
      <x:c r="AJ245" s="138"/>
      <x:c r="AK245" s="136"/>
      <x:c r="AL245" s="136"/>
      <x:c r="AM245" s="136"/>
      <x:c r="AN245" s="136"/>
      <x:c r="AO245" s="136"/>
      <x:c r="AP245" s="136"/>
      <x:c r="AQ245" s="136"/>
      <x:c r="AR245" s="136"/>
      <x:c r="AS245" s="136"/>
    </x:row>
    <x:row r="246">
      <x:c r="A246" s="104"/>
      <x:c r="B246" s="104"/>
      <x:c r="C246" s="104"/>
      <x:c r="D246" s="108"/>
      <x:c r="E246" s="108"/>
      <x:c r="F246" s="108"/>
      <x:c r="G246" s="108"/>
      <x:c r="H246" s="108"/>
      <x:c r="I246" s="108"/>
      <x:c r="J246" s="108"/>
      <x:c r="K246" s="108"/>
      <x:c r="L246" s="108"/>
      <x:c r="M246" s="108"/>
      <x:c r="N246" s="44"/>
      <x:c r="O246" s="44"/>
      <x:c r="P246" s="44"/>
      <x:c r="Q246" s="44"/>
      <x:c r="R246" s="44"/>
      <x:c r="S246" s="44"/>
      <x:c r="T246" s="44"/>
      <x:c r="U246" s="44"/>
      <x:c r="V246" s="44"/>
      <x:c r="W246" s="44"/>
      <x:c r="X246" s="112"/>
      <x:c r="Y246" s="112"/>
      <x:c r="Z246" s="112"/>
      <x:c r="AA246" s="112"/>
      <x:c r="AB246" s="96" t="str">
        <x:f>IF(B246="","",COUNTA(D246:M246)/10)</x:f>
      </x:c>
      <x:c r="AC246" s="44" t="str">
        <x:f>IF(B246="","",IF(AB246=1,"Completo",IF(AB246&gt;=0.6,"En desarrollo","Pendiente")))</x:f>
      </x:c>
      <x:c r="AD246" s="136"/>
      <x:c r="AE246" s="136"/>
      <x:c r="AF246" s="136"/>
      <x:c r="AG246" s="136"/>
      <x:c r="AH246" s="138"/>
      <x:c r="AI246" s="138"/>
      <x:c r="AJ246" s="138"/>
      <x:c r="AK246" s="136"/>
      <x:c r="AL246" s="136"/>
      <x:c r="AM246" s="136"/>
      <x:c r="AN246" s="136"/>
      <x:c r="AO246" s="136"/>
      <x:c r="AP246" s="136"/>
      <x:c r="AQ246" s="136"/>
      <x:c r="AR246" s="136"/>
      <x:c r="AS246" s="136"/>
    </x:row>
    <x:row r="247">
      <x:c r="A247" s="104"/>
      <x:c r="B247" s="104"/>
      <x:c r="C247" s="104"/>
      <x:c r="D247" s="108"/>
      <x:c r="E247" s="108"/>
      <x:c r="F247" s="108"/>
      <x:c r="G247" s="108"/>
      <x:c r="H247" s="108"/>
      <x:c r="I247" s="108"/>
      <x:c r="J247" s="108"/>
      <x:c r="K247" s="108"/>
      <x:c r="L247" s="108"/>
      <x:c r="M247" s="108"/>
      <x:c r="N247" s="44"/>
      <x:c r="O247" s="44"/>
      <x:c r="P247" s="44"/>
      <x:c r="Q247" s="44"/>
      <x:c r="R247" s="44"/>
      <x:c r="S247" s="44"/>
      <x:c r="T247" s="44"/>
      <x:c r="U247" s="44"/>
      <x:c r="V247" s="44"/>
      <x:c r="W247" s="44"/>
      <x:c r="X247" s="112"/>
      <x:c r="Y247" s="112"/>
      <x:c r="Z247" s="112"/>
      <x:c r="AA247" s="112"/>
      <x:c r="AB247" s="96" t="str">
        <x:f>IF(B247="","",COUNTA(D247:M247)/10)</x:f>
      </x:c>
      <x:c r="AC247" s="44" t="str">
        <x:f>IF(B247="","",IF(AB247=1,"Completo",IF(AB247&gt;=0.6,"En desarrollo","Pendiente")))</x:f>
      </x:c>
      <x:c r="AD247" s="136"/>
      <x:c r="AE247" s="136"/>
      <x:c r="AF247" s="136"/>
      <x:c r="AG247" s="136"/>
      <x:c r="AH247" s="138"/>
      <x:c r="AI247" s="138"/>
      <x:c r="AJ247" s="138"/>
      <x:c r="AK247" s="136"/>
      <x:c r="AL247" s="136"/>
      <x:c r="AM247" s="136"/>
      <x:c r="AN247" s="136"/>
      <x:c r="AO247" s="136"/>
      <x:c r="AP247" s="136"/>
      <x:c r="AQ247" s="136"/>
      <x:c r="AR247" s="136"/>
      <x:c r="AS247" s="136"/>
    </x:row>
    <x:row r="248">
      <x:c r="A248" s="104"/>
      <x:c r="B248" s="104"/>
      <x:c r="C248" s="104"/>
      <x:c r="D248" s="108"/>
      <x:c r="E248" s="108"/>
      <x:c r="F248" s="108"/>
      <x:c r="G248" s="108"/>
      <x:c r="H248" s="108"/>
      <x:c r="I248" s="108"/>
      <x:c r="J248" s="108"/>
      <x:c r="K248" s="108"/>
      <x:c r="L248" s="108"/>
      <x:c r="M248" s="108"/>
      <x:c r="N248" s="44"/>
      <x:c r="O248" s="44"/>
      <x:c r="P248" s="44"/>
      <x:c r="Q248" s="44"/>
      <x:c r="R248" s="44"/>
      <x:c r="S248" s="44"/>
      <x:c r="T248" s="44"/>
      <x:c r="U248" s="44"/>
      <x:c r="V248" s="44"/>
      <x:c r="W248" s="44"/>
      <x:c r="X248" s="112"/>
      <x:c r="Y248" s="112"/>
      <x:c r="Z248" s="112"/>
      <x:c r="AA248" s="112"/>
      <x:c r="AB248" s="96" t="str">
        <x:f>IF(B248="","",COUNTA(D248:M248)/10)</x:f>
      </x:c>
      <x:c r="AC248" s="44" t="str">
        <x:f>IF(B248="","",IF(AB248=1,"Completo",IF(AB248&gt;=0.6,"En desarrollo","Pendiente")))</x:f>
      </x:c>
      <x:c r="AD248" s="136"/>
      <x:c r="AE248" s="136"/>
      <x:c r="AF248" s="136"/>
      <x:c r="AG248" s="136"/>
      <x:c r="AH248" s="138"/>
      <x:c r="AI248" s="138"/>
      <x:c r="AJ248" s="138"/>
      <x:c r="AK248" s="136"/>
      <x:c r="AL248" s="136"/>
      <x:c r="AM248" s="136"/>
      <x:c r="AN248" s="136"/>
      <x:c r="AO248" s="136"/>
      <x:c r="AP248" s="136"/>
      <x:c r="AQ248" s="136"/>
      <x:c r="AR248" s="136"/>
      <x:c r="AS248" s="136"/>
    </x:row>
    <x:row r="249">
      <x:c r="A249" s="104"/>
      <x:c r="B249" s="104"/>
      <x:c r="C249" s="104"/>
      <x:c r="D249" s="108"/>
      <x:c r="E249" s="108"/>
      <x:c r="F249" s="108"/>
      <x:c r="G249" s="108"/>
      <x:c r="H249" s="108"/>
      <x:c r="I249" s="108"/>
      <x:c r="J249" s="108"/>
      <x:c r="K249" s="108"/>
      <x:c r="L249" s="108"/>
      <x:c r="M249" s="108"/>
      <x:c r="N249" s="44"/>
      <x:c r="O249" s="44"/>
      <x:c r="P249" s="44"/>
      <x:c r="Q249" s="44"/>
      <x:c r="R249" s="44"/>
      <x:c r="S249" s="44"/>
      <x:c r="T249" s="44"/>
      <x:c r="U249" s="44"/>
      <x:c r="V249" s="44"/>
      <x:c r="W249" s="44"/>
      <x:c r="X249" s="112"/>
      <x:c r="Y249" s="112"/>
      <x:c r="Z249" s="112"/>
      <x:c r="AA249" s="112"/>
      <x:c r="AB249" s="96" t="str">
        <x:f>IF(B249="","",COUNTA(D249:M249)/10)</x:f>
      </x:c>
      <x:c r="AC249" s="44" t="str">
        <x:f>IF(B249="","",IF(AB249=1,"Completo",IF(AB249&gt;=0.6,"En desarrollo","Pendiente")))</x:f>
      </x:c>
      <x:c r="AD249" s="136"/>
      <x:c r="AE249" s="136"/>
      <x:c r="AF249" s="136"/>
      <x:c r="AG249" s="136"/>
      <x:c r="AH249" s="138"/>
      <x:c r="AI249" s="138"/>
      <x:c r="AJ249" s="138"/>
      <x:c r="AK249" s="136"/>
      <x:c r="AL249" s="136"/>
      <x:c r="AM249" s="136"/>
      <x:c r="AN249" s="136"/>
      <x:c r="AO249" s="136"/>
      <x:c r="AP249" s="136"/>
      <x:c r="AQ249" s="136"/>
      <x:c r="AR249" s="136"/>
      <x:c r="AS249" s="136"/>
    </x:row>
    <x:row r="250">
      <x:c r="A250" s="105"/>
      <x:c r="B250" s="105"/>
      <x:c r="C250" s="105"/>
      <x:c r="D250" s="109"/>
      <x:c r="E250" s="109"/>
      <x:c r="F250" s="109"/>
      <x:c r="G250" s="109"/>
      <x:c r="H250" s="109"/>
      <x:c r="I250" s="109"/>
      <x:c r="J250" s="109"/>
      <x:c r="K250" s="109"/>
      <x:c r="L250" s="109"/>
      <x:c r="M250" s="109"/>
      <x:c r="N250" s="45"/>
      <x:c r="O250" s="45"/>
      <x:c r="P250" s="45"/>
      <x:c r="Q250" s="45"/>
      <x:c r="R250" s="45"/>
      <x:c r="S250" s="45"/>
      <x:c r="T250" s="45"/>
      <x:c r="U250" s="45"/>
      <x:c r="V250" s="45"/>
      <x:c r="W250" s="45"/>
      <x:c r="X250" s="113"/>
      <x:c r="Y250" s="113"/>
      <x:c r="Z250" s="113"/>
      <x:c r="AA250" s="113"/>
      <x:c r="AB250" s="97" t="str">
        <x:f>IF(B250="","",COUNTA(D250:M250)/10)</x:f>
      </x:c>
      <x:c r="AC250" s="45" t="str">
        <x:f>IF(B250="","",IF(AB250=1,"Completo",IF(AB250&gt;=0.6,"En desarrollo","Pendiente")))</x:f>
      </x:c>
      <x:c r="AD250" s="137"/>
      <x:c r="AE250" s="137"/>
      <x:c r="AF250" s="137"/>
      <x:c r="AG250" s="137"/>
      <x:c r="AH250" s="139"/>
      <x:c r="AI250" s="139"/>
      <x:c r="AJ250" s="139"/>
      <x:c r="AK250" s="192"/>
      <x:c r="AL250" s="192"/>
      <x:c r="AM250" s="192"/>
      <x:c r="AN250" s="192"/>
      <x:c r="AO250" s="192"/>
      <x:c r="AP250" s="192"/>
      <x:c r="AQ250" s="192"/>
      <x:c r="AR250" s="192"/>
      <x:c r="AS250" s="192"/>
    </x:row>
  </x:sheetData>
  <x:mergeCells>
    <x:mergeCell ref="A1:AC1"/>
    <x:mergeCell ref="A2:AC2"/>
  </x:mergeCells>
  <x:conditionalFormatting sqref="AB5:AC250">
    <x:cfRule type="colorScale" priority="1">
      <x:colorScale>
        <x:cfvo type="min"/>
        <x:cfvo type="percentile" val="50"/>
        <x:cfvo type="max"/>
        <x:color rgb="FFF4CCCC"/>
        <x:color rgb="FFFFF2CC"/>
        <x:color rgb="FFD9EAD3"/>
      </x:colorScale>
    </x:cfRule>
  </x:conditionalFormatting>
  <x:dataValidations count="7">
    <x:dataValidation type="list" sqref="C5:C250">
      <x:formula1>"Ideación,Marketing,Modelo de Negocio,Prototipado,Servucción,Tendencias,Otra"</x:formula1>
    </x:dataValidation>
    <x:dataValidation type="list" sqref="N5:N250">
      <x:formula1>"Tecnología,Servicio,Producto,Modelo de negocio,Investigación,Cualquiera,Por validar"</x:formula1>
    </x:dataValidation>
    <x:dataValidation type="list" sqref="O5:O250">
      <x:formula1>"Aplica,No determinante,Transversal,Por validar"</x:formula1>
    </x:dataValidation>
    <x:dataValidation type="list" sqref="R5:R250">
      <x:formula1>"Aplica,No determinante,Transversal,Por validar"</x:formula1>
    </x:dataValidation>
    <x:dataValidation type="list" sqref="V5:V250">
      <x:formula1>"Básico,Medio,Avanzado,Por validar"</x:formula1>
    </x:dataValidation>
    <x:dataValidation type="list" sqref="W5:W250">
      <x:formula1>"Autogestión,IA,Taller,Acompañamiento,Mixta,Por validar"</x:formula1>
    </x:dataValidation>
    <x:dataValidation type="list" sqref="Z5:Z250">
      <x:formula1>"Pendiente de levantar,Preliminar,Por validar CEDIA,Validado CEDIA,No aplica"</x:formula1>
    </x:dataValidation>
  </x:dataValidations>
  <x:pageMargins left="0.7" right="0.7" top="0.75" bottom="0.75" header="0.3" footer="0.3"/>
  <x:tableParts count="1">
    <x:tablePart xmlns:r="http://schemas.openxmlformats.org/officeDocument/2006/relationships" r:id="Rf7a83b4a56a5490a"/>
  </x:tableParts>
</x:worksheet>
</file>

<file path=xl/worksheets/sheet3.xml><?xml version="1.0" encoding="utf-8"?>
<x:worksheet xmlns:x="http://schemas.openxmlformats.org/spreadsheetml/2006/main">
  <x:sheetFormatPr defaultRowHeight="15"/>
  <x:cols>
    <x:col min="1" max="1" width="14" hidden="0" customWidth="1"/>
    <x:col min="2" max="2" width="22" hidden="0" customWidth="1"/>
    <x:col min="3" max="3" width="28" hidden="0" customWidth="1"/>
    <x:col min="4" max="4" width="34" hidden="0" customWidth="1"/>
    <x:col min="5" max="5" width="34" hidden="0" customWidth="1"/>
    <x:col min="6" max="6" width="30" hidden="0" customWidth="1"/>
    <x:col min="7" max="7" width="30" hidden="0" customWidth="1"/>
    <x:col min="8" max="8" width="30" hidden="0" customWidth="1"/>
    <x:col min="9" max="9" width="14" hidden="0" customWidth="1"/>
    <x:col min="10" max="10" width="14" hidden="0" customWidth="1"/>
    <x:col min="11" max="11" width="20" hidden="0" customWidth="1"/>
    <x:col min="12" max="12" width="28" hidden="0" customWidth="1"/>
    <x:col min="13" max="13" width="30" hidden="0" customWidth="1"/>
  </x:cols>
  <x:sheetData>
    <x:row r="1" ht="28" customHeight="1">
      <x:c r="A1" s="6" t="str">
        <x:v>02 — TAXONOMÍA DE BRECHAS</x:v>
      </x:c>
      <x:c r="B1" s="6" t="str">
        <x:v>02 — TAXONOMÍA DE BRECHAS</x:v>
      </x:c>
      <x:c r="C1" s="6" t="str">
        <x:v>02 — TAXONOMÍA DE BRECHAS</x:v>
      </x:c>
      <x:c r="D1" s="6" t="str">
        <x:v>02 — TAXONOMÍA DE BRECHAS</x:v>
      </x:c>
      <x:c r="E1" s="6" t="str">
        <x:v>02 — TAXONOMÍA DE BRECHAS</x:v>
      </x:c>
      <x:c r="F1" s="6" t="str">
        <x:v>02 — TAXONOMÍA DE BRECHAS</x:v>
      </x:c>
      <x:c r="G1" s="6" t="str">
        <x:v>02 — TAXONOMÍA DE BRECHAS</x:v>
      </x:c>
      <x:c r="H1" s="6" t="str">
        <x:v>02 — TAXONOMÍA DE BRECHAS</x:v>
      </x:c>
      <x:c r="I1" s="6" t="str">
        <x:v>02 — TAXONOMÍA DE BRECHAS</x:v>
      </x:c>
      <x:c r="J1" s="6" t="str">
        <x:v>02 — TAXONOMÍA DE BRECHAS</x:v>
      </x:c>
      <x:c r="K1" s="6" t="str">
        <x:v>02 — TAXONOMÍA DE BRECHAS</x:v>
      </x:c>
      <x:c r="L1" s="6" t="str">
        <x:v>02 — TAXONOMÍA DE BRECHAS</x:v>
      </x:c>
      <x:c r="M1" s="6" t="str">
        <x:v>02 — TAXONOMÍA DE BRECHAS</x:v>
      </x:c>
    </x:row>
    <x:row r="2" ht="35" customHeight="1">
      <x:c r="A2" s="15" t="str">
        <x:v>Define problemas/necesidades observables del proyecto. Una brecha debe poder detectarse mediante preguntas o evidencias y debe conducir a una decisión o recomendación.</x:v>
      </x:c>
      <x:c r="B2" s="15" t="str">
        <x:v>Define problemas/necesidades observables del proyecto. Una brecha debe poder detectarse mediante preguntas o evidencias y debe conducir a una decisión o recomendación.</x:v>
      </x:c>
      <x:c r="C2" s="15" t="str">
        <x:v>Define problemas/necesidades observables del proyecto. Una brecha debe poder detectarse mediante preguntas o evidencias y debe conducir a una decisión o recomendación.</x:v>
      </x:c>
      <x:c r="D2" s="15" t="str">
        <x:v>Define problemas/necesidades observables del proyecto. Una brecha debe poder detectarse mediante preguntas o evidencias y debe conducir a una decisión o recomendación.</x:v>
      </x:c>
      <x:c r="E2" s="15" t="str">
        <x:v>Define problemas/necesidades observables del proyecto. Una brecha debe poder detectarse mediante preguntas o evidencias y debe conducir a una decisión o recomendación.</x:v>
      </x:c>
      <x:c r="F2" s="15" t="str">
        <x:v>Define problemas/necesidades observables del proyecto. Una brecha debe poder detectarse mediante preguntas o evidencias y debe conducir a una decisión o recomendación.</x:v>
      </x:c>
      <x:c r="G2" s="15" t="str">
        <x:v>Define problemas/necesidades observables del proyecto. Una brecha debe poder detectarse mediante preguntas o evidencias y debe conducir a una decisión o recomendación.</x:v>
      </x:c>
      <x:c r="H2" s="15" t="str">
        <x:v>Define problemas/necesidades observables del proyecto. Una brecha debe poder detectarse mediante preguntas o evidencias y debe conducir a una decisión o recomendación.</x:v>
      </x:c>
      <x:c r="I2" s="15" t="str">
        <x:v>Define problemas/necesidades observables del proyecto. Una brecha debe poder detectarse mediante preguntas o evidencias y debe conducir a una decisión o recomendación.</x:v>
      </x:c>
      <x:c r="J2" s="15" t="str">
        <x:v>Define problemas/necesidades observables del proyecto. Una brecha debe poder detectarse mediante preguntas o evidencias y debe conducir a una decisión o recomendación.</x:v>
      </x:c>
      <x:c r="K2" s="15" t="str">
        <x:v>Define problemas/necesidades observables del proyecto. Una brecha debe poder detectarse mediante preguntas o evidencias y debe conducir a una decisión o recomendación.</x:v>
      </x:c>
      <x:c r="L2" s="15" t="str">
        <x:v>Define problemas/necesidades observables del proyecto. Una brecha debe poder detectarse mediante preguntas o evidencias y debe conducir a una decisión o recomendación.</x:v>
      </x:c>
      <x:c r="M2" s="15" t="str">
        <x:v>Define problemas/necesidades observables del proyecto. Una brecha debe poder detectarse mediante preguntas o evidencias y debe conducir a una decisión o recomendación.</x:v>
      </x:c>
    </x:row>
    <x:row r="4" ht="34" customHeight="1">
      <x:c r="A4" s="28" t="str">
        <x:v>ID_BRECHA</x:v>
      </x:c>
      <x:c r="B4" s="55" t="str">
        <x:v>DIMENSION</x:v>
      </x:c>
      <x:c r="C4" s="55" t="str">
        <x:v>NOMBRE_BRECHA</x:v>
      </x:c>
      <x:c r="D4" s="55" t="str">
        <x:v>DESCRIPCION</x:v>
      </x:c>
      <x:c r="E4" s="55" t="str">
        <x:v>PREGUNTA_DIAGNOSTICO</x:v>
      </x:c>
      <x:c r="F4" s="55" t="str">
        <x:v>INDICADOR_DE_BRECHA</x:v>
      </x:c>
      <x:c r="G4" s="55" t="str">
        <x:v>INDICADOR_DE_CUMPLIMIENTO</x:v>
      </x:c>
      <x:c r="H4" s="55" t="str">
        <x:v>EVIDENCIA_MINIMA_ESPERADA</x:v>
      </x:c>
      <x:c r="I4" s="55" t="str">
        <x:v>SEVERIDAD_BASE</x:v>
      </x:c>
      <x:c r="J4" s="55" t="str">
        <x:v>PRIORIDAD_BASE</x:v>
      </x:c>
      <x:c r="K4" s="55" t="str">
        <x:v>ESTADO_VALIDACION</x:v>
      </x:c>
      <x:c r="L4" s="55" t="str">
        <x:v>FUENTE</x:v>
      </x:c>
      <x:c r="M4" s="29" t="str">
        <x:v>NOTAS</x:v>
      </x:c>
    </x:row>
    <x:row r="5">
      <x:c r="A5" s="136" t="str">
        <x:v>B-PRO-001</x:v>
      </x:c>
      <x:c r="B5" s="136" t="str">
        <x:v>Problema</x:v>
      </x:c>
      <x:c r="C5" s="136" t="str">
        <x:v>Problema central, causas y efectos no estructurados</x:v>
      </x:c>
      <x:c r="D5" s="136" t="str">
        <x:v>El proyecto reconoce una problemática, pero no ha organizado con claridad su problema central, causas y efectos.</x:v>
      </x:c>
      <x:c r="E5" s="136" t="str">
        <x:v>¿Puede definir una única problemática central y explicar sus principales causas y consecuencias?</x:v>
      </x:c>
      <x:c r="F5" s="136" t="str">
        <x:v>Respuesta incompleta o mezcla de síntomas, causas y problema central.</x:v>
      </x:c>
      <x:c r="G5" s="136" t="str">
        <x:v>Problema central diferenciado y relaciones causa-efecto documentadas.</x:v>
      </x:c>
      <x:c r="H5" s="136" t="str">
        <x:v>Árbol de Problemas u otra evidencia equivalente.</x:v>
      </x:c>
      <x:c r="I5" s="136" t="str">
        <x:v>Media</x:v>
      </x:c>
      <x:c r="J5" s="136" t="str">
        <x:v>3</x:v>
      </x:c>
      <x:c r="K5" s="136" t="str">
        <x:v>Preliminar</x:v>
      </x:c>
      <x:c r="L5" s="136" t="str">
        <x:v>IDEACIÓN - ÁRBOL DE PROBLEMAS.pdf</x:v>
      </x:c>
      <x:c r="M5" s="136" t="str">
        <x:v>Brecha propuesta a partir del objetivo de la herramienta.</x:v>
      </x:c>
    </x:row>
    <x:row r="6">
      <x:c r="A6" s="136" t="str">
        <x:v>B-IDE-001</x:v>
      </x:c>
      <x:c r="B6" s="136" t="str">
        <x:v>Ideación / Alternativas</x:v>
      </x:c>
      <x:c r="C6" s="136" t="str">
        <x:v>Falta de alternativas de solución</x:v>
      </x:c>
      <x:c r="D6" s="136" t="str">
        <x:v>El equipo dispone de pocas ideas o explora un rango limitado de alternativas.</x:v>
      </x:c>
      <x:c r="E6" s="136" t="str">
        <x:v>¿Se han generado múltiples alternativas sin juzgarlas prematuramente?</x:v>
      </x:c>
      <x:c r="F6" s="136" t="str">
        <x:v>Pocas alternativas o ideas repetitivas.</x:v>
      </x:c>
      <x:c r="G6" s="136" t="str">
        <x:v>Conjunto amplio de ideas y selección posterior.</x:v>
      </x:c>
      <x:c r="H6" s="136" t="str">
        <x:v>Registro de Brainstorming.</x:v>
      </x:c>
      <x:c r="I6" s="136" t="str">
        <x:v>Media</x:v>
      </x:c>
      <x:c r="J6" s="136" t="str">
        <x:v>3</x:v>
      </x:c>
      <x:c r="K6" s="136" t="str">
        <x:v>Preliminar</x:v>
      </x:c>
      <x:c r="L6" s="136" t="str">
        <x:v>IDEACIÓN - Brainstorming.pdf</x:v>
      </x:c>
      <x:c r="M6" s="136" t="str">
        <x:v>Brecha propuesta.</x:v>
      </x:c>
    </x:row>
    <x:row r="7">
      <x:c r="A7" s="136" t="str">
        <x:v>B-INV-001</x:v>
      </x:c>
      <x:c r="B7" s="136" t="str">
        <x:v>Investigación / Evidencia</x:v>
      </x:c>
      <x:c r="C7" s="136" t="str">
        <x:v>Investigación inicial no estructurada</x:v>
      </x:c>
      <x:c r="D7" s="136" t="str">
        <x:v>No existe claridad sobre qué investigar, a quién, qué hipótesis validar ni cómo recopilar la información.</x:v>
      </x:c>
      <x:c r="E7" s="136" t="str">
        <x:v>¿Existe un plan de investigación con objetivo, público, hipótesis, información requerida y metodología?</x:v>
      </x:c>
      <x:c r="F7" s="136" t="str">
        <x:v>Ausencia de uno o más componentes del brief.</x:v>
      </x:c>
      <x:c r="G7" s="136" t="str">
        <x:v>Brief completo y utilizable.</x:v>
      </x:c>
      <x:c r="H7" s="136" t="str">
        <x:v>Brief de Investigación.</x:v>
      </x:c>
      <x:c r="I7" s="136" t="str">
        <x:v>Alta</x:v>
      </x:c>
      <x:c r="J7" s="136" t="str">
        <x:v>4</x:v>
      </x:c>
      <x:c r="K7" s="136" t="str">
        <x:v>Preliminar</x:v>
      </x:c>
      <x:c r="L7" s="136" t="str">
        <x:v>IDEACIÓN - Brief de investigación.pdf</x:v>
      </x:c>
      <x:c r="M7" s="136" t="str">
        <x:v>Brecha propuesta.</x:v>
      </x:c>
    </x:row>
    <x:row r="8">
      <x:c r="A8" s="136" t="str">
        <x:v>B-INV-002</x:v>
      </x:c>
      <x:c r="B8" s="136" t="str">
        <x:v>Investigación / Evidencia</x:v>
      </x:c>
      <x:c r="C8" s="136" t="str">
        <x:v>Preguntas que no generan información suficiente</x:v>
      </x:c>
      <x:c r="D8" s="136" t="str">
        <x:v>Las preguntas utilizadas son vagas, poco progresivas o contienen supuestos no revisados.</x:v>
      </x:c>
      <x:c r="E8" s="136" t="str">
        <x:v>¿Las preguntas permiten obtener hechos, contexto y claridad sin inducir respuestas?</x:v>
      </x:c>
      <x:c r="F8" s="136" t="str">
        <x:v>Preguntas cerradas, ambiguas o cargadas de supuestos.</x:v>
      </x:c>
      <x:c r="G8" s="136" t="str">
        <x:v>Preguntas abiertas, progresivas y contextualizadas.</x:v>
      </x:c>
      <x:c r="H8" s="136" t="str">
        <x:v>Matriz de Preguntas Poderosas.</x:v>
      </x:c>
      <x:c r="I8" s="136" t="str">
        <x:v>Media</x:v>
      </x:c>
      <x:c r="J8" s="136" t="str">
        <x:v>3</x:v>
      </x:c>
      <x:c r="K8" s="136" t="str">
        <x:v>Preliminar</x:v>
      </x:c>
      <x:c r="L8" s="136" t="str">
        <x:v>IDEACIÓN - Componentes de Preguntas Poderosas.pdf</x:v>
      </x:c>
      <x:c r="M8" s="136" t="str">
        <x:v>Brecha propuesta.</x:v>
      </x:c>
    </x:row>
    <x:row r="9">
      <x:c r="A9" s="136" t="str">
        <x:v>B-PRO-002</x:v>
      </x:c>
      <x:c r="B9" s="136" t="str">
        <x:v>Problema</x:v>
      </x:c>
      <x:c r="C9" s="136" t="str">
        <x:v>Causas del problema no analizadas sistemáticamente</x:v>
      </x:c>
      <x:c r="D9" s="136" t="str">
        <x:v>El problema está identificado, pero sus causas principales y secundarias no están organizadas.</x:v>
      </x:c>
      <x:c r="E9" s="136" t="str">
        <x:v>¿Se han identificado y organizado causas principales y secundarias del problema?</x:v>
      </x:c>
      <x:c r="F9" s="136" t="str">
        <x:v>Causas sueltas o sin jerarquía.</x:v>
      </x:c>
      <x:c r="G9" s="136" t="str">
        <x:v>Diagrama causa-efecto completo.</x:v>
      </x:c>
      <x:c r="H9" s="136" t="str">
        <x:v>Diagrama de Ishikawa.</x:v>
      </x:c>
      <x:c r="I9" s="136" t="str">
        <x:v>Alta</x:v>
      </x:c>
      <x:c r="J9" s="136" t="str">
        <x:v>4</x:v>
      </x:c>
      <x:c r="K9" s="136" t="str">
        <x:v>Preliminar</x:v>
      </x:c>
      <x:c r="L9" s="136" t="str">
        <x:v>IDEACIÓN - Diagrama de Ishikawa.pdf</x:v>
      </x:c>
      <x:c r="M9" s="136" t="str">
        <x:v>Brecha propuesta.</x:v>
      </x:c>
    </x:row>
    <x:row r="10">
      <x:c r="A10" s="136" t="str">
        <x:v>B-IDE-002</x:v>
      </x:c>
      <x:c r="B10" s="136" t="str">
        <x:v>Ideación / Alternativas</x:v>
      </x:c>
      <x:c r="C10" s="136" t="str">
        <x:v>Insights no convertidos en preguntas de oportunidad</x:v>
      </x:c>
      <x:c r="D10" s="136" t="str">
        <x:v>Existen aprendizajes o insights, pero todavía no se han convertido en preguntas que abran alternativas de solución.</x:v>
      </x:c>
      <x:c r="E10" s="136" t="str">
        <x:v>¿Los insights relevantes se han traducido en preguntas abiertas «¿Cómo podríamos…?»?</x:v>
      </x:c>
      <x:c r="F10" s="136" t="str">
        <x:v>Insights sin formulación de oportunidad.</x:v>
      </x:c>
      <x:c r="G10" s="136" t="str">
        <x:v>Preguntas abiertas derivadas de insights.</x:v>
      </x:c>
      <x:c r="H10" s="136" t="str">
        <x:v>Matriz How Might We.</x:v>
      </x:c>
      <x:c r="I10" s="136" t="str">
        <x:v>Media</x:v>
      </x:c>
      <x:c r="J10" s="136" t="str">
        <x:v>3</x:v>
      </x:c>
      <x:c r="K10" s="136" t="str">
        <x:v>Preliminar</x:v>
      </x:c>
      <x:c r="L10" s="136" t="str">
        <x:v>IDEACIÓN - How might we.pdf</x:v>
      </x:c>
      <x:c r="M10" s="136" t="str">
        <x:v>Brecha propuesta.</x:v>
      </x:c>
    </x:row>
    <x:row r="11">
      <x:c r="A11" s="136" t="str">
        <x:v>B-IDE-003</x:v>
      </x:c>
      <x:c r="B11" s="136" t="str">
        <x:v>Ideación / Alternativas</x:v>
      </x:c>
      <x:c r="C11" s="136" t="str">
        <x:v>Concepto o reto insuficientemente expandido</x:v>
      </x:c>
      <x:c r="D11" s="136" t="str">
        <x:v>El equipo no ha explorado sistemáticamente subconceptos, temas o soluciones asociadas al reto central.</x:v>
      </x:c>
      <x:c r="E11" s="136" t="str">
        <x:v>¿El reto central se ha expandido en múltiples líneas de análisis y se han priorizado las más relevantes?</x:v>
      </x:c>
      <x:c r="F11" s="136" t="str">
        <x:v>Pocas perspectivas o ausencia de priorización.</x:v>
      </x:c>
      <x:c r="G11" s="136" t="str">
        <x:v>Mapa expandido y priorizado.</x:v>
      </x:c>
      <x:c r="H11" s="136" t="str">
        <x:v>Lotus Blossom.</x:v>
      </x:c>
      <x:c r="I11" s="136" t="str">
        <x:v>Media</x:v>
      </x:c>
      <x:c r="J11" s="136" t="str">
        <x:v>3</x:v>
      </x:c>
      <x:c r="K11" s="136" t="str">
        <x:v>Preliminar</x:v>
      </x:c>
      <x:c r="L11" s="136" t="str">
        <x:v>IDEACIÓN - Lotus Blossom.pdf</x:v>
      </x:c>
      <x:c r="M11" s="136" t="str">
        <x:v>Brecha propuesta.</x:v>
      </x:c>
    </x:row>
    <x:row r="12">
      <x:c r="A12" s="136" t="str">
        <x:v>B-PRO-003</x:v>
      </x:c>
      <x:c r="B12" s="136" t="str">
        <x:v>Problema</x:v>
      </x:c>
      <x:c r="C12" s="136" t="str">
        <x:v>Problema, beneficiario y contexto insuficientemente definidos</x:v>
      </x:c>
      <x:c r="D12" s="136" t="str">
        <x:v>No está claro quién vive el problema, qué experimenta, en qué contexto y qué cambio sería deseable.</x:v>
      </x:c>
      <x:c r="E12" s="136" t="str">
        <x:v>¿Puede describir tema, quién, qué, situación y valor esperado sin anticipar una solución?</x:v>
      </x:c>
      <x:c r="F12" s="136" t="str">
        <x:v>Descripción genérica o centrada prematuramente en la solución.</x:v>
      </x:c>
      <x:c r="G12" s="136" t="str">
        <x:v>Planteamiento del problema estructurado.</x:v>
      </x:c>
      <x:c r="H12" s="136" t="str">
        <x:v>Lienzo de Planteamiento del Problema.</x:v>
      </x:c>
      <x:c r="I12" s="136" t="str">
        <x:v>Alta</x:v>
      </x:c>
      <x:c r="J12" s="136" t="str">
        <x:v>4</x:v>
      </x:c>
      <x:c r="K12" s="136" t="str">
        <x:v>Preliminar</x:v>
      </x:c>
      <x:c r="L12" s="136" t="str">
        <x:v>IDEACIÓN - Planteamiento del Problema.pdf</x:v>
      </x:c>
      <x:c r="M12" s="136" t="str">
        <x:v>Brecha propuesta.</x:v>
      </x:c>
    </x:row>
    <x:row r="13">
      <x:c r="A13" s="136" t="str">
        <x:v>B-MER-001</x:v>
      </x:c>
      <x:c r="B13" s="136" t="str">
        <x:v>Mercado</x:v>
      </x:c>
      <x:c r="C13" s="136" t="str">
        <x:v>Cliente ideal insuficientemente caracterizado</x:v>
      </x:c>
      <x:c r="D13" s="136" t="str">
        <x:v>El proyecto no dispone de un perfil profundo y compartido del cliente ideal.</x:v>
      </x:c>
      <x:c r="E13" s="136" t="str">
        <x:v>¿Existe un Buyer Persona con características, objetivos, retos, objeciones y mensajes relevantes?</x:v>
      </x:c>
      <x:c r="F13" s="136" t="str">
        <x:v>Segmentación superficial o exclusivamente demográfica.</x:v>
      </x:c>
      <x:c r="G13" s="136" t="str">
        <x:v>Buyer Persona completo.</x:v>
      </x:c>
      <x:c r="H13" s="136" t="str">
        <x:v>Ficha de Buyer Persona.</x:v>
      </x:c>
      <x:c r="I13" s="136" t="str">
        <x:v>Alta</x:v>
      </x:c>
      <x:c r="J13" s="136" t="str">
        <x:v>4</x:v>
      </x:c>
      <x:c r="K13" s="136" t="str">
        <x:v>Preliminar</x:v>
      </x:c>
      <x:c r="L13" s="136" t="str">
        <x:v>MARKETING - Buyer Persona.pdf</x:v>
      </x:c>
      <x:c r="M13" s="136" t="str">
        <x:v>Brecha propuesta.</x:v>
      </x:c>
    </x:row>
    <x:row r="14">
      <x:c r="A14" s="136" t="str">
        <x:v>B-COM-001</x:v>
      </x:c>
      <x:c r="B14" s="136" t="str">
        <x:v>Comunicación / Pitch</x:v>
      </x:c>
      <x:c r="C14" s="136" t="str">
        <x:v>Propósito y diferenciación no articulados</x:v>
      </x:c>
      <x:c r="D14" s="136" t="str">
        <x:v>No está claro qué hace la propuesta, cómo lo hace de forma distintiva y por qué existe.</x:v>
      </x:c>
      <x:c r="E14" s="136" t="str">
        <x:v>¿Puede explicar de forma coherente qué hace, cómo lo hace y por qué lo hace?</x:v>
      </x:c>
      <x:c r="F14" s="136" t="str">
        <x:v>Mensajes centrados solo en características o sin propósito.</x:v>
      </x:c>
      <x:c r="G14" s="136" t="str">
        <x:v>Círculo de Oro y declaración de propósito.</x:v>
      </x:c>
      <x:c r="H14" s="136" t="str">
        <x:v>Círculo de Oro.</x:v>
      </x:c>
      <x:c r="I14" s="136" t="str">
        <x:v>Media</x:v>
      </x:c>
      <x:c r="J14" s="136" t="str">
        <x:v>3</x:v>
      </x:c>
      <x:c r="K14" s="136" t="str">
        <x:v>Preliminar</x:v>
      </x:c>
      <x:c r="L14" s="136" t="str">
        <x:v>MARKETING - Circulo de Oro.pdf</x:v>
      </x:c>
      <x:c r="M14" s="136" t="str">
        <x:v>Brecha propuesta.</x:v>
      </x:c>
    </x:row>
    <x:row r="15">
      <x:c r="A15" s="136" t="str">
        <x:v>B-EST-001</x:v>
      </x:c>
      <x:c r="B15" s="136" t="str">
        <x:v>Estrategia</x:v>
      </x:c>
      <x:c r="C15" s="136" t="str">
        <x:v>Situación interna y externa no estructurada</x:v>
      </x:c>
      <x:c r="D15" s="136" t="str">
        <x:v>El negocio no ha organizado sus fortalezas, debilidades, oportunidades y amenazas.</x:v>
      </x:c>
      <x:c r="E15" s="136" t="str">
        <x:v>¿Existe una lectura diferenciada de factores internos y externos relevantes?</x:v>
      </x:c>
      <x:c r="F15" s="136" t="str">
        <x:v>Factores mezclados o análisis parcial.</x:v>
      </x:c>
      <x:c r="G15" s="136" t="str">
        <x:v>Matriz FODA coherente.</x:v>
      </x:c>
      <x:c r="H15" s="136" t="str">
        <x:v>Matriz FODA.</x:v>
      </x:c>
      <x:c r="I15" s="136" t="str">
        <x:v>Media</x:v>
      </x:c>
      <x:c r="J15" s="136" t="str">
        <x:v>3</x:v>
      </x:c>
      <x:c r="K15" s="136" t="str">
        <x:v>Preliminar</x:v>
      </x:c>
      <x:c r="L15" s="136" t="str">
        <x:v>MARKETING - FODA.pdf</x:v>
      </x:c>
      <x:c r="M15" s="136" t="str">
        <x:v>Brecha propuesta.</x:v>
      </x:c>
    </x:row>
    <x:row r="16">
      <x:c r="A16" s="136" t="str">
        <x:v>B-POS-001</x:v>
      </x:c>
      <x:c r="B16" s="136" t="str">
        <x:v>Posicionamiento</x:v>
      </x:c>
      <x:c r="C16" s="136" t="str">
        <x:v>Competencia y posicionamiento relativo poco claros</x:v>
      </x:c>
      <x:c r="D16" s="136" t="str">
        <x:v>No se entiende la posición de la oferta frente a competidores según atributos relevantes para el cliente.</x:v>
      </x:c>
      <x:c r="E16" s="136" t="str">
        <x:v>¿Se conocen los competidores, atributos clave y posición relativa percibida?</x:v>
      </x:c>
      <x:c r="F16" s="136" t="str">
        <x:v>Comparación anecdótica o sin ejes relevantes.</x:v>
      </x:c>
      <x:c r="G16" s="136" t="str">
        <x:v>Mapa perceptual justificado.</x:v>
      </x:c>
      <x:c r="H16" s="136" t="str">
        <x:v>Mapa de Posicionamiento.</x:v>
      </x:c>
      <x:c r="I16" s="136" t="str">
        <x:v>Alta</x:v>
      </x:c>
      <x:c r="J16" s="136" t="str">
        <x:v>4</x:v>
      </x:c>
      <x:c r="K16" s="136" t="str">
        <x:v>Preliminar</x:v>
      </x:c>
      <x:c r="L16" s="136" t="str">
        <x:v>MARKETING - Mapa de Posicionamiento.pdf</x:v>
      </x:c>
      <x:c r="M16" s="136" t="str">
        <x:v>Brecha propuesta.</x:v>
      </x:c>
    </x:row>
    <x:row r="17">
      <x:c r="A17" s="136" t="str">
        <x:v>B-COM-002</x:v>
      </x:c>
      <x:c r="B17" s="136" t="str">
        <x:v>Comunicación / Pitch</x:v>
      </x:c>
      <x:c r="C17" s="136" t="str">
        <x:v>Presentación integral del proyecto incompleta</x:v>
      </x:c>
      <x:c r="D17" s="136" t="str">
        <x:v>La propuesta no está sintetizada en una narrativa que cubra problema, solución, diferenciación, tracción, negocio, inversión y llamada a la acción.</x:v>
      </x:c>
      <x:c r="E17" s="136" t="str">
        <x:v>¿La presentación cubre los bloques fundamentales del proyecto y define una llamada a la acción?</x:v>
      </x:c>
      <x:c r="F17" s="136" t="str">
        <x:v>Pitch incompleto o disperso.</x:v>
      </x:c>
      <x:c r="G17" s="136" t="str">
        <x:v>Pitch Canvas completo.</x:v>
      </x:c>
      <x:c r="H17" s="136" t="str">
        <x:v>Pitch Canvas.</x:v>
      </x:c>
      <x:c r="I17" s="136" t="str">
        <x:v>Media</x:v>
      </x:c>
      <x:c r="J17" s="136" t="str">
        <x:v>3</x:v>
      </x:c>
      <x:c r="K17" s="136" t="str">
        <x:v>Preliminar</x:v>
      </x:c>
      <x:c r="L17" s="136" t="str">
        <x:v>MARKETING - Pitch Canvas.pdf</x:v>
      </x:c>
      <x:c r="M17" s="136" t="str">
        <x:v>Brecha propuesta.</x:v>
      </x:c>
    </x:row>
    <x:row r="18">
      <x:c r="A18" s="136" t="str">
        <x:v>B-USR-001</x:v>
      </x:c>
      <x:c r="B18" s="136" t="str">
        <x:v>Usuario</x:v>
      </x:c>
      <x:c r="C18" s="136" t="str">
        <x:v>Trabajos y necesidades prioritarias del cliente no definidos</x:v>
      </x:c>
      <x:c r="D18" s="136" t="str">
        <x:v>No está claro qué trabajos funcionales, emocionales o sociales intenta realizar el cliente ni su prioridad.</x:v>
      </x:c>
      <x:c r="E18" s="136" t="str">
        <x:v>¿Se han identificado y priorizado los jobs del cliente?</x:v>
      </x:c>
      <x:c r="F18" s="136" t="str">
        <x:v>Necesidades genéricas sin priorización.</x:v>
      </x:c>
      <x:c r="G18" s="136" t="str">
        <x:v>Jobs clasificados y priorizados.</x:v>
      </x:c>
      <x:c r="H18" s="136" t="str">
        <x:v>Job To Be Done.</x:v>
      </x:c>
      <x:c r="I18" s="136" t="str">
        <x:v>Alta</x:v>
      </x:c>
      <x:c r="J18" s="136" t="str">
        <x:v>4</x:v>
      </x:c>
      <x:c r="K18" s="136" t="str">
        <x:v>Preliminar</x:v>
      </x:c>
      <x:c r="L18" s="136" t="str">
        <x:v>PROTOTIPADO - Job To Be Donde.pdf</x:v>
      </x:c>
      <x:c r="M18" s="136" t="str">
        <x:v>Brecha propuesta.</x:v>
      </x:c>
    </x:row>
    <x:row r="19">
      <x:c r="A19" s="136" t="str">
        <x:v>B-USR-002</x:v>
      </x:c>
      <x:c r="B19" s="136" t="str">
        <x:v>Usuario</x:v>
      </x:c>
      <x:c r="C19" s="136" t="str">
        <x:v>Motivaciones y frustraciones del cliente no comprendidas</x:v>
      </x:c>
      <x:c r="D19" s="136" t="str">
        <x:v>El equipo conoce el segmento, pero no comprende suficientemente lo que piensa, siente, ve, hace, escucha, teme y desea.</x:v>
      </x:c>
      <x:c r="E19" s="136" t="str">
        <x:v>¿Existe comprensión profunda de motivaciones, frustraciones y contexto del cliente?</x:v>
      </x:c>
      <x:c r="F19" s="136" t="str">
        <x:v>Perfil superficial del usuario.</x:v>
      </x:c>
      <x:c r="G19" s="136" t="str">
        <x:v>Mapa de Empatía completo.</x:v>
      </x:c>
      <x:c r="H19" s="136" t="str">
        <x:v>Mapa de Empatía.</x:v>
      </x:c>
      <x:c r="I19" s="136" t="str">
        <x:v>Alta</x:v>
      </x:c>
      <x:c r="J19" s="136" t="str">
        <x:v>4</x:v>
      </x:c>
      <x:c r="K19" s="136" t="str">
        <x:v>Preliminar</x:v>
      </x:c>
      <x:c r="L19" s="136" t="str">
        <x:v>PROTOTIPADO - Mapa de Empatía.pdf</x:v>
      </x:c>
      <x:c r="M19" s="136" t="str">
        <x:v>Brecha propuesta.</x:v>
      </x:c>
    </x:row>
    <x:row r="20">
      <x:c r="A20" s="136" t="str">
        <x:v>B-SOL-001</x:v>
      </x:c>
      <x:c r="B20" s="136" t="str">
        <x:v>Solución</x:v>
      </x:c>
      <x:c r="C20" s="136" t="str">
        <x:v>Atributos de solución no alineados con necesidades</x:v>
      </x:c>
      <x:c r="D20" s="136" t="str">
        <x:v>Las características de la propuesta no están claramente conectadas con el trabajo y necesidades del cliente.</x:v>
      </x:c>
      <x:c r="E20" s="136" t="str">
        <x:v>¿Los atributos funcionales y emocionales responden al trabajo que el cliente busca resolver?</x:v>
      </x:c>
      <x:c r="F20" s="136" t="str">
        <x:v>Lista de funciones sin conexión con necesidades.</x:v>
      </x:c>
      <x:c r="G20" s="136" t="str">
        <x:v>Trabajo, atributos y necesidades articulados.</x:v>
      </x:c>
      <x:c r="H20" s="136" t="str">
        <x:v>¿Qué debe hacer mi solución?.</x:v>
      </x:c>
      <x:c r="I20" s="136" t="str">
        <x:v>Alta</x:v>
      </x:c>
      <x:c r="J20" s="136" t="str">
        <x:v>4</x:v>
      </x:c>
      <x:c r="K20" s="136" t="str">
        <x:v>Preliminar</x:v>
      </x:c>
      <x:c r="L20" s="136" t="str">
        <x:v>PROTOTIPADO - Que debe hacer mi solución.docx.pdf</x:v>
      </x:c>
      <x:c r="M20" s="136" t="str">
        <x:v>Brecha propuesta.</x:v>
      </x:c>
    </x:row>
    <x:row r="21">
      <x:c r="A21" s="136" t="str">
        <x:v>B-SOL-002</x:v>
      </x:c>
      <x:c r="B21" s="136" t="str">
        <x:v>Solución</x:v>
      </x:c>
      <x:c r="C21" s="136" t="str">
        <x:v>Requisitos de solución insuficientemente especificados</x:v>
      </x:c>
      <x:c r="D21" s="136" t="str">
        <x:v>No están definidos requisitos funcionales, tecnológicos/constructivos y expresivos que orienten el diseño.</x:v>
      </x:c>
      <x:c r="E21" s="136" t="str">
        <x:v>¿Se han especificado requisitos funcionales, tecnológicos y expresivos del producto/servicio?</x:v>
      </x:c>
      <x:c r="F21" s="136" t="str">
        <x:v>Requisitos parciales o ambiguos.</x:v>
      </x:c>
      <x:c r="G21" s="136" t="str">
        <x:v>Matriz de requisitos completa.</x:v>
      </x:c>
      <x:c r="H21" s="136" t="str">
        <x:v>Requisitos de Solución.</x:v>
      </x:c>
      <x:c r="I21" s="136" t="str">
        <x:v>Alta</x:v>
      </x:c>
      <x:c r="J21" s="136" t="str">
        <x:v>4</x:v>
      </x:c>
      <x:c r="K21" s="136" t="str">
        <x:v>Preliminar</x:v>
      </x:c>
      <x:c r="L21" s="136" t="str">
        <x:v>PROTOTIPADO - Requisitos de Solución.pdf</x:v>
      </x:c>
      <x:c r="M21" s="136" t="str">
        <x:v>Brecha propuesta.</x:v>
      </x:c>
    </x:row>
    <x:row r="22">
      <x:c r="A22" s="136" t="str">
        <x:v>B-PROTO-001</x:v>
      </x:c>
      <x:c r="B22" s="136" t="str">
        <x:v>Prototipado</x:v>
      </x:c>
      <x:c r="C22" s="136" t="str">
        <x:v>Experiencia de interacción no visualizada</x:v>
      </x:c>
      <x:c r="D22" s="136" t="str">
        <x:v>No existe una representación secuencial de cómo el usuario interactúa con el producto o servicio.</x:v>
      </x:c>
      <x:c r="E22" s="136" t="str">
        <x:v>¿Se ha representado el antes, durante y después de la interacción y registrado fricciones o mejoras?</x:v>
      </x:c>
      <x:c r="F22" s="136" t="str">
        <x:v>Flujo explicado solo en texto o sin perspectiva del usuario.</x:v>
      </x:c>
      <x:c r="G22" s="136" t="str">
        <x:v>Storyboard de ocho frames y observaciones.</x:v>
      </x:c>
      <x:c r="H22" s="136" t="str">
        <x:v>Storyboard.</x:v>
      </x:c>
      <x:c r="I22" s="136" t="str">
        <x:v>Media</x:v>
      </x:c>
      <x:c r="J22" s="136" t="str">
        <x:v>3</x:v>
      </x:c>
      <x:c r="K22" s="136" t="str">
        <x:v>Preliminar</x:v>
      </x:c>
      <x:c r="L22" s="136" t="str">
        <x:v>PROTOTIPADO - Storyboard.pdf</x:v>
      </x:c>
      <x:c r="M22" s="136" t="str">
        <x:v>Brecha propuesta.</x:v>
      </x:c>
    </x:row>
    <x:row r="23">
      <x:c r="A23" s="137" t="str">
        <x:v>B-VIA-001</x:v>
      </x:c>
      <x:c r="B23" s="137" t="str">
        <x:v>Viabilidad</x:v>
      </x:c>
      <x:c r="C23" s="137" t="str">
        <x:v>Deseabilidad, factibilidad y viabilidad no evaluadas conjuntamente</x:v>
      </x:c>
      <x:c r="D23" s="137" t="str">
        <x:v>La idea no ha sido revisada de manera integrada desde mercado, técnica y economía.</x:v>
      </x:c>
      <x:c r="E23" s="137" t="str">
        <x:v>¿La idea ha sido analizada en deseo del mercado, factibilidad técnica y viabilidad económica?</x:v>
      </x:c>
      <x:c r="F23" s="137" t="str">
        <x:v>Uno o más componentes sin analizar o con evidencia débil.</x:v>
      </x:c>
      <x:c r="G23" s="137" t="str">
        <x:v>Evaluación de Tres Lupas y decisión sobre componentes a fortalecer.</x:v>
      </x:c>
      <x:c r="H23" s="137" t="str">
        <x:v>Tres Lupas.</x:v>
      </x:c>
      <x:c r="I23" s="137" t="str">
        <x:v>Alta</x:v>
      </x:c>
      <x:c r="J23" s="137" t="str">
        <x:v>4</x:v>
      </x:c>
      <x:c r="K23" s="137" t="str">
        <x:v>Preliminar</x:v>
      </x:c>
      <x:c r="L23" s="137" t="str">
        <x:v>PROTOTIPADO - Tres Lupas.pdf</x:v>
      </x:c>
      <x:c r="M23" s="137" t="str">
        <x:v>Brecha propuesta.</x:v>
      </x:c>
    </x:row>
    <x:row r="24">
      <x:c r="A24" s="136" t="str">
        <x:v>B-NEG-001</x:v>
      </x:c>
      <x:c r="B24" s="136" t="str">
        <x:v>Modelo de negocio</x:v>
      </x:c>
      <x:c r="C24" s="136" t="str">
        <x:v>Modelo de negocio no estructurado integralmente</x:v>
      </x:c>
      <x:c r="D24" s="136" t="str">
        <x:v>No existe una visión integrada de clientes, valor, canales, relaciones, ingresos, recursos, actividades, aliados y costos.</x:v>
      </x:c>
      <x:c r="E24" s="136" t="str">
        <x:v>¿Los nueve bloques del modelo de negocio están definidos y muestran coherencia entre sí?</x:v>
      </x:c>
      <x:c r="F24" s="136" t="str">
        <x:v>Uno o más bloques relevantes están ausentes o desconectados.</x:v>
      </x:c>
      <x:c r="G24" s="136" t="str">
        <x:v>Los nueve bloques están definidos y permiten explicar cómo el modelo crea, entrega y captura valor.</x:v>
      </x:c>
      <x:c r="H24" s="136" t="str">
        <x:v>Business Model Canvas.</x:v>
      </x:c>
      <x:c r="I24" s="136" t="str">
        <x:v>Alta</x:v>
      </x:c>
      <x:c r="J24" s="136" t="str">
        <x:v>4</x:v>
      </x:c>
      <x:c r="K24" s="136" t="str">
        <x:v>Preliminar</x:v>
      </x:c>
      <x:c r="L24" s="136" t="str">
        <x:v>MODELO DE NEGOCIO - Busines Model Canvas.pdf</x:v>
      </x:c>
      <x:c r="M24" s="136" t="str">
        <x:v>Brecha propuesta a partir del objetivo y estructura de la herramienta.</x:v>
      </x:c>
    </x:row>
    <x:row r="25">
      <x:c r="A25" s="136" t="str">
        <x:v>B-VAL-001</x:v>
      </x:c>
      <x:c r="B25" s="136" t="str">
        <x:v>Propuesta de valor</x:v>
      </x:c>
      <x:c r="C25" s="136" t="str">
        <x:v>Propuesta de valor no alineada con el perfil del cliente</x:v>
      </x:c>
      <x:c r="D25" s="136" t="str">
        <x:v>No está clara la relación entre trabajos, frustraciones y motivaciones del cliente y la forma en que la oferta responde a ellos.</x:v>
      </x:c>
      <x:c r="E25" s="136" t="str">
        <x:v>¿La propuesta explica cómo productos/servicios alivian frustraciones y crean beneficios para trabajos relevantes del cliente?</x:v>
      </x:c>
      <x:c r="F25" s="136" t="str">
        <x:v>Mapa de valor y perfil del cliente desconectados o incompletos.</x:v>
      </x:c>
      <x:c r="G25" s="136" t="str">
        <x:v>Perfil del cliente y mapa de valor definidos y relacionados.</x:v>
      </x:c>
      <x:c r="H25" s="136" t="str">
        <x:v>Lienzo de Propuesta de Valor.</x:v>
      </x:c>
      <x:c r="I25" s="136" t="str">
        <x:v>Alta</x:v>
      </x:c>
      <x:c r="J25" s="136" t="str">
        <x:v>4</x:v>
      </x:c>
      <x:c r="K25" s="136" t="str">
        <x:v>Preliminar</x:v>
      </x:c>
      <x:c r="L25" s="136" t="str">
        <x:v>MODELO DE NEGOCIO - Lienzo de Propuesta de Valor.pdf</x:v>
      </x:c>
      <x:c r="M25" s="136" t="str">
        <x:v>Brecha propuesta.</x:v>
      </x:c>
    </x:row>
    <x:row r="26">
      <x:c r="A26" s="136" t="str">
        <x:v>B-SER-001</x:v>
      </x:c>
      <x:c r="B26" s="136" t="str">
        <x:v>Servicio / Servucción</x:v>
      </x:c>
      <x:c r="C26" s="136" t="str">
        <x:v>Producción y experiencia del servicio no estructuradas</x:v>
      </x:c>
      <x:c r="D26" s="136" t="str">
        <x:v>No se han organizado la oferta de servicios, momentos de verdad y componentes que intervienen en la prestación.</x:v>
      </x:c>
      <x:c r="E26" s="136" t="str">
        <x:v>¿Se encuentran definidos el modelo molecular, los momentos de verdad y los componentes del servicio?</x:v>
      </x:c>
      <x:c r="F26" s="136" t="str">
        <x:v>Diseño del servicio fragmentado o centrado solo en el servicio base.</x:v>
      </x:c>
      <x:c r="G26" s="136" t="str">
        <x:v>Modelo de servucción completo y coherente.</x:v>
      </x:c>
      <x:c r="H26" s="136" t="str">
        <x:v>Servucción.</x:v>
      </x:c>
      <x:c r="I26" s="136" t="str">
        <x:v>Alta</x:v>
      </x:c>
      <x:c r="J26" s="136" t="str">
        <x:v>4</x:v>
      </x:c>
      <x:c r="K26" s="136" t="str">
        <x:v>Preliminar</x:v>
      </x:c>
      <x:c r="L26" s="136" t="str">
        <x:v>SERVUCCIÓN - servucción.pdf</x:v>
      </x:c>
      <x:c r="M26" s="136" t="str">
        <x:v>Brecha propuesta.</x:v>
      </x:c>
    </x:row>
    <x:row r="27">
      <x:c r="A27" s="136" t="str">
        <x:v>B-TEN-001</x:v>
      </x:c>
      <x:c r="B27" s="136" t="str">
        <x:v>Entorno / Tendencias</x:v>
      </x:c>
      <x:c r="C27" s="136" t="str">
        <x:v>Convergencia de tendencias y áreas de innovación no identificadas</x:v>
      </x:c>
      <x:c r="D27" s="136" t="str">
        <x:v>Se conocen tendencias por separado, pero no se han identificado patrones comunes ni posibles áreas de innovación derivadas de su cruce.</x:v>
      </x:c>
      <x:c r="E27" s="136" t="str">
        <x:v>¿Se han seleccionado tendencias relevantes y analizado sus puntos de convergencia para identificar oportunidades?</x:v>
      </x:c>
      <x:c r="F27" s="136" t="str">
        <x:v>Listado de tendencias sin relación entre ellas o sin implicaciones para la propuesta.</x:v>
      </x:c>
      <x:c r="G27" s="136" t="str">
        <x:v>Tres tendencias analizadas con patrones comunes y oportunidades de innovación.</x:v>
      </x:c>
      <x:c r="H27" s="136" t="str">
        <x:v>Componentes de Tendencias.</x:v>
      </x:c>
      <x:c r="I27" s="136" t="str">
        <x:v>Media</x:v>
      </x:c>
      <x:c r="J27" s="136" t="str">
        <x:v>3</x:v>
      </x:c>
      <x:c r="K27" s="136" t="str">
        <x:v>Preliminar</x:v>
      </x:c>
      <x:c r="L27" s="136" t="str">
        <x:v>TENDENCIAS - Componentes de Tendencias.pdf</x:v>
      </x:c>
      <x:c r="M27" s="136" t="str">
        <x:v>Brecha propuesta.</x:v>
      </x:c>
    </x:row>
    <x:row r="28">
      <x:c r="A28" s="136" t="str">
        <x:v>B-ENT-001</x:v>
      </x:c>
      <x:c r="B28" s="136" t="str">
        <x:v>Entorno / Tendencias</x:v>
      </x:c>
      <x:c r="C28" s="136" t="str">
        <x:v>Escenarios y contexto del problema insuficientemente comprendidos</x:v>
      </x:c>
      <x:c r="D28" s="136" t="str">
        <x:v>El análisis del problema no integra causas, efectos, espacio-tiempo, actores y experiencias directas.</x:v>
      </x:c>
      <x:c r="E28" s="136" t="str">
        <x:v>¿El problema se ha analizado desde causas, efectos, contexto, actores y testimonios?</x:v>
      </x:c>
      <x:c r="F28" s="136" t="str">
        <x:v>Descripción del problema sin contexto o evidencia de personas afectadas.</x:v>
      </x:c>
      <x:c r="G28" s="136" t="str">
        <x:v>Future Compass con los elementos principales documentados.</x:v>
      </x:c>
      <x:c r="H28" s="136" t="str">
        <x:v>Future Compass.</x:v>
      </x:c>
      <x:c r="I28" s="136" t="str">
        <x:v>Alta</x:v>
      </x:c>
      <x:c r="J28" s="136" t="str">
        <x:v>4</x:v>
      </x:c>
      <x:c r="K28" s="136" t="str">
        <x:v>Preliminar</x:v>
      </x:c>
      <x:c r="L28" s="136" t="str">
        <x:v>TENDENCIAS - Future Compass.pdf</x:v>
      </x:c>
      <x:c r="M28" s="136" t="str">
        <x:v>Brecha propuesta.</x:v>
      </x:c>
    </x:row>
    <x:row r="29">
      <x:c r="A29" s="136" t="str">
        <x:v>B-TEN-002</x:v>
      </x:c>
      <x:c r="B29" s="136" t="str">
        <x:v>Entorno / Tendencias</x:v>
      </x:c>
      <x:c r="C29" s="136" t="str">
        <x:v>Impacto de tendencias y patrones sobre el sector no comprendido</x:v>
      </x:c>
      <x:c r="D29" s="136" t="str">
        <x:v>No existe una lectura clara de tendencias, convergencias y fuerzas futuras que puedan afectar a la organización o proyecto.</x:v>
      </x:c>
      <x:c r="E29" s="136" t="str">
        <x:v>¿Se han identificado líneas de tendencia relevantes y sus posibles convergencias o impactos?</x:v>
      </x:c>
      <x:c r="F29" s="136" t="str">
        <x:v>Análisis aislado o sin conexión con el sector/proyecto.</x:v>
      </x:c>
      <x:c r="G29" s="136" t="str">
        <x:v>Mapa de tendencias interpretado con patrones e impactos relevantes.</x:v>
      </x:c>
      <x:c r="H29" s="136" t="str">
        <x:v>Mapa de Tendencias.</x:v>
      </x:c>
      <x:c r="I29" s="136" t="str">
        <x:v>Media</x:v>
      </x:c>
      <x:c r="J29" s="136" t="str">
        <x:v>3</x:v>
      </x:c>
      <x:c r="K29" s="136" t="str">
        <x:v>Preliminar</x:v>
      </x:c>
      <x:c r="L29" s="136" t="str">
        <x:v>TENDENCIAS - Mapa de Tendencias.pdf</x:v>
      </x:c>
      <x:c r="M29" s="136" t="str">
        <x:v>Brecha propuesta.</x:v>
      </x:c>
    </x:row>
    <x:row r="30">
      <x:c r="A30" s="182" t="str">
        <x:v>B-TEN-003</x:v>
      </x:c>
      <x:c r="B30" s="182" t="str">
        <x:v>Entorno / Tendencias</x:v>
      </x:c>
      <x:c r="C30" s="182" t="str">
        <x:v>Tendencia no traducida en una oportunidad de innovación</x:v>
      </x:c>
      <x:c r="D30" s="182" t="str">
        <x:v>Existe una tendencia identificada, pero no se ha relacionado con necesidades, expectativas, segmentos ni una aplicación concreta.</x:v>
      </x:c>
      <x:c r="E30" s="182" t="str">
        <x:v>¿La tendencia seleccionada se ha traducido en una oportunidad, segmento y concepto inicial aplicable al proyecto?</x:v>
      </x:c>
      <x:c r="F30" s="182" t="str">
        <x:v>Análisis descriptivo sin aplicación a la oferta.</x:v>
      </x:c>
      <x:c r="G30" s="182" t="str">
        <x:v>Trend Canvas con análisis y aplicación conectados.</x:v>
      </x:c>
      <x:c r="H30" s="182" t="str">
        <x:v>Trend Canvas.</x:v>
      </x:c>
      <x:c r="I30" s="182" t="str">
        <x:v>Alta</x:v>
      </x:c>
      <x:c r="J30" s="182" t="str">
        <x:v>4</x:v>
      </x:c>
      <x:c r="K30" s="182" t="str">
        <x:v>Preliminar</x:v>
      </x:c>
      <x:c r="L30" s="182" t="str">
        <x:v>TENDENCIAS - Trend Canvas.pdf</x:v>
      </x:c>
      <x:c r="M30" s="182" t="str">
        <x:v>Brecha propuesta.</x:v>
      </x:c>
    </x:row>
    <x:row r="31">
      <x:c r="A31" s="408" t="str">
        <x:v>B-HIP-001</x:v>
      </x:c>
      <x:c r="B31" s="408" t="str">
        <x:v>Validación / Evidencia</x:v>
      </x:c>
      <x:c r="C31" s="408" t="str">
        <x:v>Supuestos críticos no priorizados</x:v>
      </x:c>
      <x:c r="D31" s="408" t="str">
        <x:v>La idea contiene supuestos relevantes, pero no se ha identificado cuáles son críticos ni cuánta evidencia existe para cada uno.</x:v>
      </x:c>
      <x:c r="E31" s="408" t="str">
        <x:v>¿Qué debe ser cierto para que tu idea funcione y cuáles de esos supuestos tienen mayor riesgo o menor evidencia?</x:v>
      </x:c>
      <x:c r="F31" s="408" t="str">
        <x:v>Hipótesis críticas implícitas o sin priorización.</x:v>
      </x:c>
      <x:c r="G31" s="408" t="str">
        <x:v>Hipótesis testables priorizadas por importancia/riesgo y evidencia.</x:v>
      </x:c>
      <x:c r="H31" s="408" t="str">
        <x:v>Mapa de supuestos con hipótesis críticas priorizadas.</x:v>
      </x:c>
      <x:c r="I31" s="408" t="str">
        <x:v>Media</x:v>
      </x:c>
      <x:c r="J31" s="408" t="str">
        <x:v>P2</x:v>
      </x:c>
      <x:c r="K31" s="408" t="str">
        <x:v>Propuesta sustentada — validar CEDIA</x:v>
      </x:c>
      <x:c r="L31" s="408" t="str">
        <x:v>Strategyzer — Assumptions Mapping</x:v>
      </x:c>
      <x:c r="M31" s="408" t="str">
        <x:v>https://www.strategyzer.com/programs/assumptions-mapping-prepare-to-test-your-business-idea-part-1</x:v>
      </x:c>
    </x:row>
    <x:row r="32">
      <x:c r="A32" s="408" t="str">
        <x:v>B-VAL-002</x:v>
      </x:c>
      <x:c r="B32" s="408" t="str">
        <x:v>Validación / Experimentación</x:v>
      </x:c>
      <x:c r="C32" s="408" t="str">
        <x:v>Hipótesis crítica sin experimento definido</x:v>
      </x:c>
      <x:c r="D32" s="408" t="str">
        <x:v>Existe una incertidumbre prioritaria, pero no hay una prueba con métrica y umbral definidos.</x:v>
      </x:c>
      <x:c r="E32" s="408" t="str">
        <x:v>¿Tienes una hipótesis concreta que necesites probar y sabes exactamente cómo medir si se sostiene?</x:v>
      </x:c>
      <x:c r="F32" s="408" t="str">
        <x:v>Hipótesis sin método, métrica o umbral de prueba.</x:v>
      </x:c>
      <x:c r="G32" s="408" t="str">
        <x:v>Experimento definido antes de ejecución con hipótesis, método, métrica y umbral.</x:v>
      </x:c>
      <x:c r="H32" s="408" t="str">
        <x:v>Test Card completada.</x:v>
      </x:c>
      <x:c r="I32" s="408" t="str">
        <x:v>Alta</x:v>
      </x:c>
      <x:c r="J32" s="408" t="str">
        <x:v>P1</x:v>
      </x:c>
      <x:c r="K32" s="408" t="str">
        <x:v>Propuesta sustentada — validar CEDIA</x:v>
      </x:c>
      <x:c r="L32" s="408" t="str">
        <x:v>Strategyzer — Test Card</x:v>
      </x:c>
      <x:c r="M32" s="408" t="str">
        <x:v>https://www.strategyzer.com/library/validate-your-ideas-with-the-test-card</x:v>
      </x:c>
    </x:row>
    <x:row r="33">
      <x:c r="A33" s="408" t="str">
        <x:v>B-VAL-003</x:v>
      </x:c>
      <x:c r="B33" s="408" t="str">
        <x:v>Aprendizaje / Evidencia</x:v>
      </x:c>
      <x:c r="C33" s="408" t="str">
        <x:v>Experimentos sin aprendizaje ni decisión trazable</x:v>
      </x:c>
      <x:c r="D33" s="408" t="str">
        <x:v>Se realizaron pruebas, pero sus resultados no se han convertido en aprendizaje explícito ni decisión.</x:v>
      </x:c>
      <x:c r="E33" s="408" t="str">
        <x:v>Después de tu prueba, ¿puedes explicar qué observaste, qué aprendiste y qué decisión cambia por esa evidencia?</x:v>
      </x:c>
      <x:c r="F33" s="408" t="str">
        <x:v>Resultados dispersos o conclusión no vinculada a datos.</x:v>
      </x:c>
      <x:c r="G33" s="408" t="str">
        <x:v>Aprendizaje documentado y acción/decisión trazable a la evidencia.</x:v>
      </x:c>
      <x:c r="H33" s="408" t="str">
        <x:v>Learning Card completada.</x:v>
      </x:c>
      <x:c r="I33" s="408" t="str">
        <x:v>Alta</x:v>
      </x:c>
      <x:c r="J33" s="408" t="str">
        <x:v>P1</x:v>
      </x:c>
      <x:c r="K33" s="408" t="str">
        <x:v>Propuesta sustentada — validar CEDIA</x:v>
      </x:c>
      <x:c r="L33" s="408" t="str">
        <x:v>Strategyzer — Learning Card</x:v>
      </x:c>
      <x:c r="M33" s="408" t="str">
        <x:v>https://www.strategyzer.com/library/capture-customer-insights-and-actions-with-the-learning-card</x:v>
      </x:c>
    </x:row>
    <x:row r="34">
      <x:c r="A34" s="408" t="str">
        <x:v>B-MAD-001</x:v>
      </x:c>
      <x:c r="B34" s="408" t="str">
        <x:v>Maduración tecnológica</x:v>
      </x:c>
      <x:c r="C34" s="408" t="str">
        <x:v>Brecha TRL sin plan de maduración</x:v>
      </x:c>
      <x:c r="D34" s="408" t="str">
        <x:v>Se conoce o estima la madurez técnica actual, pero no existe un roadmap para alcanzar el nivel requerido.</x:v>
      </x:c>
      <x:c r="E34" s="408" t="str">
        <x:v>¿Sabes qué evidencia, pruebas e hitos necesitas para pasar de tu TRL actual al TRL objetivo?</x:v>
      </x:c>
      <x:c r="F34" s="408" t="str">
        <x:v>TRL actual conocido, pero actividades/criterios de avance no definidos.</x:v>
      </x:c>
      <x:c r="G34" s="408" t="str">
        <x:v>Plan con brechas, actividades, evidencia, hitos y criterios de salida.</x:v>
      </x:c>
      <x:c r="H34" s="408" t="str">
        <x:v>Plan de Maduración Tecnológica.</x:v>
      </x:c>
      <x:c r="I34" s="408" t="str">
        <x:v>Alta</x:v>
      </x:c>
      <x:c r="J34" s="408" t="str">
        <x:v>P1</x:v>
      </x:c>
      <x:c r="K34" s="408" t="str">
        <x:v>Propuesta sustentada — validar CEDIA</x:v>
      </x:c>
      <x:c r="L34" s="408" t="str">
        <x:v>U.S. DOE — Technology Maturation Plan</x:v>
      </x:c>
      <x:c r="M34" s="408" t="str">
        <x:v>https://www.energy.gov/documents/archivedoe-g-413-3-4doe-technology-readiness-assessment-guide2009-10-12pdf</x:v>
      </x:c>
    </x:row>
    <x:row r="35">
      <x:c r="A35" s="408" t="str">
        <x:v>B-PI-001</x:v>
      </x:c>
      <x:c r="B35" s="408" t="str">
        <x:v>Propiedad Intelectual</x:v>
      </x:c>
      <x:c r="C35" s="408" t="str">
        <x:v>Libertad de operación no evaluada</x:v>
      </x:c>
      <x:c r="D35" s="408" t="str">
        <x:v>No se ha revisado si derechos de PI de terceros pueden afectar la explotación prevista de la solución.</x:v>
      </x:c>
      <x:c r="E35" s="408" t="str">
        <x:v>¿Conoces qué derechos de terceros podrían limitar fabricar, usar, vender o licenciar tu solución en el mercado objetivo?</x:v>
      </x:c>
      <x:c r="F35" s="408" t="str">
        <x:v>Sin cribado FTO o con riesgos de PI no documentados.</x:v>
      </x:c>
      <x:c r="G35" s="408" t="str">
        <x:v>Riesgos FTO preliminares identificados y acciones de mitigación/consulta definidas.</x:v>
      </x:c>
      <x:c r="H35" s="408" t="str">
        <x:v>Matriz FTO preliminar.</x:v>
      </x:c>
      <x:c r="I35" s="408" t="str">
        <x:v>Alta</x:v>
      </x:c>
      <x:c r="J35" s="408" t="str">
        <x:v>P1</x:v>
      </x:c>
      <x:c r="K35" s="408" t="str">
        <x:v>Propuesta sustentada — validar CEDIA</x:v>
      </x:c>
      <x:c r="L35" s="408" t="str">
        <x:v>WIPO — Freedom to Operate</x:v>
      </x:c>
      <x:c r="M35" s="408" t="str">
        <x:v>https://www.wipo.int/en/web/tisc/inventions-public-domain</x:v>
      </x:c>
    </x:row>
    <x:row r="36">
      <x:c r="A36" s="408" t="str">
        <x:v>B-ECO-001</x:v>
      </x:c>
      <x:c r="B36" s="408" t="str">
        <x:v>Ecosistema / Cadena de valor</x:v>
      </x:c>
      <x:c r="C36" s="408" t="str">
        <x:v>Cadena de valor y actores críticos no mapeados</x:v>
      </x:c>
      <x:c r="D36" s="408" t="str">
        <x:v>No existe claridad sobre capacidades, actores, socios y dependencias necesarios para llevar la solución desde desarrollo hasta uso/mercado.</x:v>
      </x:c>
      <x:c r="E36" s="408" t="str">
        <x:v>¿Quién debe hacer qué para desarrollar, transferir, producir, comercializar y sostener tu solución, y qué capacidades faltan?</x:v>
      </x:c>
      <x:c r="F36" s="408" t="str">
        <x:v>Actividades/actores/capacidades críticas sin responsable o sin visibilidad.</x:v>
      </x:c>
      <x:c r="G36" s="408" t="str">
        <x:v>Mapa de cadena de valor con capacidades, actores, brechas y acciones.</x:v>
      </x:c>
      <x:c r="H36" s="408" t="str">
        <x:v>Mapa de Cadena de Valor y Actores.</x:v>
      </x:c>
      <x:c r="I36" s="408" t="str">
        <x:v>Media</x:v>
      </x:c>
      <x:c r="J36" s="408" t="str">
        <x:v>P2</x:v>
      </x:c>
      <x:c r="K36" s="408" t="str">
        <x:v>Propuesta sustentada — validar CEDIA</x:v>
      </x:c>
      <x:c r="L36" s="408" t="str">
        <x:v>WIPO — Value Chain</x:v>
      </x:c>
      <x:c r="M36" s="408" t="str">
        <x:v>https://www.wipo.int/en/web/tisc/inventions-public-domain</x:v>
      </x:c>
    </x:row>
    <x:row r="37">
      <x:c r="A37" s="408" t="str">
        <x:v>B-PI-002</x:v>
      </x:c>
      <x:c r="B37" s="408" t="str">
        <x:v>Propiedad Intelectual / Transferencia</x:v>
      </x:c>
      <x:c r="C37" s="408" t="str">
        <x:v>Invención no divulgada institucionalmente</x:v>
      </x:c>
      <x:c r="D37" s="408" t="str">
        <x:v>Existe un resultado potencialmente inventivo, pero no se ha documentado/comunicado formalmente para evaluación de PI y transferencia.</x:v>
      </x:c>
      <x:c r="E37" s="408" t="str">
        <x:v>¿Tu resultado inventivo ya está documentado y comunicado a la función de transferencia/PI con inventores, evidencia, financiación y divulgaciones?</x:v>
      </x:c>
      <x:c r="F37" s="408" t="str">
        <x:v>Resultado inventivo sin expediente/divulgación institucional.</x:v>
      </x:c>
      <x:c r="G37" s="408" t="str">
        <x:v>Ficha de divulgación completa remitible a la función de transferencia/PI.</x:v>
      </x:c>
      <x:c r="H37" s="408" t="str">
        <x:v>Ficha de Divulgación de Invención.</x:v>
      </x:c>
      <x:c r="I37" s="408" t="str">
        <x:v>Alta</x:v>
      </x:c>
      <x:c r="J37" s="408" t="str">
        <x:v>P1</x:v>
      </x:c>
      <x:c r="K37" s="408" t="str">
        <x:v>Propuesta sustentada — validar CEDIA</x:v>
      </x:c>
      <x:c r="L37" s="408" t="str">
        <x:v>WIPO — Knowledge and Technology Transfer</x:v>
      </x:c>
      <x:c r="M37" s="408" t="str">
        <x:v>https://www.wipo.int/es/web/technology-transfer/</x:v>
      </x:c>
    </x:row>
    <x:row r="38">
      <x:c r="A38" s="408" t="str">
        <x:v>B-ADO-001</x:v>
      </x:c>
      <x:c r="B38" s="408" t="str">
        <x:v>Adopción / Comercialización</x:v>
      </x:c>
      <x:c r="C38" s="408" t="str">
        <x:v>Riesgos no técnicos de adopción no evaluados</x:v>
      </x:c>
      <x:c r="D38" s="408" t="str">
        <x:v>La tecnología puede funcionar técnicamente, pero no se han evaluado sistemáticamente barreras de valor, mercado, recursos o licencia para operar.</x:v>
      </x:c>
      <x:c r="E38" s="408" t="str">
        <x:v>¿Qué barreras no técnicas podrían impedir que tu solución sea adoptada aunque funcione?</x:v>
      </x:c>
      <x:c r="F38" s="408" t="str">
        <x:v>Riesgos de adopción tratados de forma fragmentada o ausentes.</x:v>
      </x:c>
      <x:c r="G38" s="408" t="str">
        <x:v>Riesgos priorizados por área con evidencia y acciones.</x:v>
      </x:c>
      <x:c r="H38" s="408" t="str">
        <x:v>Mapa de Riesgos de Adopción / Comercialización.</x:v>
      </x:c>
      <x:c r="I38" s="408" t="str">
        <x:v>Alta</x:v>
      </x:c>
      <x:c r="J38" s="408" t="str">
        <x:v>P1</x:v>
      </x:c>
      <x:c r="K38" s="408" t="str">
        <x:v>Propuesta sustentada — validar CEDIA</x:v>
      </x:c>
      <x:c r="L38" s="408" t="str">
        <x:v>U.S. DOE — ARL Framework</x:v>
      </x:c>
      <x:c r="M38" s="408" t="str">
        <x:v>https://www.energy.gov/technologycommercialization/adoption-readiness-levels-arl-framework</x:v>
      </x:c>
    </x:row>
    <x:row r="39">
      <x:c r="A39" s="44"/>
      <x:c r="B39" s="44"/>
      <x:c r="C39" s="44"/>
      <x:c r="D39" s="44"/>
      <x:c r="E39" s="44"/>
      <x:c r="F39" s="44"/>
      <x:c r="G39" s="44"/>
      <x:c r="H39" s="44"/>
      <x:c r="I39" s="44"/>
      <x:c r="J39" s="44"/>
      <x:c r="K39" s="44"/>
      <x:c r="L39" s="44"/>
      <x:c r="M39" s="44"/>
    </x:row>
    <x:row r="40">
      <x:c r="A40" s="44"/>
      <x:c r="B40" s="44"/>
      <x:c r="C40" s="44"/>
      <x:c r="D40" s="44"/>
      <x:c r="E40" s="44"/>
      <x:c r="F40" s="44"/>
      <x:c r="G40" s="44"/>
      <x:c r="H40" s="44"/>
      <x:c r="I40" s="44"/>
      <x:c r="J40" s="44"/>
      <x:c r="K40" s="44"/>
      <x:c r="L40" s="44"/>
      <x:c r="M40" s="44"/>
    </x:row>
    <x:row r="41">
      <x:c r="A41" s="44"/>
      <x:c r="B41" s="44"/>
      <x:c r="C41" s="44"/>
      <x:c r="D41" s="44"/>
      <x:c r="E41" s="44"/>
      <x:c r="F41" s="44"/>
      <x:c r="G41" s="44"/>
      <x:c r="H41" s="44"/>
      <x:c r="I41" s="44"/>
      <x:c r="J41" s="44"/>
      <x:c r="K41" s="44"/>
      <x:c r="L41" s="44"/>
      <x:c r="M41" s="44"/>
    </x:row>
    <x:row r="42">
      <x:c r="A42" s="44"/>
      <x:c r="B42" s="44"/>
      <x:c r="C42" s="44"/>
      <x:c r="D42" s="44"/>
      <x:c r="E42" s="44"/>
      <x:c r="F42" s="44"/>
      <x:c r="G42" s="44"/>
      <x:c r="H42" s="44"/>
      <x:c r="I42" s="44"/>
      <x:c r="J42" s="44"/>
      <x:c r="K42" s="44"/>
      <x:c r="L42" s="44"/>
      <x:c r="M42" s="44"/>
    </x:row>
    <x:row r="43">
      <x:c r="A43" s="44"/>
      <x:c r="B43" s="44"/>
      <x:c r="C43" s="44"/>
      <x:c r="D43" s="44"/>
      <x:c r="E43" s="44"/>
      <x:c r="F43" s="44"/>
      <x:c r="G43" s="44"/>
      <x:c r="H43" s="44"/>
      <x:c r="I43" s="44"/>
      <x:c r="J43" s="44"/>
      <x:c r="K43" s="44"/>
      <x:c r="L43" s="44"/>
      <x:c r="M43" s="44"/>
    </x:row>
    <x:row r="44">
      <x:c r="A44" s="44"/>
      <x:c r="B44" s="44"/>
      <x:c r="C44" s="44"/>
      <x:c r="D44" s="44"/>
      <x:c r="E44" s="44"/>
      <x:c r="F44" s="44"/>
      <x:c r="G44" s="44"/>
      <x:c r="H44" s="44"/>
      <x:c r="I44" s="44"/>
      <x:c r="J44" s="44"/>
      <x:c r="K44" s="44"/>
      <x:c r="L44" s="44"/>
      <x:c r="M44" s="44"/>
    </x:row>
    <x:row r="45">
      <x:c r="A45" s="44"/>
      <x:c r="B45" s="44"/>
      <x:c r="C45" s="44"/>
      <x:c r="D45" s="44"/>
      <x:c r="E45" s="44"/>
      <x:c r="F45" s="44"/>
      <x:c r="G45" s="44"/>
      <x:c r="H45" s="44"/>
      <x:c r="I45" s="44"/>
      <x:c r="J45" s="44"/>
      <x:c r="K45" s="44"/>
      <x:c r="L45" s="44"/>
      <x:c r="M45" s="44"/>
    </x:row>
    <x:row r="46">
      <x:c r="A46" s="44"/>
      <x:c r="B46" s="44"/>
      <x:c r="C46" s="44"/>
      <x:c r="D46" s="44"/>
      <x:c r="E46" s="44"/>
      <x:c r="F46" s="44"/>
      <x:c r="G46" s="44"/>
      <x:c r="H46" s="44"/>
      <x:c r="I46" s="44"/>
      <x:c r="J46" s="44"/>
      <x:c r="K46" s="44"/>
      <x:c r="L46" s="44"/>
      <x:c r="M46" s="44"/>
    </x:row>
    <x:row r="47">
      <x:c r="A47" s="44"/>
      <x:c r="B47" s="44"/>
      <x:c r="C47" s="44"/>
      <x:c r="D47" s="44"/>
      <x:c r="E47" s="44"/>
      <x:c r="F47" s="44"/>
      <x:c r="G47" s="44"/>
      <x:c r="H47" s="44"/>
      <x:c r="I47" s="44"/>
      <x:c r="J47" s="44"/>
      <x:c r="K47" s="44"/>
      <x:c r="L47" s="44"/>
      <x:c r="M47" s="44"/>
    </x:row>
    <x:row r="48">
      <x:c r="A48" s="44"/>
      <x:c r="B48" s="44"/>
      <x:c r="C48" s="44"/>
      <x:c r="D48" s="44"/>
      <x:c r="E48" s="44"/>
      <x:c r="F48" s="44"/>
      <x:c r="G48" s="44"/>
      <x:c r="H48" s="44"/>
      <x:c r="I48" s="44"/>
      <x:c r="J48" s="44"/>
      <x:c r="K48" s="44"/>
      <x:c r="L48" s="44"/>
      <x:c r="M48" s="44"/>
    </x:row>
    <x:row r="49">
      <x:c r="A49" s="44"/>
      <x:c r="B49" s="44"/>
      <x:c r="C49" s="44"/>
      <x:c r="D49" s="44"/>
      <x:c r="E49" s="44"/>
      <x:c r="F49" s="44"/>
      <x:c r="G49" s="44"/>
      <x:c r="H49" s="44"/>
      <x:c r="I49" s="44"/>
      <x:c r="J49" s="44"/>
      <x:c r="K49" s="44"/>
      <x:c r="L49" s="44"/>
      <x:c r="M49" s="44"/>
    </x:row>
    <x:row r="50">
      <x:c r="A50" s="44"/>
      <x:c r="B50" s="44"/>
      <x:c r="C50" s="44"/>
      <x:c r="D50" s="44"/>
      <x:c r="E50" s="44"/>
      <x:c r="F50" s="44"/>
      <x:c r="G50" s="44"/>
      <x:c r="H50" s="44"/>
      <x:c r="I50" s="44"/>
      <x:c r="J50" s="44"/>
      <x:c r="K50" s="44"/>
      <x:c r="L50" s="44"/>
      <x:c r="M50" s="44"/>
    </x:row>
    <x:row r="51">
      <x:c r="A51" s="44"/>
      <x:c r="B51" s="44"/>
      <x:c r="C51" s="44"/>
      <x:c r="D51" s="44"/>
      <x:c r="E51" s="44"/>
      <x:c r="F51" s="44"/>
      <x:c r="G51" s="44"/>
      <x:c r="H51" s="44"/>
      <x:c r="I51" s="44"/>
      <x:c r="J51" s="44"/>
      <x:c r="K51" s="44"/>
      <x:c r="L51" s="44"/>
      <x:c r="M51" s="44"/>
    </x:row>
    <x:row r="52">
      <x:c r="A52" s="44"/>
      <x:c r="B52" s="44"/>
      <x:c r="C52" s="44"/>
      <x:c r="D52" s="44"/>
      <x:c r="E52" s="44"/>
      <x:c r="F52" s="44"/>
      <x:c r="G52" s="44"/>
      <x:c r="H52" s="44"/>
      <x:c r="I52" s="44"/>
      <x:c r="J52" s="44"/>
      <x:c r="K52" s="44"/>
      <x:c r="L52" s="44"/>
      <x:c r="M52" s="44"/>
    </x:row>
    <x:row r="53">
      <x:c r="A53" s="44"/>
      <x:c r="B53" s="44"/>
      <x:c r="C53" s="44"/>
      <x:c r="D53" s="44"/>
      <x:c r="E53" s="44"/>
      <x:c r="F53" s="44"/>
      <x:c r="G53" s="44"/>
      <x:c r="H53" s="44"/>
      <x:c r="I53" s="44"/>
      <x:c r="J53" s="44"/>
      <x:c r="K53" s="44"/>
      <x:c r="L53" s="44"/>
      <x:c r="M53" s="44"/>
    </x:row>
    <x:row r="54">
      <x:c r="A54" s="44"/>
      <x:c r="B54" s="44"/>
      <x:c r="C54" s="44"/>
      <x:c r="D54" s="44"/>
      <x:c r="E54" s="44"/>
      <x:c r="F54" s="44"/>
      <x:c r="G54" s="44"/>
      <x:c r="H54" s="44"/>
      <x:c r="I54" s="44"/>
      <x:c r="J54" s="44"/>
      <x:c r="K54" s="44"/>
      <x:c r="L54" s="44"/>
      <x:c r="M54" s="44"/>
    </x:row>
    <x:row r="55">
      <x:c r="A55" s="44"/>
      <x:c r="B55" s="44"/>
      <x:c r="C55" s="44"/>
      <x:c r="D55" s="44"/>
      <x:c r="E55" s="44"/>
      <x:c r="F55" s="44"/>
      <x:c r="G55" s="44"/>
      <x:c r="H55" s="44"/>
      <x:c r="I55" s="44"/>
      <x:c r="J55" s="44"/>
      <x:c r="K55" s="44"/>
      <x:c r="L55" s="44"/>
      <x:c r="M55" s="44"/>
    </x:row>
    <x:row r="56">
      <x:c r="A56" s="44"/>
      <x:c r="B56" s="44"/>
      <x:c r="C56" s="44"/>
      <x:c r="D56" s="44"/>
      <x:c r="E56" s="44"/>
      <x:c r="F56" s="44"/>
      <x:c r="G56" s="44"/>
      <x:c r="H56" s="44"/>
      <x:c r="I56" s="44"/>
      <x:c r="J56" s="44"/>
      <x:c r="K56" s="44"/>
      <x:c r="L56" s="44"/>
      <x:c r="M56" s="44"/>
    </x:row>
    <x:row r="57">
      <x:c r="A57" s="44"/>
      <x:c r="B57" s="44"/>
      <x:c r="C57" s="44"/>
      <x:c r="D57" s="44"/>
      <x:c r="E57" s="44"/>
      <x:c r="F57" s="44"/>
      <x:c r="G57" s="44"/>
      <x:c r="H57" s="44"/>
      <x:c r="I57" s="44"/>
      <x:c r="J57" s="44"/>
      <x:c r="K57" s="44"/>
      <x:c r="L57" s="44"/>
      <x:c r="M57" s="44"/>
    </x:row>
    <x:row r="58">
      <x:c r="A58" s="44"/>
      <x:c r="B58" s="44"/>
      <x:c r="C58" s="44"/>
      <x:c r="D58" s="44"/>
      <x:c r="E58" s="44"/>
      <x:c r="F58" s="44"/>
      <x:c r="G58" s="44"/>
      <x:c r="H58" s="44"/>
      <x:c r="I58" s="44"/>
      <x:c r="J58" s="44"/>
      <x:c r="K58" s="44"/>
      <x:c r="L58" s="44"/>
      <x:c r="M58" s="44"/>
    </x:row>
    <x:row r="59">
      <x:c r="A59" s="44"/>
      <x:c r="B59" s="44"/>
      <x:c r="C59" s="44"/>
      <x:c r="D59" s="44"/>
      <x:c r="E59" s="44"/>
      <x:c r="F59" s="44"/>
      <x:c r="G59" s="44"/>
      <x:c r="H59" s="44"/>
      <x:c r="I59" s="44"/>
      <x:c r="J59" s="44"/>
      <x:c r="K59" s="44"/>
      <x:c r="L59" s="44"/>
      <x:c r="M59" s="44"/>
    </x:row>
    <x:row r="60">
      <x:c r="A60" s="44"/>
      <x:c r="B60" s="44"/>
      <x:c r="C60" s="44"/>
      <x:c r="D60" s="44"/>
      <x:c r="E60" s="44"/>
      <x:c r="F60" s="44"/>
      <x:c r="G60" s="44"/>
      <x:c r="H60" s="44"/>
      <x:c r="I60" s="44"/>
      <x:c r="J60" s="44"/>
      <x:c r="K60" s="44"/>
      <x:c r="L60" s="44"/>
      <x:c r="M60" s="44"/>
    </x:row>
    <x:row r="61">
      <x:c r="A61" s="44"/>
      <x:c r="B61" s="44"/>
      <x:c r="C61" s="44"/>
      <x:c r="D61" s="44"/>
      <x:c r="E61" s="44"/>
      <x:c r="F61" s="44"/>
      <x:c r="G61" s="44"/>
      <x:c r="H61" s="44"/>
      <x:c r="I61" s="44"/>
      <x:c r="J61" s="44"/>
      <x:c r="K61" s="44"/>
      <x:c r="L61" s="44"/>
      <x:c r="M61" s="44"/>
    </x:row>
    <x:row r="62">
      <x:c r="A62" s="44"/>
      <x:c r="B62" s="44"/>
      <x:c r="C62" s="44"/>
      <x:c r="D62" s="44"/>
      <x:c r="E62" s="44"/>
      <x:c r="F62" s="44"/>
      <x:c r="G62" s="44"/>
      <x:c r="H62" s="44"/>
      <x:c r="I62" s="44"/>
      <x:c r="J62" s="44"/>
      <x:c r="K62" s="44"/>
      <x:c r="L62" s="44"/>
      <x:c r="M62" s="44"/>
    </x:row>
    <x:row r="63">
      <x:c r="A63" s="44"/>
      <x:c r="B63" s="44"/>
      <x:c r="C63" s="44"/>
      <x:c r="D63" s="44"/>
      <x:c r="E63" s="44"/>
      <x:c r="F63" s="44"/>
      <x:c r="G63" s="44"/>
      <x:c r="H63" s="44"/>
      <x:c r="I63" s="44"/>
      <x:c r="J63" s="44"/>
      <x:c r="K63" s="44"/>
      <x:c r="L63" s="44"/>
      <x:c r="M63" s="44"/>
    </x:row>
    <x:row r="64">
      <x:c r="A64" s="44"/>
      <x:c r="B64" s="44"/>
      <x:c r="C64" s="44"/>
      <x:c r="D64" s="44"/>
      <x:c r="E64" s="44"/>
      <x:c r="F64" s="44"/>
      <x:c r="G64" s="44"/>
      <x:c r="H64" s="44"/>
      <x:c r="I64" s="44"/>
      <x:c r="J64" s="44"/>
      <x:c r="K64" s="44"/>
      <x:c r="L64" s="44"/>
      <x:c r="M64" s="44"/>
    </x:row>
    <x:row r="65">
      <x:c r="A65" s="44"/>
      <x:c r="B65" s="44"/>
      <x:c r="C65" s="44"/>
      <x:c r="D65" s="44"/>
      <x:c r="E65" s="44"/>
      <x:c r="F65" s="44"/>
      <x:c r="G65" s="44"/>
      <x:c r="H65" s="44"/>
      <x:c r="I65" s="44"/>
      <x:c r="J65" s="44"/>
      <x:c r="K65" s="44"/>
      <x:c r="L65" s="44"/>
      <x:c r="M65" s="44"/>
    </x:row>
    <x:row r="66">
      <x:c r="A66" s="44"/>
      <x:c r="B66" s="44"/>
      <x:c r="C66" s="44"/>
      <x:c r="D66" s="44"/>
      <x:c r="E66" s="44"/>
      <x:c r="F66" s="44"/>
      <x:c r="G66" s="44"/>
      <x:c r="H66" s="44"/>
      <x:c r="I66" s="44"/>
      <x:c r="J66" s="44"/>
      <x:c r="K66" s="44"/>
      <x:c r="L66" s="44"/>
      <x:c r="M66" s="44"/>
    </x:row>
    <x:row r="67">
      <x:c r="A67" s="44"/>
      <x:c r="B67" s="44"/>
      <x:c r="C67" s="44"/>
      <x:c r="D67" s="44"/>
      <x:c r="E67" s="44"/>
      <x:c r="F67" s="44"/>
      <x:c r="G67" s="44"/>
      <x:c r="H67" s="44"/>
      <x:c r="I67" s="44"/>
      <x:c r="J67" s="44"/>
      <x:c r="K67" s="44"/>
      <x:c r="L67" s="44"/>
      <x:c r="M67" s="44"/>
    </x:row>
    <x:row r="68">
      <x:c r="A68" s="44"/>
      <x:c r="B68" s="44"/>
      <x:c r="C68" s="44"/>
      <x:c r="D68" s="44"/>
      <x:c r="E68" s="44"/>
      <x:c r="F68" s="44"/>
      <x:c r="G68" s="44"/>
      <x:c r="H68" s="44"/>
      <x:c r="I68" s="44"/>
      <x:c r="J68" s="44"/>
      <x:c r="K68" s="44"/>
      <x:c r="L68" s="44"/>
      <x:c r="M68" s="44"/>
    </x:row>
    <x:row r="69">
      <x:c r="A69" s="44"/>
      <x:c r="B69" s="44"/>
      <x:c r="C69" s="44"/>
      <x:c r="D69" s="44"/>
      <x:c r="E69" s="44"/>
      <x:c r="F69" s="44"/>
      <x:c r="G69" s="44"/>
      <x:c r="H69" s="44"/>
      <x:c r="I69" s="44"/>
      <x:c r="J69" s="44"/>
      <x:c r="K69" s="44"/>
      <x:c r="L69" s="44"/>
      <x:c r="M69" s="44"/>
    </x:row>
    <x:row r="70">
      <x:c r="A70" s="44"/>
      <x:c r="B70" s="44"/>
      <x:c r="C70" s="44"/>
      <x:c r="D70" s="44"/>
      <x:c r="E70" s="44"/>
      <x:c r="F70" s="44"/>
      <x:c r="G70" s="44"/>
      <x:c r="H70" s="44"/>
      <x:c r="I70" s="44"/>
      <x:c r="J70" s="44"/>
      <x:c r="K70" s="44"/>
      <x:c r="L70" s="44"/>
      <x:c r="M70" s="44"/>
    </x:row>
    <x:row r="71">
      <x:c r="A71" s="44"/>
      <x:c r="B71" s="44"/>
      <x:c r="C71" s="44"/>
      <x:c r="D71" s="44"/>
      <x:c r="E71" s="44"/>
      <x:c r="F71" s="44"/>
      <x:c r="G71" s="44"/>
      <x:c r="H71" s="44"/>
      <x:c r="I71" s="44"/>
      <x:c r="J71" s="44"/>
      <x:c r="K71" s="44"/>
      <x:c r="L71" s="44"/>
      <x:c r="M71" s="44"/>
    </x:row>
    <x:row r="72">
      <x:c r="A72" s="44"/>
      <x:c r="B72" s="44"/>
      <x:c r="C72" s="44"/>
      <x:c r="D72" s="44"/>
      <x:c r="E72" s="44"/>
      <x:c r="F72" s="44"/>
      <x:c r="G72" s="44"/>
      <x:c r="H72" s="44"/>
      <x:c r="I72" s="44"/>
      <x:c r="J72" s="44"/>
      <x:c r="K72" s="44"/>
      <x:c r="L72" s="44"/>
      <x:c r="M72" s="44"/>
    </x:row>
    <x:row r="73">
      <x:c r="A73" s="44"/>
      <x:c r="B73" s="44"/>
      <x:c r="C73" s="44"/>
      <x:c r="D73" s="44"/>
      <x:c r="E73" s="44"/>
      <x:c r="F73" s="44"/>
      <x:c r="G73" s="44"/>
      <x:c r="H73" s="44"/>
      <x:c r="I73" s="44"/>
      <x:c r="J73" s="44"/>
      <x:c r="K73" s="44"/>
      <x:c r="L73" s="44"/>
      <x:c r="M73" s="44"/>
    </x:row>
    <x:row r="74">
      <x:c r="A74" s="44"/>
      <x:c r="B74" s="44"/>
      <x:c r="C74" s="44"/>
      <x:c r="D74" s="44"/>
      <x:c r="E74" s="44"/>
      <x:c r="F74" s="44"/>
      <x:c r="G74" s="44"/>
      <x:c r="H74" s="44"/>
      <x:c r="I74" s="44"/>
      <x:c r="J74" s="44"/>
      <x:c r="K74" s="44"/>
      <x:c r="L74" s="44"/>
      <x:c r="M74" s="44"/>
    </x:row>
    <x:row r="75">
      <x:c r="A75" s="44"/>
      <x:c r="B75" s="44"/>
      <x:c r="C75" s="44"/>
      <x:c r="D75" s="44"/>
      <x:c r="E75" s="44"/>
      <x:c r="F75" s="44"/>
      <x:c r="G75" s="44"/>
      <x:c r="H75" s="44"/>
      <x:c r="I75" s="44"/>
      <x:c r="J75" s="44"/>
      <x:c r="K75" s="44"/>
      <x:c r="L75" s="44"/>
      <x:c r="M75" s="44"/>
    </x:row>
    <x:row r="76">
      <x:c r="A76" s="44"/>
      <x:c r="B76" s="44"/>
      <x:c r="C76" s="44"/>
      <x:c r="D76" s="44"/>
      <x:c r="E76" s="44"/>
      <x:c r="F76" s="44"/>
      <x:c r="G76" s="44"/>
      <x:c r="H76" s="44"/>
      <x:c r="I76" s="44"/>
      <x:c r="J76" s="44"/>
      <x:c r="K76" s="44"/>
      <x:c r="L76" s="44"/>
      <x:c r="M76" s="44"/>
    </x:row>
    <x:row r="77">
      <x:c r="A77" s="44"/>
      <x:c r="B77" s="44"/>
      <x:c r="C77" s="44"/>
      <x:c r="D77" s="44"/>
      <x:c r="E77" s="44"/>
      <x:c r="F77" s="44"/>
      <x:c r="G77" s="44"/>
      <x:c r="H77" s="44"/>
      <x:c r="I77" s="44"/>
      <x:c r="J77" s="44"/>
      <x:c r="K77" s="44"/>
      <x:c r="L77" s="44"/>
      <x:c r="M77" s="44"/>
    </x:row>
    <x:row r="78">
      <x:c r="A78" s="44"/>
      <x:c r="B78" s="44"/>
      <x:c r="C78" s="44"/>
      <x:c r="D78" s="44"/>
      <x:c r="E78" s="44"/>
      <x:c r="F78" s="44"/>
      <x:c r="G78" s="44"/>
      <x:c r="H78" s="44"/>
      <x:c r="I78" s="44"/>
      <x:c r="J78" s="44"/>
      <x:c r="K78" s="44"/>
      <x:c r="L78" s="44"/>
      <x:c r="M78" s="44"/>
    </x:row>
    <x:row r="79">
      <x:c r="A79" s="44"/>
      <x:c r="B79" s="44"/>
      <x:c r="C79" s="44"/>
      <x:c r="D79" s="44"/>
      <x:c r="E79" s="44"/>
      <x:c r="F79" s="44"/>
      <x:c r="G79" s="44"/>
      <x:c r="H79" s="44"/>
      <x:c r="I79" s="44"/>
      <x:c r="J79" s="44"/>
      <x:c r="K79" s="44"/>
      <x:c r="L79" s="44"/>
      <x:c r="M79" s="44"/>
    </x:row>
    <x:row r="80">
      <x:c r="A80" s="44"/>
      <x:c r="B80" s="44"/>
      <x:c r="C80" s="44"/>
      <x:c r="D80" s="44"/>
      <x:c r="E80" s="44"/>
      <x:c r="F80" s="44"/>
      <x:c r="G80" s="44"/>
      <x:c r="H80" s="44"/>
      <x:c r="I80" s="44"/>
      <x:c r="J80" s="44"/>
      <x:c r="K80" s="44"/>
      <x:c r="L80" s="44"/>
      <x:c r="M80" s="44"/>
    </x:row>
    <x:row r="81">
      <x:c r="A81" s="44"/>
      <x:c r="B81" s="44"/>
      <x:c r="C81" s="44"/>
      <x:c r="D81" s="44"/>
      <x:c r="E81" s="44"/>
      <x:c r="F81" s="44"/>
      <x:c r="G81" s="44"/>
      <x:c r="H81" s="44"/>
      <x:c r="I81" s="44"/>
      <x:c r="J81" s="44"/>
      <x:c r="K81" s="44"/>
      <x:c r="L81" s="44"/>
      <x:c r="M81" s="44"/>
    </x:row>
    <x:row r="82">
      <x:c r="A82" s="44"/>
      <x:c r="B82" s="44"/>
      <x:c r="C82" s="44"/>
      <x:c r="D82" s="44"/>
      <x:c r="E82" s="44"/>
      <x:c r="F82" s="44"/>
      <x:c r="G82" s="44"/>
      <x:c r="H82" s="44"/>
      <x:c r="I82" s="44"/>
      <x:c r="J82" s="44"/>
      <x:c r="K82" s="44"/>
      <x:c r="L82" s="44"/>
      <x:c r="M82" s="44"/>
    </x:row>
    <x:row r="83">
      <x:c r="A83" s="44"/>
      <x:c r="B83" s="44"/>
      <x:c r="C83" s="44"/>
      <x:c r="D83" s="44"/>
      <x:c r="E83" s="44"/>
      <x:c r="F83" s="44"/>
      <x:c r="G83" s="44"/>
      <x:c r="H83" s="44"/>
      <x:c r="I83" s="44"/>
      <x:c r="J83" s="44"/>
      <x:c r="K83" s="44"/>
      <x:c r="L83" s="44"/>
      <x:c r="M83" s="44"/>
    </x:row>
    <x:row r="84">
      <x:c r="A84" s="44"/>
      <x:c r="B84" s="44"/>
      <x:c r="C84" s="44"/>
      <x:c r="D84" s="44"/>
      <x:c r="E84" s="44"/>
      <x:c r="F84" s="44"/>
      <x:c r="G84" s="44"/>
      <x:c r="H84" s="44"/>
      <x:c r="I84" s="44"/>
      <x:c r="J84" s="44"/>
      <x:c r="K84" s="44"/>
      <x:c r="L84" s="44"/>
      <x:c r="M84" s="44"/>
    </x:row>
    <x:row r="85">
      <x:c r="A85" s="44"/>
      <x:c r="B85" s="44"/>
      <x:c r="C85" s="44"/>
      <x:c r="D85" s="44"/>
      <x:c r="E85" s="44"/>
      <x:c r="F85" s="44"/>
      <x:c r="G85" s="44"/>
      <x:c r="H85" s="44"/>
      <x:c r="I85" s="44"/>
      <x:c r="J85" s="44"/>
      <x:c r="K85" s="44"/>
      <x:c r="L85" s="44"/>
      <x:c r="M85" s="44"/>
    </x:row>
    <x:row r="86">
      <x:c r="A86" s="44"/>
      <x:c r="B86" s="44"/>
      <x:c r="C86" s="44"/>
      <x:c r="D86" s="44"/>
      <x:c r="E86" s="44"/>
      <x:c r="F86" s="44"/>
      <x:c r="G86" s="44"/>
      <x:c r="H86" s="44"/>
      <x:c r="I86" s="44"/>
      <x:c r="J86" s="44"/>
      <x:c r="K86" s="44"/>
      <x:c r="L86" s="44"/>
      <x:c r="M86" s="44"/>
    </x:row>
    <x:row r="87">
      <x:c r="A87" s="44"/>
      <x:c r="B87" s="44"/>
      <x:c r="C87" s="44"/>
      <x:c r="D87" s="44"/>
      <x:c r="E87" s="44"/>
      <x:c r="F87" s="44"/>
      <x:c r="G87" s="44"/>
      <x:c r="H87" s="44"/>
      <x:c r="I87" s="44"/>
      <x:c r="J87" s="44"/>
      <x:c r="K87" s="44"/>
      <x:c r="L87" s="44"/>
      <x:c r="M87" s="44"/>
    </x:row>
    <x:row r="88">
      <x:c r="A88" s="44"/>
      <x:c r="B88" s="44"/>
      <x:c r="C88" s="44"/>
      <x:c r="D88" s="44"/>
      <x:c r="E88" s="44"/>
      <x:c r="F88" s="44"/>
      <x:c r="G88" s="44"/>
      <x:c r="H88" s="44"/>
      <x:c r="I88" s="44"/>
      <x:c r="J88" s="44"/>
      <x:c r="K88" s="44"/>
      <x:c r="L88" s="44"/>
      <x:c r="M88" s="44"/>
    </x:row>
    <x:row r="89">
      <x:c r="A89" s="44"/>
      <x:c r="B89" s="44"/>
      <x:c r="C89" s="44"/>
      <x:c r="D89" s="44"/>
      <x:c r="E89" s="44"/>
      <x:c r="F89" s="44"/>
      <x:c r="G89" s="44"/>
      <x:c r="H89" s="44"/>
      <x:c r="I89" s="44"/>
      <x:c r="J89" s="44"/>
      <x:c r="K89" s="44"/>
      <x:c r="L89" s="44"/>
      <x:c r="M89" s="44"/>
    </x:row>
    <x:row r="90">
      <x:c r="A90" s="44"/>
      <x:c r="B90" s="44"/>
      <x:c r="C90" s="44"/>
      <x:c r="D90" s="44"/>
      <x:c r="E90" s="44"/>
      <x:c r="F90" s="44"/>
      <x:c r="G90" s="44"/>
      <x:c r="H90" s="44"/>
      <x:c r="I90" s="44"/>
      <x:c r="J90" s="44"/>
      <x:c r="K90" s="44"/>
      <x:c r="L90" s="44"/>
      <x:c r="M90" s="44"/>
    </x:row>
    <x:row r="91">
      <x:c r="A91" s="44"/>
      <x:c r="B91" s="44"/>
      <x:c r="C91" s="44"/>
      <x:c r="D91" s="44"/>
      <x:c r="E91" s="44"/>
      <x:c r="F91" s="44"/>
      <x:c r="G91" s="44"/>
      <x:c r="H91" s="44"/>
      <x:c r="I91" s="44"/>
      <x:c r="J91" s="44"/>
      <x:c r="K91" s="44"/>
      <x:c r="L91" s="44"/>
      <x:c r="M91" s="44"/>
    </x:row>
    <x:row r="92">
      <x:c r="A92" s="44"/>
      <x:c r="B92" s="44"/>
      <x:c r="C92" s="44"/>
      <x:c r="D92" s="44"/>
      <x:c r="E92" s="44"/>
      <x:c r="F92" s="44"/>
      <x:c r="G92" s="44"/>
      <x:c r="H92" s="44"/>
      <x:c r="I92" s="44"/>
      <x:c r="J92" s="44"/>
      <x:c r="K92" s="44"/>
      <x:c r="L92" s="44"/>
      <x:c r="M92" s="44"/>
    </x:row>
    <x:row r="93">
      <x:c r="A93" s="44"/>
      <x:c r="B93" s="44"/>
      <x:c r="C93" s="44"/>
      <x:c r="D93" s="44"/>
      <x:c r="E93" s="44"/>
      <x:c r="F93" s="44"/>
      <x:c r="G93" s="44"/>
      <x:c r="H93" s="44"/>
      <x:c r="I93" s="44"/>
      <x:c r="J93" s="44"/>
      <x:c r="K93" s="44"/>
      <x:c r="L93" s="44"/>
      <x:c r="M93" s="44"/>
    </x:row>
    <x:row r="94">
      <x:c r="A94" s="44"/>
      <x:c r="B94" s="44"/>
      <x:c r="C94" s="44"/>
      <x:c r="D94" s="44"/>
      <x:c r="E94" s="44"/>
      <x:c r="F94" s="44"/>
      <x:c r="G94" s="44"/>
      <x:c r="H94" s="44"/>
      <x:c r="I94" s="44"/>
      <x:c r="J94" s="44"/>
      <x:c r="K94" s="44"/>
      <x:c r="L94" s="44"/>
      <x:c r="M94" s="44"/>
    </x:row>
    <x:row r="95">
      <x:c r="A95" s="44"/>
      <x:c r="B95" s="44"/>
      <x:c r="C95" s="44"/>
      <x:c r="D95" s="44"/>
      <x:c r="E95" s="44"/>
      <x:c r="F95" s="44"/>
      <x:c r="G95" s="44"/>
      <x:c r="H95" s="44"/>
      <x:c r="I95" s="44"/>
      <x:c r="J95" s="44"/>
      <x:c r="K95" s="44"/>
      <x:c r="L95" s="44"/>
      <x:c r="M95" s="44"/>
    </x:row>
    <x:row r="96">
      <x:c r="A96" s="44"/>
      <x:c r="B96" s="44"/>
      <x:c r="C96" s="44"/>
      <x:c r="D96" s="44"/>
      <x:c r="E96" s="44"/>
      <x:c r="F96" s="44"/>
      <x:c r="G96" s="44"/>
      <x:c r="H96" s="44"/>
      <x:c r="I96" s="44"/>
      <x:c r="J96" s="44"/>
      <x:c r="K96" s="44"/>
      <x:c r="L96" s="44"/>
      <x:c r="M96" s="44"/>
    </x:row>
    <x:row r="97">
      <x:c r="A97" s="44"/>
      <x:c r="B97" s="44"/>
      <x:c r="C97" s="44"/>
      <x:c r="D97" s="44"/>
      <x:c r="E97" s="44"/>
      <x:c r="F97" s="44"/>
      <x:c r="G97" s="44"/>
      <x:c r="H97" s="44"/>
      <x:c r="I97" s="44"/>
      <x:c r="J97" s="44"/>
      <x:c r="K97" s="44"/>
      <x:c r="L97" s="44"/>
      <x:c r="M97" s="44"/>
    </x:row>
    <x:row r="98">
      <x:c r="A98" s="44"/>
      <x:c r="B98" s="44"/>
      <x:c r="C98" s="44"/>
      <x:c r="D98" s="44"/>
      <x:c r="E98" s="44"/>
      <x:c r="F98" s="44"/>
      <x:c r="G98" s="44"/>
      <x:c r="H98" s="44"/>
      <x:c r="I98" s="44"/>
      <x:c r="J98" s="44"/>
      <x:c r="K98" s="44"/>
      <x:c r="L98" s="44"/>
      <x:c r="M98" s="44"/>
    </x:row>
    <x:row r="99">
      <x:c r="A99" s="44"/>
      <x:c r="B99" s="44"/>
      <x:c r="C99" s="44"/>
      <x:c r="D99" s="44"/>
      <x:c r="E99" s="44"/>
      <x:c r="F99" s="44"/>
      <x:c r="G99" s="44"/>
      <x:c r="H99" s="44"/>
      <x:c r="I99" s="44"/>
      <x:c r="J99" s="44"/>
      <x:c r="K99" s="44"/>
      <x:c r="L99" s="44"/>
      <x:c r="M99" s="44"/>
    </x:row>
    <x:row r="100">
      <x:c r="A100" s="44"/>
      <x:c r="B100" s="44"/>
      <x:c r="C100" s="44"/>
      <x:c r="D100" s="44"/>
      <x:c r="E100" s="44"/>
      <x:c r="F100" s="44"/>
      <x:c r="G100" s="44"/>
      <x:c r="H100" s="44"/>
      <x:c r="I100" s="44"/>
      <x:c r="J100" s="44"/>
      <x:c r="K100" s="44"/>
      <x:c r="L100" s="44"/>
      <x:c r="M100" s="44"/>
    </x:row>
    <x:row r="101">
      <x:c r="A101" s="44"/>
      <x:c r="B101" s="44"/>
      <x:c r="C101" s="44"/>
      <x:c r="D101" s="44"/>
      <x:c r="E101" s="44"/>
      <x:c r="F101" s="44"/>
      <x:c r="G101" s="44"/>
      <x:c r="H101" s="44"/>
      <x:c r="I101" s="44"/>
      <x:c r="J101" s="44"/>
      <x:c r="K101" s="44"/>
      <x:c r="L101" s="44"/>
      <x:c r="M101" s="44"/>
    </x:row>
    <x:row r="102">
      <x:c r="A102" s="44"/>
      <x:c r="B102" s="44"/>
      <x:c r="C102" s="44"/>
      <x:c r="D102" s="44"/>
      <x:c r="E102" s="44"/>
      <x:c r="F102" s="44"/>
      <x:c r="G102" s="44"/>
      <x:c r="H102" s="44"/>
      <x:c r="I102" s="44"/>
      <x:c r="J102" s="44"/>
      <x:c r="K102" s="44"/>
      <x:c r="L102" s="44"/>
      <x:c r="M102" s="44"/>
    </x:row>
    <x:row r="103">
      <x:c r="A103" s="44"/>
      <x:c r="B103" s="44"/>
      <x:c r="C103" s="44"/>
      <x:c r="D103" s="44"/>
      <x:c r="E103" s="44"/>
      <x:c r="F103" s="44"/>
      <x:c r="G103" s="44"/>
      <x:c r="H103" s="44"/>
      <x:c r="I103" s="44"/>
      <x:c r="J103" s="44"/>
      <x:c r="K103" s="44"/>
      <x:c r="L103" s="44"/>
      <x:c r="M103" s="44"/>
    </x:row>
    <x:row r="104">
      <x:c r="A104" s="44"/>
      <x:c r="B104" s="44"/>
      <x:c r="C104" s="44"/>
      <x:c r="D104" s="44"/>
      <x:c r="E104" s="44"/>
      <x:c r="F104" s="44"/>
      <x:c r="G104" s="44"/>
      <x:c r="H104" s="44"/>
      <x:c r="I104" s="44"/>
      <x:c r="J104" s="44"/>
      <x:c r="K104" s="44"/>
      <x:c r="L104" s="44"/>
      <x:c r="M104" s="44"/>
    </x:row>
    <x:row r="105">
      <x:c r="A105" s="44"/>
      <x:c r="B105" s="44"/>
      <x:c r="C105" s="44"/>
      <x:c r="D105" s="44"/>
      <x:c r="E105" s="44"/>
      <x:c r="F105" s="44"/>
      <x:c r="G105" s="44"/>
      <x:c r="H105" s="44"/>
      <x:c r="I105" s="44"/>
      <x:c r="J105" s="44"/>
      <x:c r="K105" s="44"/>
      <x:c r="L105" s="44"/>
      <x:c r="M105" s="44"/>
    </x:row>
    <x:row r="106">
      <x:c r="A106" s="44"/>
      <x:c r="B106" s="44"/>
      <x:c r="C106" s="44"/>
      <x:c r="D106" s="44"/>
      <x:c r="E106" s="44"/>
      <x:c r="F106" s="44"/>
      <x:c r="G106" s="44"/>
      <x:c r="H106" s="44"/>
      <x:c r="I106" s="44"/>
      <x:c r="J106" s="44"/>
      <x:c r="K106" s="44"/>
      <x:c r="L106" s="44"/>
      <x:c r="M106" s="44"/>
    </x:row>
    <x:row r="107">
      <x:c r="A107" s="44"/>
      <x:c r="B107" s="44"/>
      <x:c r="C107" s="44"/>
      <x:c r="D107" s="44"/>
      <x:c r="E107" s="44"/>
      <x:c r="F107" s="44"/>
      <x:c r="G107" s="44"/>
      <x:c r="H107" s="44"/>
      <x:c r="I107" s="44"/>
      <x:c r="J107" s="44"/>
      <x:c r="K107" s="44"/>
      <x:c r="L107" s="44"/>
      <x:c r="M107" s="44"/>
    </x:row>
    <x:row r="108">
      <x:c r="A108" s="44"/>
      <x:c r="B108" s="44"/>
      <x:c r="C108" s="44"/>
      <x:c r="D108" s="44"/>
      <x:c r="E108" s="44"/>
      <x:c r="F108" s="44"/>
      <x:c r="G108" s="44"/>
      <x:c r="H108" s="44"/>
      <x:c r="I108" s="44"/>
      <x:c r="J108" s="44"/>
      <x:c r="K108" s="44"/>
      <x:c r="L108" s="44"/>
      <x:c r="M108" s="44"/>
    </x:row>
    <x:row r="109">
      <x:c r="A109" s="44"/>
      <x:c r="B109" s="44"/>
      <x:c r="C109" s="44"/>
      <x:c r="D109" s="44"/>
      <x:c r="E109" s="44"/>
      <x:c r="F109" s="44"/>
      <x:c r="G109" s="44"/>
      <x:c r="H109" s="44"/>
      <x:c r="I109" s="44"/>
      <x:c r="J109" s="44"/>
      <x:c r="K109" s="44"/>
      <x:c r="L109" s="44"/>
      <x:c r="M109" s="44"/>
    </x:row>
    <x:row r="110">
      <x:c r="A110" s="44"/>
      <x:c r="B110" s="44"/>
      <x:c r="C110" s="44"/>
      <x:c r="D110" s="44"/>
      <x:c r="E110" s="44"/>
      <x:c r="F110" s="44"/>
      <x:c r="G110" s="44"/>
      <x:c r="H110" s="44"/>
      <x:c r="I110" s="44"/>
      <x:c r="J110" s="44"/>
      <x:c r="K110" s="44"/>
      <x:c r="L110" s="44"/>
      <x:c r="M110" s="44"/>
    </x:row>
    <x:row r="111">
      <x:c r="A111" s="44"/>
      <x:c r="B111" s="44"/>
      <x:c r="C111" s="44"/>
      <x:c r="D111" s="44"/>
      <x:c r="E111" s="44"/>
      <x:c r="F111" s="44"/>
      <x:c r="G111" s="44"/>
      <x:c r="H111" s="44"/>
      <x:c r="I111" s="44"/>
      <x:c r="J111" s="44"/>
      <x:c r="K111" s="44"/>
      <x:c r="L111" s="44"/>
      <x:c r="M111" s="44"/>
    </x:row>
    <x:row r="112">
      <x:c r="A112" s="44"/>
      <x:c r="B112" s="44"/>
      <x:c r="C112" s="44"/>
      <x:c r="D112" s="44"/>
      <x:c r="E112" s="44"/>
      <x:c r="F112" s="44"/>
      <x:c r="G112" s="44"/>
      <x:c r="H112" s="44"/>
      <x:c r="I112" s="44"/>
      <x:c r="J112" s="44"/>
      <x:c r="K112" s="44"/>
      <x:c r="L112" s="44"/>
      <x:c r="M112" s="44"/>
    </x:row>
    <x:row r="113">
      <x:c r="A113" s="44"/>
      <x:c r="B113" s="44"/>
      <x:c r="C113" s="44"/>
      <x:c r="D113" s="44"/>
      <x:c r="E113" s="44"/>
      <x:c r="F113" s="44"/>
      <x:c r="G113" s="44"/>
      <x:c r="H113" s="44"/>
      <x:c r="I113" s="44"/>
      <x:c r="J113" s="44"/>
      <x:c r="K113" s="44"/>
      <x:c r="L113" s="44"/>
      <x:c r="M113" s="44"/>
    </x:row>
    <x:row r="114">
      <x:c r="A114" s="44"/>
      <x:c r="B114" s="44"/>
      <x:c r="C114" s="44"/>
      <x:c r="D114" s="44"/>
      <x:c r="E114" s="44"/>
      <x:c r="F114" s="44"/>
      <x:c r="G114" s="44"/>
      <x:c r="H114" s="44"/>
      <x:c r="I114" s="44"/>
      <x:c r="J114" s="44"/>
      <x:c r="K114" s="44"/>
      <x:c r="L114" s="44"/>
      <x:c r="M114" s="44"/>
    </x:row>
    <x:row r="115">
      <x:c r="A115" s="44"/>
      <x:c r="B115" s="44"/>
      <x:c r="C115" s="44"/>
      <x:c r="D115" s="44"/>
      <x:c r="E115" s="44"/>
      <x:c r="F115" s="44"/>
      <x:c r="G115" s="44"/>
      <x:c r="H115" s="44"/>
      <x:c r="I115" s="44"/>
      <x:c r="J115" s="44"/>
      <x:c r="K115" s="44"/>
      <x:c r="L115" s="44"/>
      <x:c r="M115" s="44"/>
    </x:row>
    <x:row r="116">
      <x:c r="A116" s="44"/>
      <x:c r="B116" s="44"/>
      <x:c r="C116" s="44"/>
      <x:c r="D116" s="44"/>
      <x:c r="E116" s="44"/>
      <x:c r="F116" s="44"/>
      <x:c r="G116" s="44"/>
      <x:c r="H116" s="44"/>
      <x:c r="I116" s="44"/>
      <x:c r="J116" s="44"/>
      <x:c r="K116" s="44"/>
      <x:c r="L116" s="44"/>
      <x:c r="M116" s="44"/>
    </x:row>
    <x:row r="117">
      <x:c r="A117" s="44"/>
      <x:c r="B117" s="44"/>
      <x:c r="C117" s="44"/>
      <x:c r="D117" s="44"/>
      <x:c r="E117" s="44"/>
      <x:c r="F117" s="44"/>
      <x:c r="G117" s="44"/>
      <x:c r="H117" s="44"/>
      <x:c r="I117" s="44"/>
      <x:c r="J117" s="44"/>
      <x:c r="K117" s="44"/>
      <x:c r="L117" s="44"/>
      <x:c r="M117" s="44"/>
    </x:row>
    <x:row r="118">
      <x:c r="A118" s="44"/>
      <x:c r="B118" s="44"/>
      <x:c r="C118" s="44"/>
      <x:c r="D118" s="44"/>
      <x:c r="E118" s="44"/>
      <x:c r="F118" s="44"/>
      <x:c r="G118" s="44"/>
      <x:c r="H118" s="44"/>
      <x:c r="I118" s="44"/>
      <x:c r="J118" s="44"/>
      <x:c r="K118" s="44"/>
      <x:c r="L118" s="44"/>
      <x:c r="M118" s="44"/>
    </x:row>
    <x:row r="119">
      <x:c r="A119" s="44"/>
      <x:c r="B119" s="44"/>
      <x:c r="C119" s="44"/>
      <x:c r="D119" s="44"/>
      <x:c r="E119" s="44"/>
      <x:c r="F119" s="44"/>
      <x:c r="G119" s="44"/>
      <x:c r="H119" s="44"/>
      <x:c r="I119" s="44"/>
      <x:c r="J119" s="44"/>
      <x:c r="K119" s="44"/>
      <x:c r="L119" s="44"/>
      <x:c r="M119" s="44"/>
    </x:row>
    <x:row r="120">
      <x:c r="A120" s="44"/>
      <x:c r="B120" s="44"/>
      <x:c r="C120" s="44"/>
      <x:c r="D120" s="44"/>
      <x:c r="E120" s="44"/>
      <x:c r="F120" s="44"/>
      <x:c r="G120" s="44"/>
      <x:c r="H120" s="44"/>
      <x:c r="I120" s="44"/>
      <x:c r="J120" s="44"/>
      <x:c r="K120" s="44"/>
      <x:c r="L120" s="44"/>
      <x:c r="M120" s="44"/>
    </x:row>
    <x:row r="121">
      <x:c r="A121" s="44"/>
      <x:c r="B121" s="44"/>
      <x:c r="C121" s="44"/>
      <x:c r="D121" s="44"/>
      <x:c r="E121" s="44"/>
      <x:c r="F121" s="44"/>
      <x:c r="G121" s="44"/>
      <x:c r="H121" s="44"/>
      <x:c r="I121" s="44"/>
      <x:c r="J121" s="44"/>
      <x:c r="K121" s="44"/>
      <x:c r="L121" s="44"/>
      <x:c r="M121" s="44"/>
    </x:row>
    <x:row r="122">
      <x:c r="A122" s="44"/>
      <x:c r="B122" s="44"/>
      <x:c r="C122" s="44"/>
      <x:c r="D122" s="44"/>
      <x:c r="E122" s="44"/>
      <x:c r="F122" s="44"/>
      <x:c r="G122" s="44"/>
      <x:c r="H122" s="44"/>
      <x:c r="I122" s="44"/>
      <x:c r="J122" s="44"/>
      <x:c r="K122" s="44"/>
      <x:c r="L122" s="44"/>
      <x:c r="M122" s="44"/>
    </x:row>
    <x:row r="123">
      <x:c r="A123" s="44"/>
      <x:c r="B123" s="44"/>
      <x:c r="C123" s="44"/>
      <x:c r="D123" s="44"/>
      <x:c r="E123" s="44"/>
      <x:c r="F123" s="44"/>
      <x:c r="G123" s="44"/>
      <x:c r="H123" s="44"/>
      <x:c r="I123" s="44"/>
      <x:c r="J123" s="44"/>
      <x:c r="K123" s="44"/>
      <x:c r="L123" s="44"/>
      <x:c r="M123" s="44"/>
    </x:row>
    <x:row r="124">
      <x:c r="A124" s="44"/>
      <x:c r="B124" s="44"/>
      <x:c r="C124" s="44"/>
      <x:c r="D124" s="44"/>
      <x:c r="E124" s="44"/>
      <x:c r="F124" s="44"/>
      <x:c r="G124" s="44"/>
      <x:c r="H124" s="44"/>
      <x:c r="I124" s="44"/>
      <x:c r="J124" s="44"/>
      <x:c r="K124" s="44"/>
      <x:c r="L124" s="44"/>
      <x:c r="M124" s="44"/>
    </x:row>
    <x:row r="125">
      <x:c r="A125" s="44"/>
      <x:c r="B125" s="44"/>
      <x:c r="C125" s="44"/>
      <x:c r="D125" s="44"/>
      <x:c r="E125" s="44"/>
      <x:c r="F125" s="44"/>
      <x:c r="G125" s="44"/>
      <x:c r="H125" s="44"/>
      <x:c r="I125" s="44"/>
      <x:c r="J125" s="44"/>
      <x:c r="K125" s="44"/>
      <x:c r="L125" s="44"/>
      <x:c r="M125" s="44"/>
    </x:row>
    <x:row r="126">
      <x:c r="A126" s="44"/>
      <x:c r="B126" s="44"/>
      <x:c r="C126" s="44"/>
      <x:c r="D126" s="44"/>
      <x:c r="E126" s="44"/>
      <x:c r="F126" s="44"/>
      <x:c r="G126" s="44"/>
      <x:c r="H126" s="44"/>
      <x:c r="I126" s="44"/>
      <x:c r="J126" s="44"/>
      <x:c r="K126" s="44"/>
      <x:c r="L126" s="44"/>
      <x:c r="M126" s="44"/>
    </x:row>
    <x:row r="127">
      <x:c r="A127" s="44"/>
      <x:c r="B127" s="44"/>
      <x:c r="C127" s="44"/>
      <x:c r="D127" s="44"/>
      <x:c r="E127" s="44"/>
      <x:c r="F127" s="44"/>
      <x:c r="G127" s="44"/>
      <x:c r="H127" s="44"/>
      <x:c r="I127" s="44"/>
      <x:c r="J127" s="44"/>
      <x:c r="K127" s="44"/>
      <x:c r="L127" s="44"/>
      <x:c r="M127" s="44"/>
    </x:row>
    <x:row r="128">
      <x:c r="A128" s="44"/>
      <x:c r="B128" s="44"/>
      <x:c r="C128" s="44"/>
      <x:c r="D128" s="44"/>
      <x:c r="E128" s="44"/>
      <x:c r="F128" s="44"/>
      <x:c r="G128" s="44"/>
      <x:c r="H128" s="44"/>
      <x:c r="I128" s="44"/>
      <x:c r="J128" s="44"/>
      <x:c r="K128" s="44"/>
      <x:c r="L128" s="44"/>
      <x:c r="M128" s="44"/>
    </x:row>
    <x:row r="129">
      <x:c r="A129" s="44"/>
      <x:c r="B129" s="44"/>
      <x:c r="C129" s="44"/>
      <x:c r="D129" s="44"/>
      <x:c r="E129" s="44"/>
      <x:c r="F129" s="44"/>
      <x:c r="G129" s="44"/>
      <x:c r="H129" s="44"/>
      <x:c r="I129" s="44"/>
      <x:c r="J129" s="44"/>
      <x:c r="K129" s="44"/>
      <x:c r="L129" s="44"/>
      <x:c r="M129" s="44"/>
    </x:row>
    <x:row r="130">
      <x:c r="A130" s="44"/>
      <x:c r="B130" s="44"/>
      <x:c r="C130" s="44"/>
      <x:c r="D130" s="44"/>
      <x:c r="E130" s="44"/>
      <x:c r="F130" s="44"/>
      <x:c r="G130" s="44"/>
      <x:c r="H130" s="44"/>
      <x:c r="I130" s="44"/>
      <x:c r="J130" s="44"/>
      <x:c r="K130" s="44"/>
      <x:c r="L130" s="44"/>
      <x:c r="M130" s="44"/>
    </x:row>
    <x:row r="131">
      <x:c r="A131" s="44"/>
      <x:c r="B131" s="44"/>
      <x:c r="C131" s="44"/>
      <x:c r="D131" s="44"/>
      <x:c r="E131" s="44"/>
      <x:c r="F131" s="44"/>
      <x:c r="G131" s="44"/>
      <x:c r="H131" s="44"/>
      <x:c r="I131" s="44"/>
      <x:c r="J131" s="44"/>
      <x:c r="K131" s="44"/>
      <x:c r="L131" s="44"/>
      <x:c r="M131" s="44"/>
    </x:row>
    <x:row r="132">
      <x:c r="A132" s="44"/>
      <x:c r="B132" s="44"/>
      <x:c r="C132" s="44"/>
      <x:c r="D132" s="44"/>
      <x:c r="E132" s="44"/>
      <x:c r="F132" s="44"/>
      <x:c r="G132" s="44"/>
      <x:c r="H132" s="44"/>
      <x:c r="I132" s="44"/>
      <x:c r="J132" s="44"/>
      <x:c r="K132" s="44"/>
      <x:c r="L132" s="44"/>
      <x:c r="M132" s="44"/>
    </x:row>
    <x:row r="133">
      <x:c r="A133" s="44"/>
      <x:c r="B133" s="44"/>
      <x:c r="C133" s="44"/>
      <x:c r="D133" s="44"/>
      <x:c r="E133" s="44"/>
      <x:c r="F133" s="44"/>
      <x:c r="G133" s="44"/>
      <x:c r="H133" s="44"/>
      <x:c r="I133" s="44"/>
      <x:c r="J133" s="44"/>
      <x:c r="K133" s="44"/>
      <x:c r="L133" s="44"/>
      <x:c r="M133" s="44"/>
    </x:row>
    <x:row r="134">
      <x:c r="A134" s="44"/>
      <x:c r="B134" s="44"/>
      <x:c r="C134" s="44"/>
      <x:c r="D134" s="44"/>
      <x:c r="E134" s="44"/>
      <x:c r="F134" s="44"/>
      <x:c r="G134" s="44"/>
      <x:c r="H134" s="44"/>
      <x:c r="I134" s="44"/>
      <x:c r="J134" s="44"/>
      <x:c r="K134" s="44"/>
      <x:c r="L134" s="44"/>
      <x:c r="M134" s="44"/>
    </x:row>
    <x:row r="135">
      <x:c r="A135" s="44"/>
      <x:c r="B135" s="44"/>
      <x:c r="C135" s="44"/>
      <x:c r="D135" s="44"/>
      <x:c r="E135" s="44"/>
      <x:c r="F135" s="44"/>
      <x:c r="G135" s="44"/>
      <x:c r="H135" s="44"/>
      <x:c r="I135" s="44"/>
      <x:c r="J135" s="44"/>
      <x:c r="K135" s="44"/>
      <x:c r="L135" s="44"/>
      <x:c r="M135" s="44"/>
    </x:row>
    <x:row r="136">
      <x:c r="A136" s="44"/>
      <x:c r="B136" s="44"/>
      <x:c r="C136" s="44"/>
      <x:c r="D136" s="44"/>
      <x:c r="E136" s="44"/>
      <x:c r="F136" s="44"/>
      <x:c r="G136" s="44"/>
      <x:c r="H136" s="44"/>
      <x:c r="I136" s="44"/>
      <x:c r="J136" s="44"/>
      <x:c r="K136" s="44"/>
      <x:c r="L136" s="44"/>
      <x:c r="M136" s="44"/>
    </x:row>
    <x:row r="137">
      <x:c r="A137" s="44"/>
      <x:c r="B137" s="44"/>
      <x:c r="C137" s="44"/>
      <x:c r="D137" s="44"/>
      <x:c r="E137" s="44"/>
      <x:c r="F137" s="44"/>
      <x:c r="G137" s="44"/>
      <x:c r="H137" s="44"/>
      <x:c r="I137" s="44"/>
      <x:c r="J137" s="44"/>
      <x:c r="K137" s="44"/>
      <x:c r="L137" s="44"/>
      <x:c r="M137" s="44"/>
    </x:row>
    <x:row r="138">
      <x:c r="A138" s="44"/>
      <x:c r="B138" s="44"/>
      <x:c r="C138" s="44"/>
      <x:c r="D138" s="44"/>
      <x:c r="E138" s="44"/>
      <x:c r="F138" s="44"/>
      <x:c r="G138" s="44"/>
      <x:c r="H138" s="44"/>
      <x:c r="I138" s="44"/>
      <x:c r="J138" s="44"/>
      <x:c r="K138" s="44"/>
      <x:c r="L138" s="44"/>
      <x:c r="M138" s="44"/>
    </x:row>
    <x:row r="139">
      <x:c r="A139" s="44"/>
      <x:c r="B139" s="44"/>
      <x:c r="C139" s="44"/>
      <x:c r="D139" s="44"/>
      <x:c r="E139" s="44"/>
      <x:c r="F139" s="44"/>
      <x:c r="G139" s="44"/>
      <x:c r="H139" s="44"/>
      <x:c r="I139" s="44"/>
      <x:c r="J139" s="44"/>
      <x:c r="K139" s="44"/>
      <x:c r="L139" s="44"/>
      <x:c r="M139" s="44"/>
    </x:row>
    <x:row r="140">
      <x:c r="A140" s="44"/>
      <x:c r="B140" s="44"/>
      <x:c r="C140" s="44"/>
      <x:c r="D140" s="44"/>
      <x:c r="E140" s="44"/>
      <x:c r="F140" s="44"/>
      <x:c r="G140" s="44"/>
      <x:c r="H140" s="44"/>
      <x:c r="I140" s="44"/>
      <x:c r="J140" s="44"/>
      <x:c r="K140" s="44"/>
      <x:c r="L140" s="44"/>
      <x:c r="M140" s="44"/>
    </x:row>
    <x:row r="141">
      <x:c r="A141" s="44"/>
      <x:c r="B141" s="44"/>
      <x:c r="C141" s="44"/>
      <x:c r="D141" s="44"/>
      <x:c r="E141" s="44"/>
      <x:c r="F141" s="44"/>
      <x:c r="G141" s="44"/>
      <x:c r="H141" s="44"/>
      <x:c r="I141" s="44"/>
      <x:c r="J141" s="44"/>
      <x:c r="K141" s="44"/>
      <x:c r="L141" s="44"/>
      <x:c r="M141" s="44"/>
    </x:row>
    <x:row r="142">
      <x:c r="A142" s="44"/>
      <x:c r="B142" s="44"/>
      <x:c r="C142" s="44"/>
      <x:c r="D142" s="44"/>
      <x:c r="E142" s="44"/>
      <x:c r="F142" s="44"/>
      <x:c r="G142" s="44"/>
      <x:c r="H142" s="44"/>
      <x:c r="I142" s="44"/>
      <x:c r="J142" s="44"/>
      <x:c r="K142" s="44"/>
      <x:c r="L142" s="44"/>
      <x:c r="M142" s="44"/>
    </x:row>
    <x:row r="143">
      <x:c r="A143" s="44"/>
      <x:c r="B143" s="44"/>
      <x:c r="C143" s="44"/>
      <x:c r="D143" s="44"/>
      <x:c r="E143" s="44"/>
      <x:c r="F143" s="44"/>
      <x:c r="G143" s="44"/>
      <x:c r="H143" s="44"/>
      <x:c r="I143" s="44"/>
      <x:c r="J143" s="44"/>
      <x:c r="K143" s="44"/>
      <x:c r="L143" s="44"/>
      <x:c r="M143" s="44"/>
    </x:row>
    <x:row r="144">
      <x:c r="A144" s="44"/>
      <x:c r="B144" s="44"/>
      <x:c r="C144" s="44"/>
      <x:c r="D144" s="44"/>
      <x:c r="E144" s="44"/>
      <x:c r="F144" s="44"/>
      <x:c r="G144" s="44"/>
      <x:c r="H144" s="44"/>
      <x:c r="I144" s="44"/>
      <x:c r="J144" s="44"/>
      <x:c r="K144" s="44"/>
      <x:c r="L144" s="44"/>
      <x:c r="M144" s="44"/>
    </x:row>
    <x:row r="145">
      <x:c r="A145" s="44"/>
      <x:c r="B145" s="44"/>
      <x:c r="C145" s="44"/>
      <x:c r="D145" s="44"/>
      <x:c r="E145" s="44"/>
      <x:c r="F145" s="44"/>
      <x:c r="G145" s="44"/>
      <x:c r="H145" s="44"/>
      <x:c r="I145" s="44"/>
      <x:c r="J145" s="44"/>
      <x:c r="K145" s="44"/>
      <x:c r="L145" s="44"/>
      <x:c r="M145" s="44"/>
    </x:row>
    <x:row r="146">
      <x:c r="A146" s="44"/>
      <x:c r="B146" s="44"/>
      <x:c r="C146" s="44"/>
      <x:c r="D146" s="44"/>
      <x:c r="E146" s="44"/>
      <x:c r="F146" s="44"/>
      <x:c r="G146" s="44"/>
      <x:c r="H146" s="44"/>
      <x:c r="I146" s="44"/>
      <x:c r="J146" s="44"/>
      <x:c r="K146" s="44"/>
      <x:c r="L146" s="44"/>
      <x:c r="M146" s="44"/>
    </x:row>
    <x:row r="147">
      <x:c r="A147" s="44"/>
      <x:c r="B147" s="44"/>
      <x:c r="C147" s="44"/>
      <x:c r="D147" s="44"/>
      <x:c r="E147" s="44"/>
      <x:c r="F147" s="44"/>
      <x:c r="G147" s="44"/>
      <x:c r="H147" s="44"/>
      <x:c r="I147" s="44"/>
      <x:c r="J147" s="44"/>
      <x:c r="K147" s="44"/>
      <x:c r="L147" s="44"/>
      <x:c r="M147" s="44"/>
    </x:row>
    <x:row r="148">
      <x:c r="A148" s="44"/>
      <x:c r="B148" s="44"/>
      <x:c r="C148" s="44"/>
      <x:c r="D148" s="44"/>
      <x:c r="E148" s="44"/>
      <x:c r="F148" s="44"/>
      <x:c r="G148" s="44"/>
      <x:c r="H148" s="44"/>
      <x:c r="I148" s="44"/>
      <x:c r="J148" s="44"/>
      <x:c r="K148" s="44"/>
      <x:c r="L148" s="44"/>
      <x:c r="M148" s="44"/>
    </x:row>
    <x:row r="149">
      <x:c r="A149" s="44"/>
      <x:c r="B149" s="44"/>
      <x:c r="C149" s="44"/>
      <x:c r="D149" s="44"/>
      <x:c r="E149" s="44"/>
      <x:c r="F149" s="44"/>
      <x:c r="G149" s="44"/>
      <x:c r="H149" s="44"/>
      <x:c r="I149" s="44"/>
      <x:c r="J149" s="44"/>
      <x:c r="K149" s="44"/>
      <x:c r="L149" s="44"/>
      <x:c r="M149" s="44"/>
    </x:row>
    <x:row r="150">
      <x:c r="A150" s="44"/>
      <x:c r="B150" s="44"/>
      <x:c r="C150" s="44"/>
      <x:c r="D150" s="44"/>
      <x:c r="E150" s="44"/>
      <x:c r="F150" s="44"/>
      <x:c r="G150" s="44"/>
      <x:c r="H150" s="44"/>
      <x:c r="I150" s="44"/>
      <x:c r="J150" s="44"/>
      <x:c r="K150" s="44"/>
      <x:c r="L150" s="44"/>
      <x:c r="M150" s="44"/>
    </x:row>
    <x:row r="151">
      <x:c r="A151" s="44"/>
      <x:c r="B151" s="44"/>
      <x:c r="C151" s="44"/>
      <x:c r="D151" s="44"/>
      <x:c r="E151" s="44"/>
      <x:c r="F151" s="44"/>
      <x:c r="G151" s="44"/>
      <x:c r="H151" s="44"/>
      <x:c r="I151" s="44"/>
      <x:c r="J151" s="44"/>
      <x:c r="K151" s="44"/>
      <x:c r="L151" s="44"/>
      <x:c r="M151" s="44"/>
    </x:row>
    <x:row r="152">
      <x:c r="A152" s="44"/>
      <x:c r="B152" s="44"/>
      <x:c r="C152" s="44"/>
      <x:c r="D152" s="44"/>
      <x:c r="E152" s="44"/>
      <x:c r="F152" s="44"/>
      <x:c r="G152" s="44"/>
      <x:c r="H152" s="44"/>
      <x:c r="I152" s="44"/>
      <x:c r="J152" s="44"/>
      <x:c r="K152" s="44"/>
      <x:c r="L152" s="44"/>
      <x:c r="M152" s="44"/>
    </x:row>
    <x:row r="153">
      <x:c r="A153" s="44"/>
      <x:c r="B153" s="44"/>
      <x:c r="C153" s="44"/>
      <x:c r="D153" s="44"/>
      <x:c r="E153" s="44"/>
      <x:c r="F153" s="44"/>
      <x:c r="G153" s="44"/>
      <x:c r="H153" s="44"/>
      <x:c r="I153" s="44"/>
      <x:c r="J153" s="44"/>
      <x:c r="K153" s="44"/>
      <x:c r="L153" s="44"/>
      <x:c r="M153" s="44"/>
    </x:row>
    <x:row r="154">
      <x:c r="A154" s="44"/>
      <x:c r="B154" s="44"/>
      <x:c r="C154" s="44"/>
      <x:c r="D154" s="44"/>
      <x:c r="E154" s="44"/>
      <x:c r="F154" s="44"/>
      <x:c r="G154" s="44"/>
      <x:c r="H154" s="44"/>
      <x:c r="I154" s="44"/>
      <x:c r="J154" s="44"/>
      <x:c r="K154" s="44"/>
      <x:c r="L154" s="44"/>
      <x:c r="M154" s="44"/>
    </x:row>
    <x:row r="155">
      <x:c r="A155" s="44"/>
      <x:c r="B155" s="44"/>
      <x:c r="C155" s="44"/>
      <x:c r="D155" s="44"/>
      <x:c r="E155" s="44"/>
      <x:c r="F155" s="44"/>
      <x:c r="G155" s="44"/>
      <x:c r="H155" s="44"/>
      <x:c r="I155" s="44"/>
      <x:c r="J155" s="44"/>
      <x:c r="K155" s="44"/>
      <x:c r="L155" s="44"/>
      <x:c r="M155" s="44"/>
    </x:row>
    <x:row r="156">
      <x:c r="A156" s="44"/>
      <x:c r="B156" s="44"/>
      <x:c r="C156" s="44"/>
      <x:c r="D156" s="44"/>
      <x:c r="E156" s="44"/>
      <x:c r="F156" s="44"/>
      <x:c r="G156" s="44"/>
      <x:c r="H156" s="44"/>
      <x:c r="I156" s="44"/>
      <x:c r="J156" s="44"/>
      <x:c r="K156" s="44"/>
      <x:c r="L156" s="44"/>
      <x:c r="M156" s="44"/>
    </x:row>
    <x:row r="157">
      <x:c r="A157" s="44"/>
      <x:c r="B157" s="44"/>
      <x:c r="C157" s="44"/>
      <x:c r="D157" s="44"/>
      <x:c r="E157" s="44"/>
      <x:c r="F157" s="44"/>
      <x:c r="G157" s="44"/>
      <x:c r="H157" s="44"/>
      <x:c r="I157" s="44"/>
      <x:c r="J157" s="44"/>
      <x:c r="K157" s="44"/>
      <x:c r="L157" s="44"/>
      <x:c r="M157" s="44"/>
    </x:row>
    <x:row r="158">
      <x:c r="A158" s="44"/>
      <x:c r="B158" s="44"/>
      <x:c r="C158" s="44"/>
      <x:c r="D158" s="44"/>
      <x:c r="E158" s="44"/>
      <x:c r="F158" s="44"/>
      <x:c r="G158" s="44"/>
      <x:c r="H158" s="44"/>
      <x:c r="I158" s="44"/>
      <x:c r="J158" s="44"/>
      <x:c r="K158" s="44"/>
      <x:c r="L158" s="44"/>
      <x:c r="M158" s="44"/>
    </x:row>
    <x:row r="159">
      <x:c r="A159" s="44"/>
      <x:c r="B159" s="44"/>
      <x:c r="C159" s="44"/>
      <x:c r="D159" s="44"/>
      <x:c r="E159" s="44"/>
      <x:c r="F159" s="44"/>
      <x:c r="G159" s="44"/>
      <x:c r="H159" s="44"/>
      <x:c r="I159" s="44"/>
      <x:c r="J159" s="44"/>
      <x:c r="K159" s="44"/>
      <x:c r="L159" s="44"/>
      <x:c r="M159" s="44"/>
    </x:row>
    <x:row r="160">
      <x:c r="A160" s="44"/>
      <x:c r="B160" s="44"/>
      <x:c r="C160" s="44"/>
      <x:c r="D160" s="44"/>
      <x:c r="E160" s="44"/>
      <x:c r="F160" s="44"/>
      <x:c r="G160" s="44"/>
      <x:c r="H160" s="44"/>
      <x:c r="I160" s="44"/>
      <x:c r="J160" s="44"/>
      <x:c r="K160" s="44"/>
      <x:c r="L160" s="44"/>
      <x:c r="M160" s="44"/>
    </x:row>
    <x:row r="161">
      <x:c r="A161" s="44"/>
      <x:c r="B161" s="44"/>
      <x:c r="C161" s="44"/>
      <x:c r="D161" s="44"/>
      <x:c r="E161" s="44"/>
      <x:c r="F161" s="44"/>
      <x:c r="G161" s="44"/>
      <x:c r="H161" s="44"/>
      <x:c r="I161" s="44"/>
      <x:c r="J161" s="44"/>
      <x:c r="K161" s="44"/>
      <x:c r="L161" s="44"/>
      <x:c r="M161" s="44"/>
    </x:row>
    <x:row r="162">
      <x:c r="A162" s="44"/>
      <x:c r="B162" s="44"/>
      <x:c r="C162" s="44"/>
      <x:c r="D162" s="44"/>
      <x:c r="E162" s="44"/>
      <x:c r="F162" s="44"/>
      <x:c r="G162" s="44"/>
      <x:c r="H162" s="44"/>
      <x:c r="I162" s="44"/>
      <x:c r="J162" s="44"/>
      <x:c r="K162" s="44"/>
      <x:c r="L162" s="44"/>
      <x:c r="M162" s="44"/>
    </x:row>
    <x:row r="163">
      <x:c r="A163" s="44"/>
      <x:c r="B163" s="44"/>
      <x:c r="C163" s="44"/>
      <x:c r="D163" s="44"/>
      <x:c r="E163" s="44"/>
      <x:c r="F163" s="44"/>
      <x:c r="G163" s="44"/>
      <x:c r="H163" s="44"/>
      <x:c r="I163" s="44"/>
      <x:c r="J163" s="44"/>
      <x:c r="K163" s="44"/>
      <x:c r="L163" s="44"/>
      <x:c r="M163" s="44"/>
    </x:row>
    <x:row r="164">
      <x:c r="A164" s="44"/>
      <x:c r="B164" s="44"/>
      <x:c r="C164" s="44"/>
      <x:c r="D164" s="44"/>
      <x:c r="E164" s="44"/>
      <x:c r="F164" s="44"/>
      <x:c r="G164" s="44"/>
      <x:c r="H164" s="44"/>
      <x:c r="I164" s="44"/>
      <x:c r="J164" s="44"/>
      <x:c r="K164" s="44"/>
      <x:c r="L164" s="44"/>
      <x:c r="M164" s="44"/>
    </x:row>
    <x:row r="165">
      <x:c r="A165" s="44"/>
      <x:c r="B165" s="44"/>
      <x:c r="C165" s="44"/>
      <x:c r="D165" s="44"/>
      <x:c r="E165" s="44"/>
      <x:c r="F165" s="44"/>
      <x:c r="G165" s="44"/>
      <x:c r="H165" s="44"/>
      <x:c r="I165" s="44"/>
      <x:c r="J165" s="44"/>
      <x:c r="K165" s="44"/>
      <x:c r="L165" s="44"/>
      <x:c r="M165" s="44"/>
    </x:row>
    <x:row r="166">
      <x:c r="A166" s="44"/>
      <x:c r="B166" s="44"/>
      <x:c r="C166" s="44"/>
      <x:c r="D166" s="44"/>
      <x:c r="E166" s="44"/>
      <x:c r="F166" s="44"/>
      <x:c r="G166" s="44"/>
      <x:c r="H166" s="44"/>
      <x:c r="I166" s="44"/>
      <x:c r="J166" s="44"/>
      <x:c r="K166" s="44"/>
      <x:c r="L166" s="44"/>
      <x:c r="M166" s="44"/>
    </x:row>
    <x:row r="167">
      <x:c r="A167" s="44"/>
      <x:c r="B167" s="44"/>
      <x:c r="C167" s="44"/>
      <x:c r="D167" s="44"/>
      <x:c r="E167" s="44"/>
      <x:c r="F167" s="44"/>
      <x:c r="G167" s="44"/>
      <x:c r="H167" s="44"/>
      <x:c r="I167" s="44"/>
      <x:c r="J167" s="44"/>
      <x:c r="K167" s="44"/>
      <x:c r="L167" s="44"/>
      <x:c r="M167" s="44"/>
    </x:row>
    <x:row r="168">
      <x:c r="A168" s="44"/>
      <x:c r="B168" s="44"/>
      <x:c r="C168" s="44"/>
      <x:c r="D168" s="44"/>
      <x:c r="E168" s="44"/>
      <x:c r="F168" s="44"/>
      <x:c r="G168" s="44"/>
      <x:c r="H168" s="44"/>
      <x:c r="I168" s="44"/>
      <x:c r="J168" s="44"/>
      <x:c r="K168" s="44"/>
      <x:c r="L168" s="44"/>
      <x:c r="M168" s="44"/>
    </x:row>
    <x:row r="169">
      <x:c r="A169" s="44"/>
      <x:c r="B169" s="44"/>
      <x:c r="C169" s="44"/>
      <x:c r="D169" s="44"/>
      <x:c r="E169" s="44"/>
      <x:c r="F169" s="44"/>
      <x:c r="G169" s="44"/>
      <x:c r="H169" s="44"/>
      <x:c r="I169" s="44"/>
      <x:c r="J169" s="44"/>
      <x:c r="K169" s="44"/>
      <x:c r="L169" s="44"/>
      <x:c r="M169" s="44"/>
    </x:row>
    <x:row r="170">
      <x:c r="A170" s="44"/>
      <x:c r="B170" s="44"/>
      <x:c r="C170" s="44"/>
      <x:c r="D170" s="44"/>
      <x:c r="E170" s="44"/>
      <x:c r="F170" s="44"/>
      <x:c r="G170" s="44"/>
      <x:c r="H170" s="44"/>
      <x:c r="I170" s="44"/>
      <x:c r="J170" s="44"/>
      <x:c r="K170" s="44"/>
      <x:c r="L170" s="44"/>
      <x:c r="M170" s="44"/>
    </x:row>
    <x:row r="171">
      <x:c r="A171" s="44"/>
      <x:c r="B171" s="44"/>
      <x:c r="C171" s="44"/>
      <x:c r="D171" s="44"/>
      <x:c r="E171" s="44"/>
      <x:c r="F171" s="44"/>
      <x:c r="G171" s="44"/>
      <x:c r="H171" s="44"/>
      <x:c r="I171" s="44"/>
      <x:c r="J171" s="44"/>
      <x:c r="K171" s="44"/>
      <x:c r="L171" s="44"/>
      <x:c r="M171" s="44"/>
    </x:row>
    <x:row r="172">
      <x:c r="A172" s="44"/>
      <x:c r="B172" s="44"/>
      <x:c r="C172" s="44"/>
      <x:c r="D172" s="44"/>
      <x:c r="E172" s="44"/>
      <x:c r="F172" s="44"/>
      <x:c r="G172" s="44"/>
      <x:c r="H172" s="44"/>
      <x:c r="I172" s="44"/>
      <x:c r="J172" s="44"/>
      <x:c r="K172" s="44"/>
      <x:c r="L172" s="44"/>
      <x:c r="M172" s="44"/>
    </x:row>
    <x:row r="173">
      <x:c r="A173" s="44"/>
      <x:c r="B173" s="44"/>
      <x:c r="C173" s="44"/>
      <x:c r="D173" s="44"/>
      <x:c r="E173" s="44"/>
      <x:c r="F173" s="44"/>
      <x:c r="G173" s="44"/>
      <x:c r="H173" s="44"/>
      <x:c r="I173" s="44"/>
      <x:c r="J173" s="44"/>
      <x:c r="K173" s="44"/>
      <x:c r="L173" s="44"/>
      <x:c r="M173" s="44"/>
    </x:row>
    <x:row r="174">
      <x:c r="A174" s="44"/>
      <x:c r="B174" s="44"/>
      <x:c r="C174" s="44"/>
      <x:c r="D174" s="44"/>
      <x:c r="E174" s="44"/>
      <x:c r="F174" s="44"/>
      <x:c r="G174" s="44"/>
      <x:c r="H174" s="44"/>
      <x:c r="I174" s="44"/>
      <x:c r="J174" s="44"/>
      <x:c r="K174" s="44"/>
      <x:c r="L174" s="44"/>
      <x:c r="M174" s="44"/>
    </x:row>
    <x:row r="175">
      <x:c r="A175" s="44"/>
      <x:c r="B175" s="44"/>
      <x:c r="C175" s="44"/>
      <x:c r="D175" s="44"/>
      <x:c r="E175" s="44"/>
      <x:c r="F175" s="44"/>
      <x:c r="G175" s="44"/>
      <x:c r="H175" s="44"/>
      <x:c r="I175" s="44"/>
      <x:c r="J175" s="44"/>
      <x:c r="K175" s="44"/>
      <x:c r="L175" s="44"/>
      <x:c r="M175" s="44"/>
    </x:row>
    <x:row r="176">
      <x:c r="A176" s="44"/>
      <x:c r="B176" s="44"/>
      <x:c r="C176" s="44"/>
      <x:c r="D176" s="44"/>
      <x:c r="E176" s="44"/>
      <x:c r="F176" s="44"/>
      <x:c r="G176" s="44"/>
      <x:c r="H176" s="44"/>
      <x:c r="I176" s="44"/>
      <x:c r="J176" s="44"/>
      <x:c r="K176" s="44"/>
      <x:c r="L176" s="44"/>
      <x:c r="M176" s="44"/>
    </x:row>
    <x:row r="177">
      <x:c r="A177" s="44"/>
      <x:c r="B177" s="44"/>
      <x:c r="C177" s="44"/>
      <x:c r="D177" s="44"/>
      <x:c r="E177" s="44"/>
      <x:c r="F177" s="44"/>
      <x:c r="G177" s="44"/>
      <x:c r="H177" s="44"/>
      <x:c r="I177" s="44"/>
      <x:c r="J177" s="44"/>
      <x:c r="K177" s="44"/>
      <x:c r="L177" s="44"/>
      <x:c r="M177" s="44"/>
    </x:row>
    <x:row r="178">
      <x:c r="A178" s="44"/>
      <x:c r="B178" s="44"/>
      <x:c r="C178" s="44"/>
      <x:c r="D178" s="44"/>
      <x:c r="E178" s="44"/>
      <x:c r="F178" s="44"/>
      <x:c r="G178" s="44"/>
      <x:c r="H178" s="44"/>
      <x:c r="I178" s="44"/>
      <x:c r="J178" s="44"/>
      <x:c r="K178" s="44"/>
      <x:c r="L178" s="44"/>
      <x:c r="M178" s="44"/>
    </x:row>
    <x:row r="179">
      <x:c r="A179" s="44"/>
      <x:c r="B179" s="44"/>
      <x:c r="C179" s="44"/>
      <x:c r="D179" s="44"/>
      <x:c r="E179" s="44"/>
      <x:c r="F179" s="44"/>
      <x:c r="G179" s="44"/>
      <x:c r="H179" s="44"/>
      <x:c r="I179" s="44"/>
      <x:c r="J179" s="44"/>
      <x:c r="K179" s="44"/>
      <x:c r="L179" s="44"/>
      <x:c r="M179" s="44"/>
    </x:row>
    <x:row r="180">
      <x:c r="A180" s="44"/>
      <x:c r="B180" s="44"/>
      <x:c r="C180" s="44"/>
      <x:c r="D180" s="44"/>
      <x:c r="E180" s="44"/>
      <x:c r="F180" s="44"/>
      <x:c r="G180" s="44"/>
      <x:c r="H180" s="44"/>
      <x:c r="I180" s="44"/>
      <x:c r="J180" s="44"/>
      <x:c r="K180" s="44"/>
      <x:c r="L180" s="44"/>
      <x:c r="M180" s="44"/>
    </x:row>
    <x:row r="181">
      <x:c r="A181" s="44"/>
      <x:c r="B181" s="44"/>
      <x:c r="C181" s="44"/>
      <x:c r="D181" s="44"/>
      <x:c r="E181" s="44"/>
      <x:c r="F181" s="44"/>
      <x:c r="G181" s="44"/>
      <x:c r="H181" s="44"/>
      <x:c r="I181" s="44"/>
      <x:c r="J181" s="44"/>
      <x:c r="K181" s="44"/>
      <x:c r="L181" s="44"/>
      <x:c r="M181" s="44"/>
    </x:row>
    <x:row r="182">
      <x:c r="A182" s="44"/>
      <x:c r="B182" s="44"/>
      <x:c r="C182" s="44"/>
      <x:c r="D182" s="44"/>
      <x:c r="E182" s="44"/>
      <x:c r="F182" s="44"/>
      <x:c r="G182" s="44"/>
      <x:c r="H182" s="44"/>
      <x:c r="I182" s="44"/>
      <x:c r="J182" s="44"/>
      <x:c r="K182" s="44"/>
      <x:c r="L182" s="44"/>
      <x:c r="M182" s="44"/>
    </x:row>
    <x:row r="183">
      <x:c r="A183" s="44"/>
      <x:c r="B183" s="44"/>
      <x:c r="C183" s="44"/>
      <x:c r="D183" s="44"/>
      <x:c r="E183" s="44"/>
      <x:c r="F183" s="44"/>
      <x:c r="G183" s="44"/>
      <x:c r="H183" s="44"/>
      <x:c r="I183" s="44"/>
      <x:c r="J183" s="44"/>
      <x:c r="K183" s="44"/>
      <x:c r="L183" s="44"/>
      <x:c r="M183" s="44"/>
    </x:row>
    <x:row r="184">
      <x:c r="A184" s="44"/>
      <x:c r="B184" s="44"/>
      <x:c r="C184" s="44"/>
      <x:c r="D184" s="44"/>
      <x:c r="E184" s="44"/>
      <x:c r="F184" s="44"/>
      <x:c r="G184" s="44"/>
      <x:c r="H184" s="44"/>
      <x:c r="I184" s="44"/>
      <x:c r="J184" s="44"/>
      <x:c r="K184" s="44"/>
      <x:c r="L184" s="44"/>
      <x:c r="M184" s="44"/>
    </x:row>
    <x:row r="185">
      <x:c r="A185" s="44"/>
      <x:c r="B185" s="44"/>
      <x:c r="C185" s="44"/>
      <x:c r="D185" s="44"/>
      <x:c r="E185" s="44"/>
      <x:c r="F185" s="44"/>
      <x:c r="G185" s="44"/>
      <x:c r="H185" s="44"/>
      <x:c r="I185" s="44"/>
      <x:c r="J185" s="44"/>
      <x:c r="K185" s="44"/>
      <x:c r="L185" s="44"/>
      <x:c r="M185" s="44"/>
    </x:row>
    <x:row r="186">
      <x:c r="A186" s="44"/>
      <x:c r="B186" s="44"/>
      <x:c r="C186" s="44"/>
      <x:c r="D186" s="44"/>
      <x:c r="E186" s="44"/>
      <x:c r="F186" s="44"/>
      <x:c r="G186" s="44"/>
      <x:c r="H186" s="44"/>
      <x:c r="I186" s="44"/>
      <x:c r="J186" s="44"/>
      <x:c r="K186" s="44"/>
      <x:c r="L186" s="44"/>
      <x:c r="M186" s="44"/>
    </x:row>
    <x:row r="187">
      <x:c r="A187" s="44"/>
      <x:c r="B187" s="44"/>
      <x:c r="C187" s="44"/>
      <x:c r="D187" s="44"/>
      <x:c r="E187" s="44"/>
      <x:c r="F187" s="44"/>
      <x:c r="G187" s="44"/>
      <x:c r="H187" s="44"/>
      <x:c r="I187" s="44"/>
      <x:c r="J187" s="44"/>
      <x:c r="K187" s="44"/>
      <x:c r="L187" s="44"/>
      <x:c r="M187" s="44"/>
    </x:row>
    <x:row r="188">
      <x:c r="A188" s="44"/>
      <x:c r="B188" s="44"/>
      <x:c r="C188" s="44"/>
      <x:c r="D188" s="44"/>
      <x:c r="E188" s="44"/>
      <x:c r="F188" s="44"/>
      <x:c r="G188" s="44"/>
      <x:c r="H188" s="44"/>
      <x:c r="I188" s="44"/>
      <x:c r="J188" s="44"/>
      <x:c r="K188" s="44"/>
      <x:c r="L188" s="44"/>
      <x:c r="M188" s="44"/>
    </x:row>
    <x:row r="189">
      <x:c r="A189" s="44"/>
      <x:c r="B189" s="44"/>
      <x:c r="C189" s="44"/>
      <x:c r="D189" s="44"/>
      <x:c r="E189" s="44"/>
      <x:c r="F189" s="44"/>
      <x:c r="G189" s="44"/>
      <x:c r="H189" s="44"/>
      <x:c r="I189" s="44"/>
      <x:c r="J189" s="44"/>
      <x:c r="K189" s="44"/>
      <x:c r="L189" s="44"/>
      <x:c r="M189" s="44"/>
    </x:row>
    <x:row r="190">
      <x:c r="A190" s="44"/>
      <x:c r="B190" s="44"/>
      <x:c r="C190" s="44"/>
      <x:c r="D190" s="44"/>
      <x:c r="E190" s="44"/>
      <x:c r="F190" s="44"/>
      <x:c r="G190" s="44"/>
      <x:c r="H190" s="44"/>
      <x:c r="I190" s="44"/>
      <x:c r="J190" s="44"/>
      <x:c r="K190" s="44"/>
      <x:c r="L190" s="44"/>
      <x:c r="M190" s="44"/>
    </x:row>
    <x:row r="191">
      <x:c r="A191" s="44"/>
      <x:c r="B191" s="44"/>
      <x:c r="C191" s="44"/>
      <x:c r="D191" s="44"/>
      <x:c r="E191" s="44"/>
      <x:c r="F191" s="44"/>
      <x:c r="G191" s="44"/>
      <x:c r="H191" s="44"/>
      <x:c r="I191" s="44"/>
      <x:c r="J191" s="44"/>
      <x:c r="K191" s="44"/>
      <x:c r="L191" s="44"/>
      <x:c r="M191" s="44"/>
    </x:row>
    <x:row r="192">
      <x:c r="A192" s="44"/>
      <x:c r="B192" s="44"/>
      <x:c r="C192" s="44"/>
      <x:c r="D192" s="44"/>
      <x:c r="E192" s="44"/>
      <x:c r="F192" s="44"/>
      <x:c r="G192" s="44"/>
      <x:c r="H192" s="44"/>
      <x:c r="I192" s="44"/>
      <x:c r="J192" s="44"/>
      <x:c r="K192" s="44"/>
      <x:c r="L192" s="44"/>
      <x:c r="M192" s="44"/>
    </x:row>
    <x:row r="193">
      <x:c r="A193" s="44"/>
      <x:c r="B193" s="44"/>
      <x:c r="C193" s="44"/>
      <x:c r="D193" s="44"/>
      <x:c r="E193" s="44"/>
      <x:c r="F193" s="44"/>
      <x:c r="G193" s="44"/>
      <x:c r="H193" s="44"/>
      <x:c r="I193" s="44"/>
      <x:c r="J193" s="44"/>
      <x:c r="K193" s="44"/>
      <x:c r="L193" s="44"/>
      <x:c r="M193" s="44"/>
    </x:row>
    <x:row r="194">
      <x:c r="A194" s="44"/>
      <x:c r="B194" s="44"/>
      <x:c r="C194" s="44"/>
      <x:c r="D194" s="44"/>
      <x:c r="E194" s="44"/>
      <x:c r="F194" s="44"/>
      <x:c r="G194" s="44"/>
      <x:c r="H194" s="44"/>
      <x:c r="I194" s="44"/>
      <x:c r="J194" s="44"/>
      <x:c r="K194" s="44"/>
      <x:c r="L194" s="44"/>
      <x:c r="M194" s="44"/>
    </x:row>
    <x:row r="195">
      <x:c r="A195" s="44"/>
      <x:c r="B195" s="44"/>
      <x:c r="C195" s="44"/>
      <x:c r="D195" s="44"/>
      <x:c r="E195" s="44"/>
      <x:c r="F195" s="44"/>
      <x:c r="G195" s="44"/>
      <x:c r="H195" s="44"/>
      <x:c r="I195" s="44"/>
      <x:c r="J195" s="44"/>
      <x:c r="K195" s="44"/>
      <x:c r="L195" s="44"/>
      <x:c r="M195" s="44"/>
    </x:row>
    <x:row r="196">
      <x:c r="A196" s="44"/>
      <x:c r="B196" s="44"/>
      <x:c r="C196" s="44"/>
      <x:c r="D196" s="44"/>
      <x:c r="E196" s="44"/>
      <x:c r="F196" s="44"/>
      <x:c r="G196" s="44"/>
      <x:c r="H196" s="44"/>
      <x:c r="I196" s="44"/>
      <x:c r="J196" s="44"/>
      <x:c r="K196" s="44"/>
      <x:c r="L196" s="44"/>
      <x:c r="M196" s="44"/>
    </x:row>
    <x:row r="197">
      <x:c r="A197" s="44"/>
      <x:c r="B197" s="44"/>
      <x:c r="C197" s="44"/>
      <x:c r="D197" s="44"/>
      <x:c r="E197" s="44"/>
      <x:c r="F197" s="44"/>
      <x:c r="G197" s="44"/>
      <x:c r="H197" s="44"/>
      <x:c r="I197" s="44"/>
      <x:c r="J197" s="44"/>
      <x:c r="K197" s="44"/>
      <x:c r="L197" s="44"/>
      <x:c r="M197" s="44"/>
    </x:row>
    <x:row r="198">
      <x:c r="A198" s="44"/>
      <x:c r="B198" s="44"/>
      <x:c r="C198" s="44"/>
      <x:c r="D198" s="44"/>
      <x:c r="E198" s="44"/>
      <x:c r="F198" s="44"/>
      <x:c r="G198" s="44"/>
      <x:c r="H198" s="44"/>
      <x:c r="I198" s="44"/>
      <x:c r="J198" s="44"/>
      <x:c r="K198" s="44"/>
      <x:c r="L198" s="44"/>
      <x:c r="M198" s="44"/>
    </x:row>
    <x:row r="199">
      <x:c r="A199" s="44"/>
      <x:c r="B199" s="44"/>
      <x:c r="C199" s="44"/>
      <x:c r="D199" s="44"/>
      <x:c r="E199" s="44"/>
      <x:c r="F199" s="44"/>
      <x:c r="G199" s="44"/>
      <x:c r="H199" s="44"/>
      <x:c r="I199" s="44"/>
      <x:c r="J199" s="44"/>
      <x:c r="K199" s="44"/>
      <x:c r="L199" s="44"/>
      <x:c r="M199" s="44"/>
    </x:row>
    <x:row r="200">
      <x:c r="A200" s="44"/>
      <x:c r="B200" s="44"/>
      <x:c r="C200" s="44"/>
      <x:c r="D200" s="44"/>
      <x:c r="E200" s="44"/>
      <x:c r="F200" s="44"/>
      <x:c r="G200" s="44"/>
      <x:c r="H200" s="44"/>
      <x:c r="I200" s="44"/>
      <x:c r="J200" s="44"/>
      <x:c r="K200" s="44"/>
      <x:c r="L200" s="44"/>
      <x:c r="M200" s="44"/>
    </x:row>
    <x:row r="201">
      <x:c r="A201" s="44"/>
      <x:c r="B201" s="44"/>
      <x:c r="C201" s="44"/>
      <x:c r="D201" s="44"/>
      <x:c r="E201" s="44"/>
      <x:c r="F201" s="44"/>
      <x:c r="G201" s="44"/>
      <x:c r="H201" s="44"/>
      <x:c r="I201" s="44"/>
      <x:c r="J201" s="44"/>
      <x:c r="K201" s="44"/>
      <x:c r="L201" s="44"/>
      <x:c r="M201" s="44"/>
    </x:row>
    <x:row r="202">
      <x:c r="A202" s="44"/>
      <x:c r="B202" s="44"/>
      <x:c r="C202" s="44"/>
      <x:c r="D202" s="44"/>
      <x:c r="E202" s="44"/>
      <x:c r="F202" s="44"/>
      <x:c r="G202" s="44"/>
      <x:c r="H202" s="44"/>
      <x:c r="I202" s="44"/>
      <x:c r="J202" s="44"/>
      <x:c r="K202" s="44"/>
      <x:c r="L202" s="44"/>
      <x:c r="M202" s="44"/>
    </x:row>
    <x:row r="203">
      <x:c r="A203" s="44"/>
      <x:c r="B203" s="44"/>
      <x:c r="C203" s="44"/>
      <x:c r="D203" s="44"/>
      <x:c r="E203" s="44"/>
      <x:c r="F203" s="44"/>
      <x:c r="G203" s="44"/>
      <x:c r="H203" s="44"/>
      <x:c r="I203" s="44"/>
      <x:c r="J203" s="44"/>
      <x:c r="K203" s="44"/>
      <x:c r="L203" s="44"/>
      <x:c r="M203" s="44"/>
    </x:row>
    <x:row r="204">
      <x:c r="A204" s="44"/>
      <x:c r="B204" s="44"/>
      <x:c r="C204" s="44"/>
      <x:c r="D204" s="44"/>
      <x:c r="E204" s="44"/>
      <x:c r="F204" s="44"/>
      <x:c r="G204" s="44"/>
      <x:c r="H204" s="44"/>
      <x:c r="I204" s="44"/>
      <x:c r="J204" s="44"/>
      <x:c r="K204" s="44"/>
      <x:c r="L204" s="44"/>
      <x:c r="M204" s="44"/>
    </x:row>
    <x:row r="205">
      <x:c r="A205" s="44"/>
      <x:c r="B205" s="44"/>
      <x:c r="C205" s="44"/>
      <x:c r="D205" s="44"/>
      <x:c r="E205" s="44"/>
      <x:c r="F205" s="44"/>
      <x:c r="G205" s="44"/>
      <x:c r="H205" s="44"/>
      <x:c r="I205" s="44"/>
      <x:c r="J205" s="44"/>
      <x:c r="K205" s="44"/>
      <x:c r="L205" s="44"/>
      <x:c r="M205" s="44"/>
    </x:row>
    <x:row r="206">
      <x:c r="A206" s="44"/>
      <x:c r="B206" s="44"/>
      <x:c r="C206" s="44"/>
      <x:c r="D206" s="44"/>
      <x:c r="E206" s="44"/>
      <x:c r="F206" s="44"/>
      <x:c r="G206" s="44"/>
      <x:c r="H206" s="44"/>
      <x:c r="I206" s="44"/>
      <x:c r="J206" s="44"/>
      <x:c r="K206" s="44"/>
      <x:c r="L206" s="44"/>
      <x:c r="M206" s="44"/>
    </x:row>
    <x:row r="207">
      <x:c r="A207" s="44"/>
      <x:c r="B207" s="44"/>
      <x:c r="C207" s="44"/>
      <x:c r="D207" s="44"/>
      <x:c r="E207" s="44"/>
      <x:c r="F207" s="44"/>
      <x:c r="G207" s="44"/>
      <x:c r="H207" s="44"/>
      <x:c r="I207" s="44"/>
      <x:c r="J207" s="44"/>
      <x:c r="K207" s="44"/>
      <x:c r="L207" s="44"/>
      <x:c r="M207" s="44"/>
    </x:row>
    <x:row r="208">
      <x:c r="A208" s="44"/>
      <x:c r="B208" s="44"/>
      <x:c r="C208" s="44"/>
      <x:c r="D208" s="44"/>
      <x:c r="E208" s="44"/>
      <x:c r="F208" s="44"/>
      <x:c r="G208" s="44"/>
      <x:c r="H208" s="44"/>
      <x:c r="I208" s="44"/>
      <x:c r="J208" s="44"/>
      <x:c r="K208" s="44"/>
      <x:c r="L208" s="44"/>
      <x:c r="M208" s="44"/>
    </x:row>
    <x:row r="209">
      <x:c r="A209" s="44"/>
      <x:c r="B209" s="44"/>
      <x:c r="C209" s="44"/>
      <x:c r="D209" s="44"/>
      <x:c r="E209" s="44"/>
      <x:c r="F209" s="44"/>
      <x:c r="G209" s="44"/>
      <x:c r="H209" s="44"/>
      <x:c r="I209" s="44"/>
      <x:c r="J209" s="44"/>
      <x:c r="K209" s="44"/>
      <x:c r="L209" s="44"/>
      <x:c r="M209" s="44"/>
    </x:row>
    <x:row r="210">
      <x:c r="A210" s="44"/>
      <x:c r="B210" s="44"/>
      <x:c r="C210" s="44"/>
      <x:c r="D210" s="44"/>
      <x:c r="E210" s="44"/>
      <x:c r="F210" s="44"/>
      <x:c r="G210" s="44"/>
      <x:c r="H210" s="44"/>
      <x:c r="I210" s="44"/>
      <x:c r="J210" s="44"/>
      <x:c r="K210" s="44"/>
      <x:c r="L210" s="44"/>
      <x:c r="M210" s="44"/>
    </x:row>
    <x:row r="211">
      <x:c r="A211" s="44"/>
      <x:c r="B211" s="44"/>
      <x:c r="C211" s="44"/>
      <x:c r="D211" s="44"/>
      <x:c r="E211" s="44"/>
      <x:c r="F211" s="44"/>
      <x:c r="G211" s="44"/>
      <x:c r="H211" s="44"/>
      <x:c r="I211" s="44"/>
      <x:c r="J211" s="44"/>
      <x:c r="K211" s="44"/>
      <x:c r="L211" s="44"/>
      <x:c r="M211" s="44"/>
    </x:row>
    <x:row r="212">
      <x:c r="A212" s="44"/>
      <x:c r="B212" s="44"/>
      <x:c r="C212" s="44"/>
      <x:c r="D212" s="44"/>
      <x:c r="E212" s="44"/>
      <x:c r="F212" s="44"/>
      <x:c r="G212" s="44"/>
      <x:c r="H212" s="44"/>
      <x:c r="I212" s="44"/>
      <x:c r="J212" s="44"/>
      <x:c r="K212" s="44"/>
      <x:c r="L212" s="44"/>
      <x:c r="M212" s="44"/>
    </x:row>
    <x:row r="213">
      <x:c r="A213" s="44"/>
      <x:c r="B213" s="44"/>
      <x:c r="C213" s="44"/>
      <x:c r="D213" s="44"/>
      <x:c r="E213" s="44"/>
      <x:c r="F213" s="44"/>
      <x:c r="G213" s="44"/>
      <x:c r="H213" s="44"/>
      <x:c r="I213" s="44"/>
      <x:c r="J213" s="44"/>
      <x:c r="K213" s="44"/>
      <x:c r="L213" s="44"/>
      <x:c r="M213" s="44"/>
    </x:row>
    <x:row r="214">
      <x:c r="A214" s="44"/>
      <x:c r="B214" s="44"/>
      <x:c r="C214" s="44"/>
      <x:c r="D214" s="44"/>
      <x:c r="E214" s="44"/>
      <x:c r="F214" s="44"/>
      <x:c r="G214" s="44"/>
      <x:c r="H214" s="44"/>
      <x:c r="I214" s="44"/>
      <x:c r="J214" s="44"/>
      <x:c r="K214" s="44"/>
      <x:c r="L214" s="44"/>
      <x:c r="M214" s="44"/>
    </x:row>
    <x:row r="215">
      <x:c r="A215" s="44"/>
      <x:c r="B215" s="44"/>
      <x:c r="C215" s="44"/>
      <x:c r="D215" s="44"/>
      <x:c r="E215" s="44"/>
      <x:c r="F215" s="44"/>
      <x:c r="G215" s="44"/>
      <x:c r="H215" s="44"/>
      <x:c r="I215" s="44"/>
      <x:c r="J215" s="44"/>
      <x:c r="K215" s="44"/>
      <x:c r="L215" s="44"/>
      <x:c r="M215" s="44"/>
    </x:row>
    <x:row r="216">
      <x:c r="A216" s="44"/>
      <x:c r="B216" s="44"/>
      <x:c r="C216" s="44"/>
      <x:c r="D216" s="44"/>
      <x:c r="E216" s="44"/>
      <x:c r="F216" s="44"/>
      <x:c r="G216" s="44"/>
      <x:c r="H216" s="44"/>
      <x:c r="I216" s="44"/>
      <x:c r="J216" s="44"/>
      <x:c r="K216" s="44"/>
      <x:c r="L216" s="44"/>
      <x:c r="M216" s="44"/>
    </x:row>
    <x:row r="217">
      <x:c r="A217" s="44"/>
      <x:c r="B217" s="44"/>
      <x:c r="C217" s="44"/>
      <x:c r="D217" s="44"/>
      <x:c r="E217" s="44"/>
      <x:c r="F217" s="44"/>
      <x:c r="G217" s="44"/>
      <x:c r="H217" s="44"/>
      <x:c r="I217" s="44"/>
      <x:c r="J217" s="44"/>
      <x:c r="K217" s="44"/>
      <x:c r="L217" s="44"/>
      <x:c r="M217" s="44"/>
    </x:row>
    <x:row r="218">
      <x:c r="A218" s="44"/>
      <x:c r="B218" s="44"/>
      <x:c r="C218" s="44"/>
      <x:c r="D218" s="44"/>
      <x:c r="E218" s="44"/>
      <x:c r="F218" s="44"/>
      <x:c r="G218" s="44"/>
      <x:c r="H218" s="44"/>
      <x:c r="I218" s="44"/>
      <x:c r="J218" s="44"/>
      <x:c r="K218" s="44"/>
      <x:c r="L218" s="44"/>
      <x:c r="M218" s="44"/>
    </x:row>
    <x:row r="219">
      <x:c r="A219" s="44"/>
      <x:c r="B219" s="44"/>
      <x:c r="C219" s="44"/>
      <x:c r="D219" s="44"/>
      <x:c r="E219" s="44"/>
      <x:c r="F219" s="44"/>
      <x:c r="G219" s="44"/>
      <x:c r="H219" s="44"/>
      <x:c r="I219" s="44"/>
      <x:c r="J219" s="44"/>
      <x:c r="K219" s="44"/>
      <x:c r="L219" s="44"/>
      <x:c r="M219" s="44"/>
    </x:row>
    <x:row r="220">
      <x:c r="A220" s="44"/>
      <x:c r="B220" s="44"/>
      <x:c r="C220" s="44"/>
      <x:c r="D220" s="44"/>
      <x:c r="E220" s="44"/>
      <x:c r="F220" s="44"/>
      <x:c r="G220" s="44"/>
      <x:c r="H220" s="44"/>
      <x:c r="I220" s="44"/>
      <x:c r="J220" s="44"/>
      <x:c r="K220" s="44"/>
      <x:c r="L220" s="44"/>
      <x:c r="M220" s="44"/>
    </x:row>
    <x:row r="221">
      <x:c r="A221" s="44"/>
      <x:c r="B221" s="44"/>
      <x:c r="C221" s="44"/>
      <x:c r="D221" s="44"/>
      <x:c r="E221" s="44"/>
      <x:c r="F221" s="44"/>
      <x:c r="G221" s="44"/>
      <x:c r="H221" s="44"/>
      <x:c r="I221" s="44"/>
      <x:c r="J221" s="44"/>
      <x:c r="K221" s="44"/>
      <x:c r="L221" s="44"/>
      <x:c r="M221" s="44"/>
    </x:row>
    <x:row r="222">
      <x:c r="A222" s="44"/>
      <x:c r="B222" s="44"/>
      <x:c r="C222" s="44"/>
      <x:c r="D222" s="44"/>
      <x:c r="E222" s="44"/>
      <x:c r="F222" s="44"/>
      <x:c r="G222" s="44"/>
      <x:c r="H222" s="44"/>
      <x:c r="I222" s="44"/>
      <x:c r="J222" s="44"/>
      <x:c r="K222" s="44"/>
      <x:c r="L222" s="44"/>
      <x:c r="M222" s="44"/>
    </x:row>
    <x:row r="223">
      <x:c r="A223" s="44"/>
      <x:c r="B223" s="44"/>
      <x:c r="C223" s="44"/>
      <x:c r="D223" s="44"/>
      <x:c r="E223" s="44"/>
      <x:c r="F223" s="44"/>
      <x:c r="G223" s="44"/>
      <x:c r="H223" s="44"/>
      <x:c r="I223" s="44"/>
      <x:c r="J223" s="44"/>
      <x:c r="K223" s="44"/>
      <x:c r="L223" s="44"/>
      <x:c r="M223" s="44"/>
    </x:row>
    <x:row r="224">
      <x:c r="A224" s="44"/>
      <x:c r="B224" s="44"/>
      <x:c r="C224" s="44"/>
      <x:c r="D224" s="44"/>
      <x:c r="E224" s="44"/>
      <x:c r="F224" s="44"/>
      <x:c r="G224" s="44"/>
      <x:c r="H224" s="44"/>
      <x:c r="I224" s="44"/>
      <x:c r="J224" s="44"/>
      <x:c r="K224" s="44"/>
      <x:c r="L224" s="44"/>
      <x:c r="M224" s="44"/>
    </x:row>
    <x:row r="225">
      <x:c r="A225" s="44"/>
      <x:c r="B225" s="44"/>
      <x:c r="C225" s="44"/>
      <x:c r="D225" s="44"/>
      <x:c r="E225" s="44"/>
      <x:c r="F225" s="44"/>
      <x:c r="G225" s="44"/>
      <x:c r="H225" s="44"/>
      <x:c r="I225" s="44"/>
      <x:c r="J225" s="44"/>
      <x:c r="K225" s="44"/>
      <x:c r="L225" s="44"/>
      <x:c r="M225" s="44"/>
    </x:row>
    <x:row r="226">
      <x:c r="A226" s="44"/>
      <x:c r="B226" s="44"/>
      <x:c r="C226" s="44"/>
      <x:c r="D226" s="44"/>
      <x:c r="E226" s="44"/>
      <x:c r="F226" s="44"/>
      <x:c r="G226" s="44"/>
      <x:c r="H226" s="44"/>
      <x:c r="I226" s="44"/>
      <x:c r="J226" s="44"/>
      <x:c r="K226" s="44"/>
      <x:c r="L226" s="44"/>
      <x:c r="M226" s="44"/>
    </x:row>
    <x:row r="227">
      <x:c r="A227" s="44"/>
      <x:c r="B227" s="44"/>
      <x:c r="C227" s="44"/>
      <x:c r="D227" s="44"/>
      <x:c r="E227" s="44"/>
      <x:c r="F227" s="44"/>
      <x:c r="G227" s="44"/>
      <x:c r="H227" s="44"/>
      <x:c r="I227" s="44"/>
      <x:c r="J227" s="44"/>
      <x:c r="K227" s="44"/>
      <x:c r="L227" s="44"/>
      <x:c r="M227" s="44"/>
    </x:row>
    <x:row r="228">
      <x:c r="A228" s="44"/>
      <x:c r="B228" s="44"/>
      <x:c r="C228" s="44"/>
      <x:c r="D228" s="44"/>
      <x:c r="E228" s="44"/>
      <x:c r="F228" s="44"/>
      <x:c r="G228" s="44"/>
      <x:c r="H228" s="44"/>
      <x:c r="I228" s="44"/>
      <x:c r="J228" s="44"/>
      <x:c r="K228" s="44"/>
      <x:c r="L228" s="44"/>
      <x:c r="M228" s="44"/>
    </x:row>
    <x:row r="229">
      <x:c r="A229" s="44"/>
      <x:c r="B229" s="44"/>
      <x:c r="C229" s="44"/>
      <x:c r="D229" s="44"/>
      <x:c r="E229" s="44"/>
      <x:c r="F229" s="44"/>
      <x:c r="G229" s="44"/>
      <x:c r="H229" s="44"/>
      <x:c r="I229" s="44"/>
      <x:c r="J229" s="44"/>
      <x:c r="K229" s="44"/>
      <x:c r="L229" s="44"/>
      <x:c r="M229" s="44"/>
    </x:row>
    <x:row r="230">
      <x:c r="A230" s="44"/>
      <x:c r="B230" s="44"/>
      <x:c r="C230" s="44"/>
      <x:c r="D230" s="44"/>
      <x:c r="E230" s="44"/>
      <x:c r="F230" s="44"/>
      <x:c r="G230" s="44"/>
      <x:c r="H230" s="44"/>
      <x:c r="I230" s="44"/>
      <x:c r="J230" s="44"/>
      <x:c r="K230" s="44"/>
      <x:c r="L230" s="44"/>
      <x:c r="M230" s="44"/>
    </x:row>
    <x:row r="231">
      <x:c r="A231" s="44"/>
      <x:c r="B231" s="44"/>
      <x:c r="C231" s="44"/>
      <x:c r="D231" s="44"/>
      <x:c r="E231" s="44"/>
      <x:c r="F231" s="44"/>
      <x:c r="G231" s="44"/>
      <x:c r="H231" s="44"/>
      <x:c r="I231" s="44"/>
      <x:c r="J231" s="44"/>
      <x:c r="K231" s="44"/>
      <x:c r="L231" s="44"/>
      <x:c r="M231" s="44"/>
    </x:row>
    <x:row r="232">
      <x:c r="A232" s="44"/>
      <x:c r="B232" s="44"/>
      <x:c r="C232" s="44"/>
      <x:c r="D232" s="44"/>
      <x:c r="E232" s="44"/>
      <x:c r="F232" s="44"/>
      <x:c r="G232" s="44"/>
      <x:c r="H232" s="44"/>
      <x:c r="I232" s="44"/>
      <x:c r="J232" s="44"/>
      <x:c r="K232" s="44"/>
      <x:c r="L232" s="44"/>
      <x:c r="M232" s="44"/>
    </x:row>
    <x:row r="233">
      <x:c r="A233" s="44"/>
      <x:c r="B233" s="44"/>
      <x:c r="C233" s="44"/>
      <x:c r="D233" s="44"/>
      <x:c r="E233" s="44"/>
      <x:c r="F233" s="44"/>
      <x:c r="G233" s="44"/>
      <x:c r="H233" s="44"/>
      <x:c r="I233" s="44"/>
      <x:c r="J233" s="44"/>
      <x:c r="K233" s="44"/>
      <x:c r="L233" s="44"/>
      <x:c r="M233" s="44"/>
    </x:row>
    <x:row r="234">
      <x:c r="A234" s="44"/>
      <x:c r="B234" s="44"/>
      <x:c r="C234" s="44"/>
      <x:c r="D234" s="44"/>
      <x:c r="E234" s="44"/>
      <x:c r="F234" s="44"/>
      <x:c r="G234" s="44"/>
      <x:c r="H234" s="44"/>
      <x:c r="I234" s="44"/>
      <x:c r="J234" s="44"/>
      <x:c r="K234" s="44"/>
      <x:c r="L234" s="44"/>
      <x:c r="M234" s="44"/>
    </x:row>
    <x:row r="235">
      <x:c r="A235" s="44"/>
      <x:c r="B235" s="44"/>
      <x:c r="C235" s="44"/>
      <x:c r="D235" s="44"/>
      <x:c r="E235" s="44"/>
      <x:c r="F235" s="44"/>
      <x:c r="G235" s="44"/>
      <x:c r="H235" s="44"/>
      <x:c r="I235" s="44"/>
      <x:c r="J235" s="44"/>
      <x:c r="K235" s="44"/>
      <x:c r="L235" s="44"/>
      <x:c r="M235" s="44"/>
    </x:row>
    <x:row r="236">
      <x:c r="A236" s="44"/>
      <x:c r="B236" s="44"/>
      <x:c r="C236" s="44"/>
      <x:c r="D236" s="44"/>
      <x:c r="E236" s="44"/>
      <x:c r="F236" s="44"/>
      <x:c r="G236" s="44"/>
      <x:c r="H236" s="44"/>
      <x:c r="I236" s="44"/>
      <x:c r="J236" s="44"/>
      <x:c r="K236" s="44"/>
      <x:c r="L236" s="44"/>
      <x:c r="M236" s="44"/>
    </x:row>
    <x:row r="237">
      <x:c r="A237" s="44"/>
      <x:c r="B237" s="44"/>
      <x:c r="C237" s="44"/>
      <x:c r="D237" s="44"/>
      <x:c r="E237" s="44"/>
      <x:c r="F237" s="44"/>
      <x:c r="G237" s="44"/>
      <x:c r="H237" s="44"/>
      <x:c r="I237" s="44"/>
      <x:c r="J237" s="44"/>
      <x:c r="K237" s="44"/>
      <x:c r="L237" s="44"/>
      <x:c r="M237" s="44"/>
    </x:row>
    <x:row r="238">
      <x:c r="A238" s="44"/>
      <x:c r="B238" s="44"/>
      <x:c r="C238" s="44"/>
      <x:c r="D238" s="44"/>
      <x:c r="E238" s="44"/>
      <x:c r="F238" s="44"/>
      <x:c r="G238" s="44"/>
      <x:c r="H238" s="44"/>
      <x:c r="I238" s="44"/>
      <x:c r="J238" s="44"/>
      <x:c r="K238" s="44"/>
      <x:c r="L238" s="44"/>
      <x:c r="M238" s="44"/>
    </x:row>
    <x:row r="239">
      <x:c r="A239" s="44"/>
      <x:c r="B239" s="44"/>
      <x:c r="C239" s="44"/>
      <x:c r="D239" s="44"/>
      <x:c r="E239" s="44"/>
      <x:c r="F239" s="44"/>
      <x:c r="G239" s="44"/>
      <x:c r="H239" s="44"/>
      <x:c r="I239" s="44"/>
      <x:c r="J239" s="44"/>
      <x:c r="K239" s="44"/>
      <x:c r="L239" s="44"/>
      <x:c r="M239" s="44"/>
    </x:row>
    <x:row r="240">
      <x:c r="A240" s="44"/>
      <x:c r="B240" s="44"/>
      <x:c r="C240" s="44"/>
      <x:c r="D240" s="44"/>
      <x:c r="E240" s="44"/>
      <x:c r="F240" s="44"/>
      <x:c r="G240" s="44"/>
      <x:c r="H240" s="44"/>
      <x:c r="I240" s="44"/>
      <x:c r="J240" s="44"/>
      <x:c r="K240" s="44"/>
      <x:c r="L240" s="44"/>
      <x:c r="M240" s="44"/>
    </x:row>
    <x:row r="241">
      <x:c r="A241" s="44"/>
      <x:c r="B241" s="44"/>
      <x:c r="C241" s="44"/>
      <x:c r="D241" s="44"/>
      <x:c r="E241" s="44"/>
      <x:c r="F241" s="44"/>
      <x:c r="G241" s="44"/>
      <x:c r="H241" s="44"/>
      <x:c r="I241" s="44"/>
      <x:c r="J241" s="44"/>
      <x:c r="K241" s="44"/>
      <x:c r="L241" s="44"/>
      <x:c r="M241" s="44"/>
    </x:row>
    <x:row r="242">
      <x:c r="A242" s="44"/>
      <x:c r="B242" s="44"/>
      <x:c r="C242" s="44"/>
      <x:c r="D242" s="44"/>
      <x:c r="E242" s="44"/>
      <x:c r="F242" s="44"/>
      <x:c r="G242" s="44"/>
      <x:c r="H242" s="44"/>
      <x:c r="I242" s="44"/>
      <x:c r="J242" s="44"/>
      <x:c r="K242" s="44"/>
      <x:c r="L242" s="44"/>
      <x:c r="M242" s="44"/>
    </x:row>
    <x:row r="243">
      <x:c r="A243" s="44"/>
      <x:c r="B243" s="44"/>
      <x:c r="C243" s="44"/>
      <x:c r="D243" s="44"/>
      <x:c r="E243" s="44"/>
      <x:c r="F243" s="44"/>
      <x:c r="G243" s="44"/>
      <x:c r="H243" s="44"/>
      <x:c r="I243" s="44"/>
      <x:c r="J243" s="44"/>
      <x:c r="K243" s="44"/>
      <x:c r="L243" s="44"/>
      <x:c r="M243" s="44"/>
    </x:row>
    <x:row r="244">
      <x:c r="A244" s="44"/>
      <x:c r="B244" s="44"/>
      <x:c r="C244" s="44"/>
      <x:c r="D244" s="44"/>
      <x:c r="E244" s="44"/>
      <x:c r="F244" s="44"/>
      <x:c r="G244" s="44"/>
      <x:c r="H244" s="44"/>
      <x:c r="I244" s="44"/>
      <x:c r="J244" s="44"/>
      <x:c r="K244" s="44"/>
      <x:c r="L244" s="44"/>
      <x:c r="M244" s="44"/>
    </x:row>
    <x:row r="245">
      <x:c r="A245" s="44"/>
      <x:c r="B245" s="44"/>
      <x:c r="C245" s="44"/>
      <x:c r="D245" s="44"/>
      <x:c r="E245" s="44"/>
      <x:c r="F245" s="44"/>
      <x:c r="G245" s="44"/>
      <x:c r="H245" s="44"/>
      <x:c r="I245" s="44"/>
      <x:c r="J245" s="44"/>
      <x:c r="K245" s="44"/>
      <x:c r="L245" s="44"/>
      <x:c r="M245" s="44"/>
    </x:row>
    <x:row r="246">
      <x:c r="A246" s="44"/>
      <x:c r="B246" s="44"/>
      <x:c r="C246" s="44"/>
      <x:c r="D246" s="44"/>
      <x:c r="E246" s="44"/>
      <x:c r="F246" s="44"/>
      <x:c r="G246" s="44"/>
      <x:c r="H246" s="44"/>
      <x:c r="I246" s="44"/>
      <x:c r="J246" s="44"/>
      <x:c r="K246" s="44"/>
      <x:c r="L246" s="44"/>
      <x:c r="M246" s="44"/>
    </x:row>
    <x:row r="247">
      <x:c r="A247" s="44"/>
      <x:c r="B247" s="44"/>
      <x:c r="C247" s="44"/>
      <x:c r="D247" s="44"/>
      <x:c r="E247" s="44"/>
      <x:c r="F247" s="44"/>
      <x:c r="G247" s="44"/>
      <x:c r="H247" s="44"/>
      <x:c r="I247" s="44"/>
      <x:c r="J247" s="44"/>
      <x:c r="K247" s="44"/>
      <x:c r="L247" s="44"/>
      <x:c r="M247" s="44"/>
    </x:row>
    <x:row r="248">
      <x:c r="A248" s="44"/>
      <x:c r="B248" s="44"/>
      <x:c r="C248" s="44"/>
      <x:c r="D248" s="44"/>
      <x:c r="E248" s="44"/>
      <x:c r="F248" s="44"/>
      <x:c r="G248" s="44"/>
      <x:c r="H248" s="44"/>
      <x:c r="I248" s="44"/>
      <x:c r="J248" s="44"/>
      <x:c r="K248" s="44"/>
      <x:c r="L248" s="44"/>
      <x:c r="M248" s="44"/>
    </x:row>
    <x:row r="249">
      <x:c r="A249" s="44"/>
      <x:c r="B249" s="44"/>
      <x:c r="C249" s="44"/>
      <x:c r="D249" s="44"/>
      <x:c r="E249" s="44"/>
      <x:c r="F249" s="44"/>
      <x:c r="G249" s="44"/>
      <x:c r="H249" s="44"/>
      <x:c r="I249" s="44"/>
      <x:c r="J249" s="44"/>
      <x:c r="K249" s="44"/>
      <x:c r="L249" s="44"/>
      <x:c r="M249" s="44"/>
    </x:row>
    <x:row r="250">
      <x:c r="A250" s="45"/>
      <x:c r="B250" s="45"/>
      <x:c r="C250" s="45"/>
      <x:c r="D250" s="45"/>
      <x:c r="E250" s="45"/>
      <x:c r="F250" s="45"/>
      <x:c r="G250" s="45"/>
      <x:c r="H250" s="45"/>
      <x:c r="I250" s="45"/>
      <x:c r="J250" s="45"/>
      <x:c r="K250" s="45"/>
      <x:c r="L250" s="45"/>
      <x:c r="M250" s="45"/>
    </x:row>
  </x:sheetData>
  <x:mergeCells>
    <x:mergeCell ref="A1:M1"/>
    <x:mergeCell ref="A2:M2"/>
  </x:mergeCells>
  <x:dataValidations count="4">
    <x:dataValidation type="list" sqref="B5:B250">
      <x:formula1>"Problema,Investigación / Evidencia,Ideación / Alternativas,Entorno / Tendencias,Usuario,Solución,Prototipado,Tecnología,Mercado,Propuesta de valor,Modelo de negocio,Posicionamiento,Servicio / Servucción,Comunicación / Pitch,Viabilidad,Estrategia,Propiedad Intelectual,Regulación / Normativa,Comercialización / Escalabilidad,Otra"</x:formula1>
    </x:dataValidation>
    <x:dataValidation type="list" sqref="I5:I250">
      <x:formula1>"Baja,Media,Alta,Crítica,Por validar"</x:formula1>
    </x:dataValidation>
    <x:dataValidation type="list" sqref="J5:J250">
      <x:formula1>"1,2,3,4,5"</x:formula1>
    </x:dataValidation>
    <x:dataValidation type="list" sqref="K5:K250">
      <x:formula1>"Preliminar,Por validar CEDIA,Validado CEDIA,Descartado"</x:formula1>
    </x:dataValidation>
  </x:dataValidations>
  <x:pageMargins left="0.7" right="0.7" top="0.75" bottom="0.75" header="0.3" footer="0.3"/>
  <x:tableParts count="1">
    <x:tablePart xmlns:r="http://schemas.openxmlformats.org/officeDocument/2006/relationships" r:id="R1a8f1778fbc34c69"/>
  </x:tableParts>
</x:worksheet>
</file>

<file path=xl/worksheets/sheet4.xml><?xml version="1.0" encoding="utf-8"?>
<x:worksheet xmlns:x="http://schemas.openxmlformats.org/spreadsheetml/2006/main">
  <x:sheetFormatPr defaultRowHeight="15"/>
  <x:cols>
    <x:col min="1" max="1" width="12" hidden="0" customWidth="1"/>
    <x:col min="2" max="2" width="22" hidden="0" customWidth="1"/>
    <x:col min="3" max="3" width="14" hidden="0" customWidth="1"/>
    <x:col min="4" max="4" width="34" hidden="0" customWidth="1"/>
    <x:col min="5" max="5" width="10" hidden="0" customWidth="1"/>
    <x:col min="6" max="6" width="42" hidden="0" customWidth="1"/>
    <x:col min="7" max="7" width="12" hidden="0" customWidth="1"/>
    <x:col min="8" max="8" width="30" hidden="0" customWidth="1"/>
    <x:col min="9" max="9" width="28" hidden="0" customWidth="1"/>
    <x:col min="10" max="10" width="34" hidden="0" customWidth="1"/>
    <x:col min="11" max="11" width="28" hidden="0" customWidth="1"/>
    <x:col min="12" max="12" width="28" hidden="0" customWidth="1"/>
    <x:col min="13" max="13" width="46" hidden="0" customWidth="1"/>
    <x:col min="14" max="14" width="62" hidden="0" customWidth="1"/>
  </x:cols>
  <x:sheetData>
    <x:row r="1" ht="28" customHeight="1">
      <x:c r="A1" s="141" t="str">
        <x:v>03 — RESUMEN DE DIMENSIONES TRL / CRL DE LA CALCULADORA CEDIA</x:v>
      </x:c>
      <x:c r="B1" s="141" t="str">
        <x:v>03 — RESUMEN DE DIMENSIONES TRL / CRL DE LA CALCULADORA CEDIA</x:v>
      </x:c>
      <x:c r="C1" s="141" t="str">
        <x:v>03 — RESUMEN DE DIMENSIONES TRL / CRL DE LA CALCULADORA CEDIA</x:v>
      </x:c>
      <x:c r="D1" s="141" t="str">
        <x:v>03 — RESUMEN DE DIMENSIONES TRL / CRL DE LA CALCULADORA CEDIA</x:v>
      </x:c>
      <x:c r="E1" s="141" t="str">
        <x:v>03 — RESUMEN DE DIMENSIONES TRL / CRL DE LA CALCULADORA CEDIA</x:v>
      </x:c>
      <x:c r="F1" s="141" t="str">
        <x:v>03 — RESUMEN DE DIMENSIONES TRL / CRL DE LA CALCULADORA CEDIA</x:v>
      </x:c>
      <x:c r="G1" s="141" t="str">
        <x:v>03 — RESUMEN DE DIMENSIONES TRL / CRL DE LA CALCULADORA CEDIA</x:v>
      </x:c>
      <x:c r="H1" s="141" t="str">
        <x:v>03 — RESUMEN DE DIMENSIONES TRL / CRL DE LA CALCULADORA CEDIA</x:v>
      </x:c>
      <x:c r="I1" s="141" t="str">
        <x:v>03 — RESUMEN DE DIMENSIONES TRL / CRL DE LA CALCULADORA CEDIA</x:v>
      </x:c>
      <x:c r="J1" s="141" t="str">
        <x:v>03 — RESUMEN DE DIMENSIONES TRL / CRL DE LA CALCULADORA CEDIA</x:v>
      </x:c>
    </x:row>
    <x:row r="2" ht="34" customHeight="1">
      <x:c r="A2" s="143" t="str">
        <x:v>Resumen estructurado de la calculadora interna disponible. Los criterios detallados se encuentran en 11_TRL_DETALLE y 12_CRL_DETALLE. La fuente contiene algunas notas de trabajo; confirmar la versión institucional vigente.</x:v>
      </x:c>
      <x:c r="B2" s="143" t="str">
        <x:v>Resumen estructurado de la calculadora interna disponible. Los criterios detallados se encuentran en 11_TRL_DETALLE y 12_CRL_DETALLE. La fuente contiene algunas notas de trabajo; confirmar la versión institucional vigente.</x:v>
      </x:c>
      <x:c r="C2" s="143" t="str">
        <x:v>Resumen estructurado de la calculadora interna disponible. Los criterios detallados se encuentran en 11_TRL_DETALLE y 12_CRL_DETALLE. La fuente contiene algunas notas de trabajo; confirmar la versión institucional vigente.</x:v>
      </x:c>
      <x:c r="D2" s="143" t="str">
        <x:v>Resumen estructurado de la calculadora interna disponible. Los criterios detallados se encuentran en 11_TRL_DETALLE y 12_CRL_DETALLE. La fuente contiene algunas notas de trabajo; confirmar la versión institucional vigente.</x:v>
      </x:c>
      <x:c r="E2" s="143" t="str">
        <x:v>Resumen estructurado de la calculadora interna disponible. Los criterios detallados se encuentran en 11_TRL_DETALLE y 12_CRL_DETALLE. La fuente contiene algunas notas de trabajo; confirmar la versión institucional vigente.</x:v>
      </x:c>
      <x:c r="F2" s="143" t="str">
        <x:v>Resumen estructurado de la calculadora interna disponible. Los criterios detallados se encuentran en 11_TRL_DETALLE y 12_CRL_DETALLE. La fuente contiene algunas notas de trabajo; confirmar la versión institucional vigente.</x:v>
      </x:c>
      <x:c r="G2" s="143" t="str">
        <x:v>Resumen estructurado de la calculadora interna disponible. Los criterios detallados se encuentran en 11_TRL_DETALLE y 12_CRL_DETALLE. La fuente contiene algunas notas de trabajo; confirmar la versión institucional vigente.</x:v>
      </x:c>
      <x:c r="H2" s="143" t="str">
        <x:v>Resumen estructurado de la calculadora interna disponible. Los criterios detallados se encuentran en 11_TRL_DETALLE y 12_CRL_DETALLE. La fuente contiene algunas notas de trabajo; confirmar la versión institucional vigente.</x:v>
      </x:c>
      <x:c r="I2" s="143" t="str">
        <x:v>Resumen estructurado de la calculadora interna disponible. Los criterios detallados se encuentran en 11_TRL_DETALLE y 12_CRL_DETALLE. La fuente contiene algunas notas de trabajo; confirmar la versión institucional vigente.</x:v>
      </x:c>
      <x:c r="J2" s="143" t="str">
        <x:v>Resumen estructurado de la calculadora interna disponible. Los criterios detallados se encuentran en 11_TRL_DETALLE y 12_CRL_DETALLE. La fuente contiene algunas notas de trabajo; confirmar la versión institucional vigente.</x:v>
      </x:c>
    </x:row>
    <x:row r="4" ht="34" customHeight="1">
      <x:c r="A4" s="129" t="str">
        <x:v>INSTRUMENTO</x:v>
      </x:c>
      <x:c r="B4" s="130" t="str">
        <x:v>TIPO_PROYECTO</x:v>
      </x:c>
      <x:c r="C4" s="130" t="str">
        <x:v>ID_DIMENSION</x:v>
      </x:c>
      <x:c r="D4" s="130" t="str">
        <x:v>DIMENSION</x:v>
      </x:c>
      <x:c r="E4" s="130" t="str">
        <x:v>PESO</x:v>
      </x:c>
      <x:c r="F4" s="130" t="str">
        <x:v>PREGUNTA</x:v>
      </x:c>
      <x:c r="G4" s="130" t="str">
        <x:v>NUM_CRITERIOS</x:v>
      </x:c>
      <x:c r="H4" s="130" t="str">
        <x:v>FUENTE</x:v>
      </x:c>
      <x:c r="I4" s="130" t="str">
        <x:v>ESTADO_VALIDACION</x:v>
      </x:c>
      <x:c r="J4" s="131" t="str">
        <x:v>NOTAS</x:v>
      </x:c>
      <x:c r="K4" s="392" t="str">
        <x:v>REFERENTE_MUNDIAL</x:v>
      </x:c>
      <x:c r="L4" s="392" t="str">
        <x:v>ENCAJE_CON_TRL_GLOBAL</x:v>
      </x:c>
      <x:c r="M4" s="392" t="str">
        <x:v>DECISION_AUDITORIA</x:v>
      </x:c>
      <x:c r="N4" s="392" t="str">
        <x:v>URL_REFERENCIA</x:v>
      </x:c>
    </x:row>
    <x:row r="5">
      <x:c r="A5" s="136" t="str">
        <x:v>TRL</x:v>
      </x:c>
      <x:c r="B5" s="136" t="str">
        <x:v>Tecnología / Producto</x:v>
      </x:c>
      <x:c r="C5" s="136" t="str">
        <x:v>TEC-01</x:v>
      </x:c>
      <x:c r="D5" s="136" t="str">
        <x:v>ETAPA DE DESARROLLO</x:v>
      </x:c>
      <x:c r="E5" s="152" t="n">
        <x:v>0.25</x:v>
      </x:c>
      <x:c r="F5" s="136" t="str">
        <x:v>¿En qué nivel de desarrollo se encuentra actualmente su proyecto o producto?</x:v>
      </x:c>
      <x:c r="G5" s="136" t="n">
        <x:v>9</x:v>
      </x:c>
      <x:c r="H5" s="136" t="str">
        <x:v>CALCULADORA TRL Y CRLS.xlsx</x:v>
      </x:c>
      <x:c r="I5" s="136" t="str">
        <x:v>Fuente interna; confirmar versión vigente</x:v>
      </x:c>
      <x:c r="J5" s="136" t="str">
        <x:v>Criterios normalizados sin alterar el contenido fuente.</x:v>
      </x:c>
      <x:c r="K5" s="334" t="str">
        <x:v>NASA + Comisión Europea + DOE</x:v>
      </x:c>
      <x:c r="L5" s="334" t="str">
        <x:v>Núcleo TRL</x:v>
      </x:c>
      <x:c r="M5" s="334" t="str">
        <x:v>MANTENER CON AJUSTES DE NIVELES</x:v>
      </x:c>
      <x:c r="N5" s="334" t="str">
        <x:v>https://nodis3.gsfc.nasa.gov/displayDir.cfm?Internal_ID=N_PR_7123_001D_&amp;page_name=AppendixE</x:v>
      </x:c>
    </x:row>
    <x:row r="6">
      <x:c r="A6" s="136" t="str">
        <x:v>TRL</x:v>
      </x:c>
      <x:c r="B6" s="136" t="str">
        <x:v>Tecnología / Producto</x:v>
      </x:c>
      <x:c r="C6" s="136" t="str">
        <x:v>TEC-02</x:v>
      </x:c>
      <x:c r="D6" s="136" t="str">
        <x:v>CLARIDAD DEL CONCEPTO</x:v>
      </x:c>
      <x:c r="E6" s="152" t="n">
        <x:v>0.05</x:v>
      </x:c>
      <x:c r="F6" s="136" t="str">
        <x:v>¿Cuál es el grado de definición del concepto de su tecnología?</x:v>
      </x:c>
      <x:c r="G6" s="136" t="n">
        <x:v>4</x:v>
      </x:c>
      <x:c r="H6" s="136" t="str">
        <x:v>CALCULADORA TRL Y CRLS.xlsx</x:v>
      </x:c>
      <x:c r="I6" s="136" t="str">
        <x:v>Fuente interna; confirmar versión vigente</x:v>
      </x:c>
      <x:c r="J6" s="136" t="str">
        <x:v>Criterios normalizados sin alterar el contenido fuente.</x:v>
      </x:c>
      <x:c r="K6" s="334" t="str">
        <x:v>NASA / DOE</x:v>
      </x:c>
      <x:c r="L6" s="334" t="str">
        <x:v>Soporte temprano de TRL</x:v>
      </x:c>
      <x:c r="M6" s="334" t="str">
        <x:v>MANTENER COMO CONTEXTO; NO DEBE DOMINAR EL PUNTAJE</x:v>
      </x:c>
      <x:c r="N6" s="334" t="str">
        <x:v>https://www.energy.gov/cmei/technology-readiness-levels-trls</x:v>
      </x:c>
    </x:row>
    <x:row r="7">
      <x:c r="A7" s="136" t="str">
        <x:v>TRL</x:v>
      </x:c>
      <x:c r="B7" s="136" t="str">
        <x:v>Tecnología / Producto</x:v>
      </x:c>
      <x:c r="C7" s="136" t="str">
        <x:v>TEC-03</x:v>
      </x:c>
      <x:c r="D7" s="136" t="str">
        <x:v>Pruebas o prototipos</x:v>
      </x:c>
      <x:c r="E7" s="152" t="n">
        <x:v>0.1</x:v>
      </x:c>
      <x:c r="F7" s="136" t="str">
        <x:v>¿Cuál de las siguientes opciones describe mejor el estado actual de su prototipo?</x:v>
      </x:c>
      <x:c r="G7" s="136" t="n">
        <x:v>6</x:v>
      </x:c>
      <x:c r="H7" s="136" t="str">
        <x:v>CALCULADORA TRL Y CRLS.xlsx</x:v>
      </x:c>
      <x:c r="I7" s="136" t="str">
        <x:v>Fuente interna; confirmar versión vigente</x:v>
      </x:c>
      <x:c r="J7" s="136" t="str">
        <x:v>Criterios normalizados sin alterar el contenido fuente.</x:v>
      </x:c>
      <x:c r="K7" s="334" t="str">
        <x:v>NASA + Comisión Europea + DOE</x:v>
      </x:c>
      <x:c r="L7" s="334" t="str">
        <x:v>Núcleo TRL</x:v>
      </x:c>
      <x:c r="M7" s="334" t="str">
        <x:v>MANTENER; ALINEAR PoC/lab/relevante por nivel</x:v>
      </x:c>
      <x:c r="N7" s="334" t="str">
        <x:v>https://nodis3.gsfc.nasa.gov/displayDir.cfm?Internal_ID=N_PR_7123_001D_&amp;page_name=AppendixE</x:v>
      </x:c>
    </x:row>
    <x:row r="8">
      <x:c r="A8" s="136" t="str">
        <x:v>TRL</x:v>
      </x:c>
      <x:c r="B8" s="136" t="str">
        <x:v>Tecnología / Producto</x:v>
      </x:c>
      <x:c r="C8" s="136" t="str">
        <x:v>TEC-04</x:v>
      </x:c>
      <x:c r="D8" s="136" t="str">
        <x:v>Documentación y soporte</x:v>
      </x:c>
      <x:c r="E8" s="152" t="n">
        <x:v>0.05</x:v>
      </x:c>
      <x:c r="F8" s="136" t="str">
        <x:v>¿Qué evidencias o resultados tangibles se han obtenido hasta ahora en el desarrollo de su tecnología?</x:v>
      </x:c>
      <x:c r="G8" s="136" t="n">
        <x:v>9</x:v>
      </x:c>
      <x:c r="H8" s="136" t="str">
        <x:v>CALCULADORA TRL Y CRLS.xlsx</x:v>
      </x:c>
      <x:c r="I8" s="136" t="str">
        <x:v>Fuente interna; confirmar versión vigente</x:v>
      </x:c>
      <x:c r="J8" s="136" t="str">
        <x:v>Criterios normalizados sin alterar el contenido fuente.</x:v>
      </x:c>
      <x:c r="K8" s="334" t="str">
        <x:v>NASA</x:v>
      </x:c>
      <x:c r="L8" s="334" t="str">
        <x:v>Evidencia/criterio de salida</x:v>
      </x:c>
      <x:c r="M8" s="334" t="str">
        <x:v>MANTENER COMO EVIDENCIA TRANSVERSAL</x:v>
      </x:c>
      <x:c r="N8" s="334" t="str">
        <x:v>https://nodis3.gsfc.nasa.gov/displayDir.cfm?Internal_ID=N_PR_7123_001D_&amp;page_name=AppendixE</x:v>
      </x:c>
    </x:row>
    <x:row r="9">
      <x:c r="A9" s="136" t="str">
        <x:v>TRL</x:v>
      </x:c>
      <x:c r="B9" s="136" t="str">
        <x:v>Tecnología / Producto</x:v>
      </x:c>
      <x:c r="C9" s="136" t="str">
        <x:v>TEC-05</x:v>
      </x:c>
      <x:c r="D9" s="136" t="str">
        <x:v>FINANCIAMIENTO</x:v>
      </x:c>
      <x:c r="E9" s="152" t="n">
        <x:v>0.05</x:v>
      </x:c>
      <x:c r="F9" s="136" t="str">
        <x:v>¿Cuál es el estado actual del financiamiento de su proyecto o tecnología?</x:v>
      </x:c>
      <x:c r="G9" s="136" t="n">
        <x:v>6</x:v>
      </x:c>
      <x:c r="H9" s="136" t="str">
        <x:v>CALCULADORA TRL Y CRLS.xlsx</x:v>
      </x:c>
      <x:c r="I9" s="136" t="str">
        <x:v>Fuente interna; confirmar versión vigente</x:v>
      </x:c>
      <x:c r="J9" s="136" t="str">
        <x:v>Criterios normalizados sin alterar el contenido fuente.</x:v>
      </x:c>
      <x:c r="K9" s="334" t="str">
        <x:v>Comparación NASA/EC/DOE</x:v>
      </x:c>
      <x:c r="L9" s="334" t="str">
        <x:v>Fuera del TRL técnico</x:v>
      </x:c>
      <x:c r="M9" s="334" t="str">
        <x:v>SEPARAR DEL PUNTAJE TRL; MOVER A DISPONIBILIDAD DE RECURSOS/CRL</x:v>
      </x:c>
      <x:c r="N9" s="334" t="str">
        <x:v>https://www.energy.gov/cmei/technology-readiness-levels-trls</x:v>
      </x:c>
    </x:row>
    <x:row r="10">
      <x:c r="A10" s="136" t="str">
        <x:v>TRL</x:v>
      </x:c>
      <x:c r="B10" s="136" t="str">
        <x:v>Tecnología / Producto</x:v>
      </x:c>
      <x:c r="C10" s="136" t="str">
        <x:v>TEC-06</x:v>
      </x:c>
      <x:c r="D10" s="136" t="str">
        <x:v>PRUEBAS DE DESEMPEÑO DURABILIDAD Y VALIDACIÓN</x:v>
      </x:c>
      <x:c r="E10" s="152" t="n">
        <x:v>0.1</x:v>
      </x:c>
      <x:c r="F10" s="136" t="str">
        <x:v>¿Qué nivel de pruebas de durabilidad, desempeño y validación se han realizado?</x:v>
      </x:c>
      <x:c r="G10" s="136" t="n">
        <x:v>5</x:v>
      </x:c>
      <x:c r="H10" s="136" t="str">
        <x:v>CALCULADORA TRL Y CRLS.xlsx</x:v>
      </x:c>
      <x:c r="I10" s="136" t="str">
        <x:v>Fuente interna; confirmar versión vigente</x:v>
      </x:c>
      <x:c r="J10" s="136" t="str">
        <x:v>Criterios normalizados sin alterar el contenido fuente.</x:v>
      </x:c>
      <x:c r="K10" s="334" t="str">
        <x:v>NASA + DOE</x:v>
      </x:c>
      <x:c r="L10" s="334" t="str">
        <x:v>Núcleo TRL tardío</x:v>
      </x:c>
      <x:c r="M10" s="334" t="str">
        <x:v>MANTENER</x:v>
      </x:c>
      <x:c r="N10" s="334" t="str">
        <x:v>https://www.energy.gov/cmei/technology-readiness-levels-trls</x:v>
      </x:c>
    </x:row>
    <x:row r="11">
      <x:c r="A11" s="136" t="str">
        <x:v>TRL</x:v>
      </x:c>
      <x:c r="B11" s="136" t="str">
        <x:v>Tecnología / Producto</x:v>
      </x:c>
      <x:c r="C11" s="136" t="str">
        <x:v>TEC-07</x:v>
      </x:c>
      <x:c r="D11" s="136" t="str">
        <x:v>Escalabilidad y Producción</x:v>
      </x:c>
      <x:c r="E11" s="152" t="n">
        <x:v>0.1</x:v>
      </x:c>
      <x:c r="F11" s="136" t="str">
        <x:v>¿En qué estado se encuentra la estrategia de producción y escalabilidad de su proyecto o tecnología?</x:v>
      </x:c>
      <x:c r="G11" s="136" t="n">
        <x:v>6</x:v>
      </x:c>
      <x:c r="H11" s="136" t="str">
        <x:v>CALCULADORA TRL Y CRLS.xlsx</x:v>
      </x:c>
      <x:c r="I11" s="136" t="str">
        <x:v>Fuente interna; confirmar versión vigente</x:v>
      </x:c>
      <x:c r="J11" s="136" t="str">
        <x:v>Criterios normalizados sin alterar el contenido fuente.</x:v>
      </x:c>
      <x:c r="K11" s="334" t="str">
        <x:v>DOE + Comisión Europea</x:v>
      </x:c>
      <x:c r="L11" s="334" t="str">
        <x:v>Soporte de escalamiento/manufactura</x:v>
      </x:c>
      <x:c r="M11" s="334" t="str">
        <x:v>MANTENER COMO DIAGNÓSTICO DE APOYO; EVITAR QUE SUSTITUYA MADUREZ TÉCNICA</x:v>
      </x:c>
      <x:c r="N11" s="334" t="str">
        <x:v>https://www.energy.gov/cmei/technology-readiness-levels-trls</x:v>
      </x:c>
    </x:row>
    <x:row r="12">
      <x:c r="A12" s="136" t="str">
        <x:v>TRL</x:v>
      </x:c>
      <x:c r="B12" s="136" t="str">
        <x:v>Tecnología / Producto</x:v>
      </x:c>
      <x:c r="C12" s="136" t="str">
        <x:v>TEC-08</x:v>
      </x:c>
      <x:c r="D12" s="136" t="str">
        <x:v>Validación con usuarios</x:v>
      </x:c>
      <x:c r="E12" s="152" t="n">
        <x:v>0.1</x:v>
      </x:c>
      <x:c r="F12" s="136" t="str">
        <x:v>¿Qué nivel de interacción o retroalimentación de los usuarios ha recibido su proyecto?</x:v>
      </x:c>
      <x:c r="G12" s="136" t="n">
        <x:v>6</x:v>
      </x:c>
      <x:c r="H12" s="136" t="str">
        <x:v>CALCULADORA TRL Y CRLS.xlsx</x:v>
      </x:c>
      <x:c r="I12" s="136" t="str">
        <x:v>Fuente interna; confirmar versión vigente</x:v>
      </x:c>
      <x:c r="J12" s="136" t="str">
        <x:v>Criterios normalizados sin alterar el contenido fuente.</x:v>
      </x:c>
      <x:c r="K12" s="334" t="str">
        <x:v>NASA/DOE</x:v>
      </x:c>
      <x:c r="L12" s="334" t="str">
        <x:v>Mixto técnico + usuario</x:v>
      </x:c>
      <x:c r="M12" s="334" t="str">
        <x:v>SEPARAR DEMOSTRACIÓN OPERACIONAL DE ACEPTACIÓN DE USUARIO; ESTA ÚLTIMA VA A CRL</x:v>
      </x:c>
      <x:c r="N12" s="334" t="str">
        <x:v>https://nodis3.gsfc.nasa.gov/displayDir.cfm?Internal_ID=N_PR_7123_001D_&amp;page_name=AppendixE</x:v>
      </x:c>
    </x:row>
    <x:row r="13">
      <x:c r="A13" s="136" t="str">
        <x:v>TRL</x:v>
      </x:c>
      <x:c r="B13" s="136" t="str">
        <x:v>Tecnología / Producto</x:v>
      </x:c>
      <x:c r="C13" s="136" t="str">
        <x:v>TEC-09</x:v>
      </x:c>
      <x:c r="D13" s="136" t="str">
        <x:v>PROPIEDAD INTELECTUTAL</x:v>
      </x:c>
      <x:c r="E13" s="152" t="n">
        <x:v>0.05</x:v>
      </x:c>
      <x:c r="F13" s="136" t="str">
        <x:v>¿En qué estado de protección se encuentra la Propiedad Intelectual (PI) de su proyecto o tecnología?</x:v>
      </x:c>
      <x:c r="G13" s="136" t="n">
        <x:v>5</x:v>
      </x:c>
      <x:c r="H13" s="136" t="str">
        <x:v>CALCULADORA TRL Y CRLS.xlsx</x:v>
      </x:c>
      <x:c r="I13" s="136" t="str">
        <x:v>Fuente interna; confirmar versión vigente</x:v>
      </x:c>
      <x:c r="J13" s="136" t="str">
        <x:v>Criterios normalizados sin alterar el contenido fuente.</x:v>
      </x:c>
      <x:c r="K13" s="334" t="str">
        <x:v>Comparación NASA/EC/DOE</x:v>
      </x:c>
      <x:c r="L13" s="334" t="str">
        <x:v>Fuera del TRL técnico</x:v>
      </x:c>
      <x:c r="M13" s="334" t="str">
        <x:v>SEPARAR DEL PUNTAJE TRL; TRATAR COMO PI/IP READINESS</x:v>
      </x:c>
      <x:c r="N13" s="334" t="str">
        <x:v>https://www.iso.org/standard/56064.html</x:v>
      </x:c>
    </x:row>
    <x:row r="14">
      <x:c r="A14" s="136" t="str">
        <x:v>TRL</x:v>
      </x:c>
      <x:c r="B14" s="136" t="str">
        <x:v>Tecnología / Producto</x:v>
      </x:c>
      <x:c r="C14" s="136" t="str">
        <x:v>TEC-10</x:v>
      </x:c>
      <x:c r="D14" s="136" t="str">
        <x:v>Certificación y Cumplimiento</x:v>
      </x:c>
      <x:c r="E14" s="152" t="n">
        <x:v>0.05</x:v>
      </x:c>
      <x:c r="F14" s="136" t="str">
        <x:v>¿Cuál es el avance en la certificación y cumplimiento regulatorio de su tecnología?</x:v>
      </x:c>
      <x:c r="G14" s="136" t="n">
        <x:v>6</x:v>
      </x:c>
      <x:c r="H14" s="136" t="str">
        <x:v>CALCULADORA TRL Y CRLS.xlsx</x:v>
      </x:c>
      <x:c r="I14" s="136" t="str">
        <x:v>Fuente interna; confirmar versión vigente</x:v>
      </x:c>
      <x:c r="J14" s="136" t="str">
        <x:v>Criterios normalizados sin alterar el contenido fuente.</x:v>
      </x:c>
      <x:c r="K14" s="334" t="str">
        <x:v>NASA/DOE</x:v>
      </x:c>
      <x:c r="L14" s="334" t="str">
        <x:v>Soporte de qualification/cumplimiento</x:v>
      </x:c>
      <x:c r="M14" s="334" t="str">
        <x:v>MANTENER COMO EVIDENCIA SECTORIAL/DE CALIFICACIÓN; NO COMO TRL GENÉRICO PURO</x:v>
      </x:c>
      <x:c r="N14" s="334" t="str">
        <x:v>https://nodis3.gsfc.nasa.gov/displayDir.cfm?Internal_ID=N_PR_7123_001D_&amp;page_name=AppendixE</x:v>
      </x:c>
    </x:row>
    <x:row r="15">
      <x:c r="A15" s="136" t="str">
        <x:v>TRL</x:v>
      </x:c>
      <x:c r="B15" s="136" t="str">
        <x:v>Tecnología / Producto</x:v>
      </x:c>
      <x:c r="C15" s="136" t="str">
        <x:v>TEC-11</x:v>
      </x:c>
      <x:c r="D15" s="136" t="str">
        <x:v>ENTORNO DE PRUEBAS</x:v>
      </x:c>
      <x:c r="E15" s="152" t="n">
        <x:v>0.1</x:v>
      </x:c>
      <x:c r="F15" s="136" t="str">
        <x:v>¿En qué tipo de entorno se han realizado las pruebas de su producto?</x:v>
      </x:c>
      <x:c r="G15" s="136" t="n">
        <x:v>5</x:v>
      </x:c>
      <x:c r="H15" s="136" t="str">
        <x:v>CALCULADORA TRL Y CRLS.xlsx</x:v>
      </x:c>
      <x:c r="I15" s="136" t="str">
        <x:v>Fuente interna; confirmar versión vigente</x:v>
      </x:c>
      <x:c r="J15" s="136" t="str">
        <x:v>Criterios normalizados sin alterar el contenido fuente.</x:v>
      </x:c>
      <x:c r="K15" s="334" t="str">
        <x:v>NASA + Comisión Europea + DOE</x:v>
      </x:c>
      <x:c r="L15" s="334" t="str">
        <x:v>Núcleo TRL</x:v>
      </x:c>
      <x:c r="M15" s="334" t="str">
        <x:v>MANTENER; ES UNA DE LAS VARIABLES MÁS IMPORTANTES PARA DIFERENCIAR TRL4–7</x:v>
      </x:c>
      <x:c r="N15" s="334" t="str">
        <x:v>https://www.energy.gov/cmei/technology-readiness-levels-trls</x:v>
      </x:c>
    </x:row>
    <x:row r="16">
      <x:c r="A16" s="136" t="str">
        <x:v>TRL</x:v>
      </x:c>
      <x:c r="B16" s="136" t="str">
        <x:v>Software</x:v>
      </x:c>
      <x:c r="C16" s="136" t="str">
        <x:v>SOF-01</x:v>
      </x:c>
      <x:c r="D16" s="136" t="str">
        <x:v>Funcionalidad y Desarrollo del Software</x:v>
      </x:c>
      <x:c r="E16" s="152" t="n">
        <x:v>0.35</x:v>
      </x:c>
      <x:c r="F16" s="136" t="str">
        <x:v>¿En qué etapa de desarrollo y funcionalidad se encuentra su software actualmente?</x:v>
      </x:c>
      <x:c r="G16" s="136" t="n">
        <x:v>9</x:v>
      </x:c>
      <x:c r="H16" s="136" t="str">
        <x:v>CALCULADORA TRL Y CRLS.xlsx</x:v>
      </x:c>
      <x:c r="I16" s="136" t="str">
        <x:v>Fuente interna; confirmar versión vigente</x:v>
      </x:c>
      <x:c r="J16" s="136" t="str">
        <x:v>Criterios normalizados sin alterar el contenido fuente.</x:v>
      </x:c>
      <x:c r="K16" s="334" t="str">
        <x:v>NASA NPR 7123.1D</x:v>
      </x:c>
      <x:c r="L16" s="334" t="str">
        <x:v>Núcleo TRL software</x:v>
      </x:c>
      <x:c r="M16" s="334" t="str">
        <x:v>MANTENER PERO REESCRIBIR NIVELES CON CRITERIOS TÉCNICOS NASA</x:v>
      </x:c>
      <x:c r="N16" s="334" t="str">
        <x:v>https://nodis3.gsfc.nasa.gov/displayDir.cfm?Internal_ID=N_PR_7123_001D_&amp;page_name=AppendixE</x:v>
      </x:c>
    </x:row>
    <x:row r="17">
      <x:c r="A17" s="136" t="str">
        <x:v>TRL</x:v>
      </x:c>
      <x:c r="B17" s="136" t="str">
        <x:v>Software</x:v>
      </x:c>
      <x:c r="C17" s="136" t="str">
        <x:v>SOF-02</x:v>
      </x:c>
      <x:c r="D17" s="136" t="str">
        <x:v>Pruebas de Usabilidad</x:v>
      </x:c>
      <x:c r="E17" s="152" t="n">
        <x:v>0.15</x:v>
      </x:c>
      <x:c r="F17" s="136" t="str">
        <x:v>¿En qué etapa de desarrollo y funcionalidad se encuentra su software actualmente?</x:v>
      </x:c>
      <x:c r="G17" s="136" t="n">
        <x:v>8</x:v>
      </x:c>
      <x:c r="H17" s="136" t="str">
        <x:v>CALCULADORA TRL Y CRLS.xlsx</x:v>
      </x:c>
      <x:c r="I17" s="136" t="str">
        <x:v>Fuente interna; confirmar versión vigente</x:v>
      </x:c>
      <x:c r="J17" s="136" t="str">
        <x:v>Criterios normalizados sin alterar el contenido fuente.</x:v>
      </x:c>
      <x:c r="K17" s="334" t="str">
        <x:v>NASA</x:v>
      </x:c>
      <x:c r="L17" s="334" t="str">
        <x:v>Soporte de validación</x:v>
      </x:c>
      <x:c r="M17" s="334" t="str">
        <x:v>MANTENER COMO EVIDENCIA DE USO; NO USAR COMO ÚNICO INDICADOR TRL</x:v>
      </x:c>
      <x:c r="N17" s="334" t="str">
        <x:v>https://nodis3.gsfc.nasa.gov/displayDir.cfm?Internal_ID=N_PR_7123_001D_&amp;page_name=AppendixE</x:v>
      </x:c>
    </x:row>
    <x:row r="18">
      <x:c r="A18" s="136" t="str">
        <x:v>TRL</x:v>
      </x:c>
      <x:c r="B18" s="136" t="str">
        <x:v>Software</x:v>
      </x:c>
      <x:c r="C18" s="136" t="str">
        <x:v>SOF-03</x:v>
      </x:c>
      <x:c r="D18" s="136" t="str">
        <x:v>NORMATIVAS</x:v>
      </x:c>
      <x:c r="E18" s="152" t="n">
        <x:v>0.2</x:v>
      </x:c>
      <x:c r="F18" s="136" t="str">
        <x:v>¿En qué etapa de desarrollo y funcionalidad se encuentra su software actualmente?</x:v>
      </x:c>
      <x:c r="G18" s="136" t="n">
        <x:v>8</x:v>
      </x:c>
      <x:c r="H18" s="136" t="str">
        <x:v>CALCULADORA TRL Y CRLS.xlsx</x:v>
      </x:c>
      <x:c r="I18" s="136" t="str">
        <x:v>Fuente interna; confirmar versión vigente</x:v>
      </x:c>
      <x:c r="J18" s="136" t="str">
        <x:v>Criterios normalizados sin alterar el contenido fuente.</x:v>
      </x:c>
      <x:c r="K18" s="334" t="str">
        <x:v>NASA</x:v>
      </x:c>
      <x:c r="L18" s="334" t="str">
        <x:v>Soporte de V&amp;V/qualification</x:v>
      </x:c>
      <x:c r="M18" s="334" t="str">
        <x:v>MANTENER COMO CRITERIO TARDÍO/SECTORIAL</x:v>
      </x:c>
      <x:c r="N18" s="334" t="str">
        <x:v>https://nodis3.gsfc.nasa.gov/displayDir.cfm?Internal_ID=N_PR_7123_001D_&amp;page_name=AppendixE</x:v>
      </x:c>
    </x:row>
    <x:row r="19">
      <x:c r="A19" s="136" t="str">
        <x:v>TRL</x:v>
      </x:c>
      <x:c r="B19" s="136" t="str">
        <x:v>Software</x:v>
      </x:c>
      <x:c r="C19" s="136" t="str">
        <x:v>SOF-04</x:v>
      </x:c>
      <x:c r="D19" s="136" t="str">
        <x:v>Soporte y Mantenimiento</x:v>
      </x:c>
      <x:c r="E19" s="152" t="n">
        <x:v>0.1</x:v>
      </x:c>
      <x:c r="F19" s="136" t="str">
        <x:v>¿En qué etapa de desarrollo y funcionalidad se encuentra su software actualmente?</x:v>
      </x:c>
      <x:c r="G19" s="136" t="n">
        <x:v>8</x:v>
      </x:c>
      <x:c r="H19" s="136" t="str">
        <x:v>CALCULADORA TRL Y CRLS.xlsx</x:v>
      </x:c>
      <x:c r="I19" s="136" t="str">
        <x:v>Fuente interna; confirmar versión vigente</x:v>
      </x:c>
      <x:c r="J19" s="136" t="str">
        <x:v>Criterios normalizados sin alterar el contenido fuente.</x:v>
      </x:c>
      <x:c r="K19" s="334" t="str">
        <x:v>NASA</x:v>
      </x:c>
      <x:c r="L19" s="334" t="str">
        <x:v>Preparación operacional tardía</x:v>
      </x:c>
      <x:c r="M19" s="334" t="str">
        <x:v>MANTENER COMO SOPORTE TRL8–9; NO PESAR IGUAL EN NIVELES TEMPRANOS</x:v>
      </x:c>
      <x:c r="N19" s="334" t="str">
        <x:v>https://nodis3.gsfc.nasa.gov/displayDir.cfm?Internal_ID=N_PR_7123_001D_&amp;page_name=AppendixE</x:v>
      </x:c>
    </x:row>
    <x:row r="20">
      <x:c r="A20" s="136" t="str">
        <x:v>TRL</x:v>
      </x:c>
      <x:c r="B20" s="136" t="str">
        <x:v>Software</x:v>
      </x:c>
      <x:c r="C20" s="136" t="str">
        <x:v>SOF-05</x:v>
      </x:c>
      <x:c r="D20" s="136" t="str">
        <x:v>Propiedad Intelectual</x:v>
      </x:c>
      <x:c r="E20" s="152" t="n">
        <x:v>0.05</x:v>
      </x:c>
      <x:c r="F20" s="136" t="str">
        <x:v>¿En qué etapa de desarrollo y funcionalidad se encuentra su software actualmente?</x:v>
      </x:c>
      <x:c r="G20" s="136" t="n">
        <x:v>5</x:v>
      </x:c>
      <x:c r="H20" s="136" t="str">
        <x:v>CALCULADORA TRL Y CRLS.xlsx</x:v>
      </x:c>
      <x:c r="I20" s="136" t="str">
        <x:v>Fuente interna; confirmar versión vigente</x:v>
      </x:c>
      <x:c r="J20" s="136" t="str">
        <x:v>Criterios normalizados sin alterar el contenido fuente.</x:v>
      </x:c>
      <x:c r="K20" s="334" t="str">
        <x:v>Comparación NASA/EC/DOE</x:v>
      </x:c>
      <x:c r="L20" s="334" t="str">
        <x:v>Fuera del TRL técnico</x:v>
      </x:c>
      <x:c r="M20" s="334" t="str">
        <x:v>SEPARAR DEL PUNTAJE TRL</x:v>
      </x:c>
      <x:c r="N20" s="334" t="str">
        <x:v>https://www.iso.org/standard/56064.html</x:v>
      </x:c>
    </x:row>
    <x:row r="21">
      <x:c r="A21" s="136" t="str">
        <x:v>TRL</x:v>
      </x:c>
      <x:c r="B21" s="136" t="str">
        <x:v>Software</x:v>
      </x:c>
      <x:c r="C21" s="136" t="str">
        <x:v>SOF-06</x:v>
      </x:c>
      <x:c r="D21" s="136" t="str">
        <x:v>UI/UX</x:v>
      </x:c>
      <x:c r="E21" s="152" t="n">
        <x:v>0.15</x:v>
      </x:c>
      <x:c r="F21" s="136" t="str">
        <x:v>¿En qué etapa de desarrollo y funcionalidad se encuentra su software actualmente?</x:v>
      </x:c>
      <x:c r="G21" s="136" t="n">
        <x:v>8</x:v>
      </x:c>
      <x:c r="H21" s="136" t="str">
        <x:v>CALCULADORA TRL Y CRLS.xlsx</x:v>
      </x:c>
      <x:c r="I21" s="136" t="str">
        <x:v>Fuente interna; confirmar versión vigente</x:v>
      </x:c>
      <x:c r="J21" s="136" t="str">
        <x:v>Criterios normalizados sin alterar el contenido fuente.</x:v>
      </x:c>
      <x:c r="K21" s="334" t="str">
        <x:v>NASA</x:v>
      </x:c>
      <x:c r="L21" s="334" t="str">
        <x:v>Usabilidad / interfaz, no núcleo TRL genérico</x:v>
      </x:c>
      <x:c r="M21" s="334" t="str">
        <x:v>MANTENER COMO CALIDAD/USABILIDAD; NO COMO EJE CENTRAL DEL TRL</x:v>
      </x:c>
      <x:c r="N21" s="334" t="str">
        <x:v>https://nodis3.gsfc.nasa.gov/displayDir.cfm?Internal_ID=N_PR_7123_001D_&amp;page_name=AppendixE</x:v>
      </x:c>
    </x:row>
    <x:row r="22">
      <x:c r="A22" s="136" t="str">
        <x:v>TRL</x:v>
      </x:c>
      <x:c r="B22" s="136" t="str">
        <x:v>Farmacéutico</x:v>
      </x:c>
      <x:c r="C22" s="136" t="str">
        <x:v>FAR-01</x:v>
      </x:c>
      <x:c r="D22" s="136" t="str">
        <x:v>ETAPA DE DESARROLLO</x:v>
      </x:c>
      <x:c r="E22" s="152" t="n">
        <x:v>0.25</x:v>
      </x:c>
      <x:c r="F22" s="136" t="str">
        <x:v>¿En qué nivel de desarrollo se encuentra actualmente su proyecto ?</x:v>
      </x:c>
      <x:c r="G22" s="136" t="n">
        <x:v>9</x:v>
      </x:c>
      <x:c r="H22" s="136" t="str">
        <x:v>CALCULADORA TRL Y CRLS.xlsx</x:v>
      </x:c>
      <x:c r="I22" s="136" t="str">
        <x:v>Fuente interna; confirmar versión vigente</x:v>
      </x:c>
      <x:c r="J22" s="136" t="str">
        <x:v>Criterios normalizados sin alterar el contenido fuente.</x:v>
      </x:c>
      <x:c r="K22" s="334" t="str">
        <x:v>EURAXESS / Comisión Europea</x:v>
      </x:c>
      <x:c r="L22" s="334" t="str">
        <x:v>Núcleo sectorial</x:v>
      </x:c>
      <x:c r="M22" s="334" t="str">
        <x:v>MANTENER; ALINEACIÓN ALTA</x:v>
      </x:c>
      <x:c r="N22" s="334" t="str">
        <x:v>https://euraxess.ec.europa.eu/career-development/researchers/manual-scientific-entrepreneurship/major-steps/trl</x:v>
      </x:c>
    </x:row>
    <x:row r="23">
      <x:c r="A23" s="136" t="str">
        <x:v>TRL</x:v>
      </x:c>
      <x:c r="B23" s="136" t="str">
        <x:v>Farmacéutico</x:v>
      </x:c>
      <x:c r="C23" s="136" t="str">
        <x:v>FAR-02</x:v>
      </x:c>
      <x:c r="D23" s="136" t="str">
        <x:v>Evidencia de Seguridad y Eficacia</x:v>
      </x:c>
      <x:c r="E23" s="152" t="n">
        <x:v>0.2</x:v>
      </x:c>
      <x:c r="F23" s="136" t="str">
        <x:v>¿Qué nivel de evidencia de seguridad y eficacia ha alcanzado su invención?</x:v>
      </x:c>
      <x:c r="G23" s="136" t="n">
        <x:v>9</x:v>
      </x:c>
      <x:c r="H23" s="136" t="str">
        <x:v>CALCULADORA TRL Y CRLS.xlsx</x:v>
      </x:c>
      <x:c r="I23" s="136" t="str">
        <x:v>Fuente interna; confirmar versión vigente</x:v>
      </x:c>
      <x:c r="J23" s="136" t="str">
        <x:v>Criterios normalizados sin alterar el contenido fuente.</x:v>
      </x:c>
      <x:c r="K23" s="334" t="str">
        <x:v>EURAXESS / Comisión Europea</x:v>
      </x:c>
      <x:c r="L23" s="334" t="str">
        <x:v>Núcleo sectorial</x:v>
      </x:c>
      <x:c r="M23" s="334" t="str">
        <x:v>MANTENER</x:v>
      </x:c>
      <x:c r="N23" s="334" t="str">
        <x:v>https://euraxess.ec.europa.eu/career-development/researchers/manual-scientific-entrepreneurship/major-steps/trl</x:v>
      </x:c>
    </x:row>
    <x:row r="24">
      <x:c r="A24" s="136" t="str">
        <x:v>TRL</x:v>
      </x:c>
      <x:c r="B24" s="136" t="str">
        <x:v>Farmacéutico</x:v>
      </x:c>
      <x:c r="C24" s="136" t="str">
        <x:v>FAR-03</x:v>
      </x:c>
      <x:c r="D24" s="136" t="str">
        <x:v>Cumplimiento Regulatorio</x:v>
      </x:c>
      <x:c r="E24" s="152" t="n">
        <x:v>0.2</x:v>
      </x:c>
      <x:c r="F24" s="136" t="str">
        <x:v>¿En qué etapa del proceso de cumplimiento regulatorio se encuentra su invención?</x:v>
      </x:c>
      <x:c r="G24" s="136" t="n">
        <x:v>9</x:v>
      </x:c>
      <x:c r="H24" s="136" t="str">
        <x:v>CALCULADORA TRL Y CRLS.xlsx</x:v>
      </x:c>
      <x:c r="I24" s="136" t="str">
        <x:v>Fuente interna; confirmar versión vigente</x:v>
      </x:c>
      <x:c r="J24" s="136" t="str">
        <x:v>Criterios normalizados sin alterar el contenido fuente.</x:v>
      </x:c>
      <x:c r="K24" s="334" t="str">
        <x:v>EURAXESS / Comisión Europea</x:v>
      </x:c>
      <x:c r="L24" s="334" t="str">
        <x:v>Núcleo sectorial/regulatorio</x:v>
      </x:c>
      <x:c r="M24" s="334" t="str">
        <x:v>MANTENER COMO ADAPTACIÓN FARMACÉUTICA</x:v>
      </x:c>
      <x:c r="N24" s="334" t="str">
        <x:v>https://euraxess.ec.europa.eu/career-development/researchers/manual-scientific-entrepreneurship/major-steps/trl</x:v>
      </x:c>
    </x:row>
    <x:row r="25">
      <x:c r="A25" s="136" t="str">
        <x:v>TRL</x:v>
      </x:c>
      <x:c r="B25" s="136" t="str">
        <x:v>Farmacéutico</x:v>
      </x:c>
      <x:c r="C25" s="136" t="str">
        <x:v>FAR-04</x:v>
      </x:c>
      <x:c r="D25" s="136" t="str">
        <x:v>Producción y Escalabilidad</x:v>
      </x:c>
      <x:c r="E25" s="152" t="n">
        <x:v>0.1</x:v>
      </x:c>
      <x:c r="F25" s="136" t="str">
        <x:v>¿En qué etapa se encuentra la producción y escalabilidad de su invención?</x:v>
      </x:c>
      <x:c r="G25" s="136" t="n">
        <x:v>9</x:v>
      </x:c>
      <x:c r="H25" s="136" t="str">
        <x:v>CALCULADORA TRL Y CRLS.xlsx</x:v>
      </x:c>
      <x:c r="I25" s="136" t="str">
        <x:v>Fuente interna; confirmar versión vigente</x:v>
      </x:c>
      <x:c r="J25" s="136" t="str">
        <x:v>Criterios normalizados sin alterar el contenido fuente.</x:v>
      </x:c>
      <x:c r="K25" s="334" t="str">
        <x:v>EURAXESS / Comisión Europea</x:v>
      </x:c>
      <x:c r="L25" s="334" t="str">
        <x:v>Soporte sectorial de producción</x:v>
      </x:c>
      <x:c r="M25" s="334" t="str">
        <x:v>MANTENER</x:v>
      </x:c>
      <x:c r="N25" s="334" t="str">
        <x:v>https://euraxess.ec.europa.eu/career-development/researchers/manual-scientific-entrepreneurship/major-steps/trl</x:v>
      </x:c>
    </x:row>
    <x:row r="26">
      <x:c r="A26" s="136" t="str">
        <x:v>TRL</x:v>
      </x:c>
      <x:c r="B26" s="136" t="str">
        <x:v>Farmacéutico</x:v>
      </x:c>
      <x:c r="C26" s="136" t="str">
        <x:v>FAR-05</x:v>
      </x:c>
      <x:c r="D26" s="136" t="str">
        <x:v>Pruebas Clínicas y Validación en Humanos</x:v>
      </x:c>
      <x:c r="E26" s="152" t="n">
        <x:v>0.15</x:v>
      </x:c>
      <x:c r="F26" s="136" t="str">
        <x:v>¿En qué etapa de pruebas clínicas y validación en humanos se encuentra su invención ?</x:v>
      </x:c>
      <x:c r="G26" s="136" t="n">
        <x:v>9</x:v>
      </x:c>
      <x:c r="H26" s="136" t="str">
        <x:v>CALCULADORA TRL Y CRLS.xlsx</x:v>
      </x:c>
      <x:c r="I26" s="136" t="str">
        <x:v>Fuente interna; confirmar versión vigente</x:v>
      </x:c>
      <x:c r="J26" s="136" t="str">
        <x:v>Criterios normalizados sin alterar el contenido fuente.</x:v>
      </x:c>
      <x:c r="K26" s="334" t="str">
        <x:v>EURAXESS / Comisión Europea</x:v>
      </x:c>
      <x:c r="L26" s="334" t="str">
        <x:v>Núcleo sectorial clínico</x:v>
      </x:c>
      <x:c r="M26" s="334" t="str">
        <x:v>MANTENER</x:v>
      </x:c>
      <x:c r="N26" s="334" t="str">
        <x:v>https://euraxess.ec.europa.eu/career-development/researchers/manual-scientific-entrepreneurship/major-steps/trl</x:v>
      </x:c>
    </x:row>
    <x:row r="27">
      <x:c r="A27" s="136" t="str">
        <x:v>TRL</x:v>
      </x:c>
      <x:c r="B27" s="136" t="str">
        <x:v>Farmacéutico</x:v>
      </x:c>
      <x:c r="C27" s="136" t="str">
        <x:v>FAR-06</x:v>
      </x:c>
      <x:c r="D27" s="136" t="str">
        <x:v>Evidencia Científica y Documentación</x:v>
      </x:c>
      <x:c r="E27" s="152" t="n">
        <x:v>0.05</x:v>
      </x:c>
      <x:c r="F27" s="136" t="str">
        <x:v>¿En qué etapa de pruebas clínicas y validación en humanos se encuentra su invención ?</x:v>
      </x:c>
      <x:c r="G27" s="136" t="n">
        <x:v>9</x:v>
      </x:c>
      <x:c r="H27" s="136" t="str">
        <x:v>CALCULADORA TRL Y CRLS.xlsx</x:v>
      </x:c>
      <x:c r="I27" s="136" t="str">
        <x:v>Fuente interna; confirmar versión vigente</x:v>
      </x:c>
      <x:c r="J27" s="136" t="str">
        <x:v>Criterios normalizados sin alterar el contenido fuente.</x:v>
      </x:c>
      <x:c r="K27" s="334" t="str">
        <x:v>EURAXESS + NASA (evidencia)</x:v>
      </x:c>
      <x:c r="L27" s="334" t="str">
        <x:v>Evidencia/criterio de salida</x:v>
      </x:c>
      <x:c r="M27" s="334" t="str">
        <x:v>MANTENER</x:v>
      </x:c>
      <x:c r="N27" s="334" t="str">
        <x:v>https://euraxess.ec.europa.eu/career-development/researchers/manual-scientific-entrepreneurship/major-steps/trl</x:v>
      </x:c>
    </x:row>
    <x:row r="28">
      <x:c r="A28" s="136" t="str">
        <x:v>TRL</x:v>
      </x:c>
      <x:c r="B28" s="136" t="str">
        <x:v>Farmacéutico</x:v>
      </x:c>
      <x:c r="C28" s="136" t="str">
        <x:v>FAR-07</x:v>
      </x:c>
      <x:c r="D28" s="136" t="str">
        <x:v>Propiedad Intelectual</x:v>
      </x:c>
      <x:c r="E28" s="152" t="n">
        <x:v>0.05</x:v>
      </x:c>
      <x:c r="F28" s="136" t="str">
        <x:v>¿En qué etapa de pruebas clínicas y validación en humanos se encuentra su invención ?</x:v>
      </x:c>
      <x:c r="G28" s="136" t="n">
        <x:v>5</x:v>
      </x:c>
      <x:c r="H28" s="136" t="str">
        <x:v>CALCULADORA TRL Y CRLS.xlsx</x:v>
      </x:c>
      <x:c r="I28" s="136" t="str">
        <x:v>Fuente interna; confirmar versión vigente</x:v>
      </x:c>
      <x:c r="J28" s="136" t="str">
        <x:v>Criterios normalizados sin alterar el contenido fuente.</x:v>
      </x:c>
      <x:c r="K28" s="334" t="str">
        <x:v>Comparación internacional</x:v>
      </x:c>
      <x:c r="L28" s="334" t="str">
        <x:v>Fuera del TRL técnico/sectorial</x:v>
      </x:c>
      <x:c r="M28" s="334" t="str">
        <x:v>SEPARAR DEL PUNTAJE TRL; TRATAR COMO PI/IP READINESS</x:v>
      </x:c>
      <x:c r="N28" s="334" t="str">
        <x:v>https://www.iso.org/standard/56064.html</x:v>
      </x:c>
    </x:row>
    <x:row r="29">
      <x:c r="A29" s="136" t="str">
        <x:v>CRL</x:v>
      </x:c>
      <x:c r="B29" s="136" t="str">
        <x:v>Transversal</x:v>
      </x:c>
      <x:c r="C29" s="136" t="str">
        <x:v>CRL-01</x:v>
      </x:c>
      <x:c r="D29" s="136" t="str">
        <x:v>Comprensión del Mercado y Necesidades del Cliente</x:v>
      </x:c>
      <x:c r="E29" s="152" t="n">
        <x:v>0.3</x:v>
      </x:c>
      <x:c r="F29" s="136" t="str">
        <x:v>¿En qué nivel de comprensión del mercado y validación de las necesidades del cliente se encuentra su producto o tecnología?</x:v>
      </x:c>
      <x:c r="G29" s="136" t="n">
        <x:v>9</x:v>
      </x:c>
      <x:c r="H29" s="136" t="str">
        <x:v>CALCULADORA TRL Y CRLS.xlsx</x:v>
      </x:c>
      <x:c r="I29" s="136" t="str">
        <x:v>Fuente interna; confirmar versión vigente</x:v>
      </x:c>
      <x:c r="J29" s="136" t="str">
        <x:v>CRL se mantiene separado del TRL.</x:v>
      </x:c>
      <x:c r="K29" s="334" t="str">
        <x:v>Auditoría TRL no aplica directamente</x:v>
      </x:c>
      <x:c r="L29" s="334" t="str">
        <x:v>CRL separado</x:v>
      </x:c>
      <x:c r="M29" s="334" t="str">
        <x:v>REVISAR EN BENCHMARK COMERCIAL/CRL</x:v>
      </x:c>
      <x:c r="N29" s="334" t="str"/>
    </x:row>
    <x:row r="30">
      <x:c r="A30" s="136" t="str">
        <x:v>CRL</x:v>
      </x:c>
      <x:c r="B30" s="136" t="str">
        <x:v>Transversal</x:v>
      </x:c>
      <x:c r="C30" s="136" t="str">
        <x:v>CRL-02</x:v>
      </x:c>
      <x:c r="D30" s="136" t="str">
        <x:v>Nivel de Validación del Producto y Relación con el Cliente</x:v>
      </x:c>
      <x:c r="E30" s="152" t="n">
        <x:v>0.35</x:v>
      </x:c>
      <x:c r="F30" s="136" t="str">
        <x:v>¿En qué etapa de validación del producto y relación con los clientes se encuentra su proyecto o tecnología?</x:v>
      </x:c>
      <x:c r="G30" s="136" t="n">
        <x:v>9</x:v>
      </x:c>
      <x:c r="H30" s="136" t="str">
        <x:v>CALCULADORA TRL Y CRLS.xlsx</x:v>
      </x:c>
      <x:c r="I30" s="136" t="str">
        <x:v>Fuente interna; confirmar versión vigente</x:v>
      </x:c>
      <x:c r="J30" s="136" t="str">
        <x:v>CRL se mantiene separado del TRL.</x:v>
      </x:c>
      <x:c r="K30" s="334" t="str">
        <x:v>Auditoría TRL no aplica directamente</x:v>
      </x:c>
      <x:c r="L30" s="334" t="str">
        <x:v>CRL separado</x:v>
      </x:c>
      <x:c r="M30" s="334" t="str">
        <x:v>REVISAR EN BENCHMARK COMERCIAL/CRL</x:v>
      </x:c>
      <x:c r="N30" s="334" t="str"/>
    </x:row>
    <x:row r="31">
      <x:c r="A31" s="137" t="str">
        <x:v>CRL</x:v>
      </x:c>
      <x:c r="B31" s="137" t="str">
        <x:v>Transversal</x:v>
      </x:c>
      <x:c r="C31" s="137" t="str">
        <x:v>CRL-03</x:v>
      </x:c>
      <x:c r="D31" s="137" t="str">
        <x:v>Desarrollo Comercial y Escalabilidad de Ventas</x:v>
      </x:c>
      <x:c r="E31" s="153" t="n">
        <x:v>0.35</x:v>
      </x:c>
      <x:c r="F31" s="137" t="str">
        <x:v>¿En qué etapa de desarrollo comercial y escalabilidad de ventas se encuentra su tecnología o producto?</x:v>
      </x:c>
      <x:c r="G31" s="137" t="n">
        <x:v>9</x:v>
      </x:c>
      <x:c r="H31" s="137" t="str">
        <x:v>CALCULADORA TRL Y CRLS.xlsx</x:v>
      </x:c>
      <x:c r="I31" s="137" t="str">
        <x:v>Fuente interna; confirmar versión vigente</x:v>
      </x:c>
      <x:c r="J31" s="137" t="str">
        <x:v>CRL se mantiene separado del TRL.</x:v>
      </x:c>
      <x:c r="K31" s="334" t="str">
        <x:v>Auditoría TRL no aplica directamente</x:v>
      </x:c>
      <x:c r="L31" s="334" t="str">
        <x:v>CRL separado</x:v>
      </x:c>
      <x:c r="M31" s="334" t="str">
        <x:v>REVISAR EN BENCHMARK COMERCIAL/CRL</x:v>
      </x:c>
      <x:c r="N31" s="334" t="str"/>
    </x:row>
    <x:row r="32">
      <x:c r="A32" s="44"/>
      <x:c r="B32" s="44"/>
      <x:c r="C32" s="44"/>
      <x:c r="D32" s="44"/>
      <x:c r="E32" s="44"/>
      <x:c r="F32" s="44"/>
      <x:c r="G32" s="44"/>
      <x:c r="H32" s="44"/>
      <x:c r="I32" s="44"/>
      <x:c r="J32" s="44"/>
    </x:row>
    <x:row r="33">
      <x:c r="A33" s="44"/>
      <x:c r="B33" s="44"/>
      <x:c r="C33" s="44"/>
      <x:c r="D33" s="44"/>
      <x:c r="E33" s="44"/>
      <x:c r="F33" s="44"/>
      <x:c r="G33" s="44"/>
      <x:c r="H33" s="44"/>
      <x:c r="I33" s="44"/>
      <x:c r="J33" s="44"/>
    </x:row>
    <x:row r="34">
      <x:c r="A34" s="44"/>
      <x:c r="B34" s="44"/>
      <x:c r="C34" s="44"/>
      <x:c r="D34" s="44"/>
      <x:c r="E34" s="44"/>
      <x:c r="F34" s="44"/>
      <x:c r="G34" s="44"/>
      <x:c r="H34" s="44"/>
      <x:c r="I34" s="44"/>
      <x:c r="J34" s="44"/>
    </x:row>
    <x:row r="35">
      <x:c r="A35" s="44"/>
      <x:c r="B35" s="44"/>
      <x:c r="C35" s="44"/>
      <x:c r="D35" s="44"/>
      <x:c r="E35" s="44"/>
      <x:c r="F35" s="44"/>
      <x:c r="G35" s="44"/>
      <x:c r="H35" s="44"/>
      <x:c r="I35" s="44"/>
      <x:c r="J35" s="44"/>
    </x:row>
    <x:row r="36">
      <x:c r="A36" s="44"/>
      <x:c r="B36" s="44"/>
      <x:c r="C36" s="44"/>
      <x:c r="D36" s="44"/>
      <x:c r="E36" s="44"/>
      <x:c r="F36" s="44"/>
      <x:c r="G36" s="44"/>
      <x:c r="H36" s="44"/>
      <x:c r="I36" s="44"/>
      <x:c r="J36" s="44"/>
    </x:row>
    <x:row r="37">
      <x:c r="A37" s="44"/>
      <x:c r="B37" s="44"/>
      <x:c r="C37" s="44"/>
      <x:c r="D37" s="44"/>
      <x:c r="E37" s="44"/>
      <x:c r="F37" s="44"/>
      <x:c r="G37" s="44"/>
      <x:c r="H37" s="44"/>
      <x:c r="I37" s="44"/>
      <x:c r="J37" s="44"/>
    </x:row>
    <x:row r="38">
      <x:c r="A38" s="44"/>
      <x:c r="B38" s="44"/>
      <x:c r="C38" s="44"/>
      <x:c r="D38" s="44"/>
      <x:c r="E38" s="44"/>
      <x:c r="F38" s="44"/>
      <x:c r="G38" s="44"/>
      <x:c r="H38" s="44"/>
      <x:c r="I38" s="44"/>
      <x:c r="J38" s="44"/>
    </x:row>
    <x:row r="39">
      <x:c r="A39" s="44"/>
      <x:c r="B39" s="44"/>
      <x:c r="C39" s="44"/>
      <x:c r="D39" s="44"/>
      <x:c r="E39" s="44"/>
      <x:c r="F39" s="44"/>
      <x:c r="G39" s="44"/>
      <x:c r="H39" s="44"/>
      <x:c r="I39" s="44"/>
      <x:c r="J39" s="44"/>
    </x:row>
    <x:row r="40">
      <x:c r="A40" s="44"/>
      <x:c r="B40" s="44"/>
      <x:c r="C40" s="44"/>
      <x:c r="D40" s="44"/>
      <x:c r="E40" s="44"/>
      <x:c r="F40" s="44"/>
      <x:c r="G40" s="44"/>
      <x:c r="H40" s="44"/>
      <x:c r="I40" s="44"/>
      <x:c r="J40" s="44"/>
    </x:row>
    <x:row r="41">
      <x:c r="A41" s="44"/>
      <x:c r="B41" s="44"/>
      <x:c r="C41" s="44"/>
      <x:c r="D41" s="44"/>
      <x:c r="E41" s="44"/>
      <x:c r="F41" s="44"/>
      <x:c r="G41" s="44"/>
      <x:c r="H41" s="44"/>
      <x:c r="I41" s="44"/>
      <x:c r="J41" s="44"/>
    </x:row>
    <x:row r="42">
      <x:c r="A42" s="44"/>
      <x:c r="B42" s="44"/>
      <x:c r="C42" s="44"/>
      <x:c r="D42" s="44"/>
      <x:c r="E42" s="44"/>
      <x:c r="F42" s="44"/>
      <x:c r="G42" s="44"/>
      <x:c r="H42" s="44"/>
      <x:c r="I42" s="44"/>
      <x:c r="J42" s="44"/>
    </x:row>
    <x:row r="43">
      <x:c r="A43" s="44"/>
      <x:c r="B43" s="44"/>
      <x:c r="C43" s="44"/>
      <x:c r="D43" s="44"/>
      <x:c r="E43" s="44"/>
      <x:c r="F43" s="44"/>
      <x:c r="G43" s="44"/>
      <x:c r="H43" s="44"/>
      <x:c r="I43" s="44"/>
      <x:c r="J43" s="44"/>
    </x:row>
    <x:row r="44">
      <x:c r="A44" s="44"/>
      <x:c r="B44" s="44"/>
      <x:c r="C44" s="44"/>
      <x:c r="D44" s="44"/>
      <x:c r="E44" s="44"/>
      <x:c r="F44" s="44"/>
      <x:c r="G44" s="44"/>
      <x:c r="H44" s="44"/>
      <x:c r="I44" s="44"/>
      <x:c r="J44" s="44"/>
    </x:row>
    <x:row r="45">
      <x:c r="A45" s="44"/>
      <x:c r="B45" s="44"/>
      <x:c r="C45" s="44"/>
      <x:c r="D45" s="44"/>
      <x:c r="E45" s="44"/>
      <x:c r="F45" s="44"/>
      <x:c r="G45" s="44"/>
      <x:c r="H45" s="44"/>
      <x:c r="I45" s="44"/>
      <x:c r="J45" s="44"/>
    </x:row>
    <x:row r="46">
      <x:c r="A46" s="44"/>
      <x:c r="B46" s="44"/>
      <x:c r="C46" s="44"/>
      <x:c r="D46" s="44"/>
      <x:c r="E46" s="44"/>
      <x:c r="F46" s="44"/>
      <x:c r="G46" s="44"/>
      <x:c r="H46" s="44"/>
      <x:c r="I46" s="44"/>
      <x:c r="J46" s="44"/>
    </x:row>
    <x:row r="47">
      <x:c r="A47" s="44"/>
      <x:c r="B47" s="44"/>
      <x:c r="C47" s="44"/>
      <x:c r="D47" s="44"/>
      <x:c r="E47" s="44"/>
      <x:c r="F47" s="44"/>
      <x:c r="G47" s="44"/>
      <x:c r="H47" s="44"/>
      <x:c r="I47" s="44"/>
      <x:c r="J47" s="44"/>
    </x:row>
    <x:row r="48">
      <x:c r="A48" s="44"/>
      <x:c r="B48" s="44"/>
      <x:c r="C48" s="44"/>
      <x:c r="D48" s="44"/>
      <x:c r="E48" s="44"/>
      <x:c r="F48" s="44"/>
      <x:c r="G48" s="44"/>
      <x:c r="H48" s="44"/>
      <x:c r="I48" s="44"/>
      <x:c r="J48" s="44"/>
    </x:row>
    <x:row r="49">
      <x:c r="A49" s="44"/>
      <x:c r="B49" s="44"/>
      <x:c r="C49" s="44"/>
      <x:c r="D49" s="44"/>
      <x:c r="E49" s="44"/>
      <x:c r="F49" s="44"/>
      <x:c r="G49" s="44"/>
      <x:c r="H49" s="44"/>
      <x:c r="I49" s="44"/>
      <x:c r="J49" s="44"/>
    </x:row>
    <x:row r="50">
      <x:c r="A50" s="44"/>
      <x:c r="B50" s="44"/>
      <x:c r="C50" s="44"/>
      <x:c r="D50" s="44"/>
      <x:c r="E50" s="44"/>
      <x:c r="F50" s="44"/>
      <x:c r="G50" s="44"/>
      <x:c r="H50" s="44"/>
      <x:c r="I50" s="44"/>
      <x:c r="J50" s="44"/>
    </x:row>
    <x:row r="51">
      <x:c r="A51" s="44"/>
      <x:c r="B51" s="44"/>
      <x:c r="C51" s="44"/>
      <x:c r="D51" s="44"/>
      <x:c r="E51" s="44"/>
      <x:c r="F51" s="44"/>
      <x:c r="G51" s="44"/>
      <x:c r="H51" s="44"/>
      <x:c r="I51" s="44"/>
      <x:c r="J51" s="44"/>
    </x:row>
    <x:row r="52">
      <x:c r="A52" s="44"/>
      <x:c r="B52" s="44"/>
      <x:c r="C52" s="44"/>
      <x:c r="D52" s="44"/>
      <x:c r="E52" s="44"/>
      <x:c r="F52" s="44"/>
      <x:c r="G52" s="44"/>
      <x:c r="H52" s="44"/>
      <x:c r="I52" s="44"/>
      <x:c r="J52" s="44"/>
    </x:row>
    <x:row r="53">
      <x:c r="A53" s="44"/>
      <x:c r="B53" s="44"/>
      <x:c r="C53" s="44"/>
      <x:c r="D53" s="44"/>
      <x:c r="E53" s="44"/>
      <x:c r="F53" s="44"/>
      <x:c r="G53" s="44"/>
      <x:c r="H53" s="44"/>
      <x:c r="I53" s="44"/>
      <x:c r="J53" s="44"/>
    </x:row>
    <x:row r="54">
      <x:c r="A54" s="44"/>
      <x:c r="B54" s="44"/>
      <x:c r="C54" s="44"/>
      <x:c r="D54" s="44"/>
      <x:c r="E54" s="44"/>
      <x:c r="F54" s="44"/>
      <x:c r="G54" s="44"/>
      <x:c r="H54" s="44"/>
      <x:c r="I54" s="44"/>
      <x:c r="J54" s="44"/>
    </x:row>
    <x:row r="55">
      <x:c r="A55" s="44"/>
      <x:c r="B55" s="44"/>
      <x:c r="C55" s="44"/>
      <x:c r="D55" s="44"/>
      <x:c r="E55" s="44"/>
      <x:c r="F55" s="44"/>
      <x:c r="G55" s="44"/>
      <x:c r="H55" s="44"/>
      <x:c r="I55" s="44"/>
      <x:c r="J55" s="44"/>
    </x:row>
    <x:row r="56">
      <x:c r="A56" s="44"/>
      <x:c r="B56" s="44"/>
      <x:c r="C56" s="44"/>
      <x:c r="D56" s="44"/>
      <x:c r="E56" s="44"/>
      <x:c r="F56" s="44"/>
      <x:c r="G56" s="44"/>
      <x:c r="H56" s="44"/>
      <x:c r="I56" s="44"/>
      <x:c r="J56" s="44"/>
    </x:row>
    <x:row r="57">
      <x:c r="A57" s="44"/>
      <x:c r="B57" s="44"/>
      <x:c r="C57" s="44"/>
      <x:c r="D57" s="44"/>
      <x:c r="E57" s="44"/>
      <x:c r="F57" s="44"/>
      <x:c r="G57" s="44"/>
      <x:c r="H57" s="44"/>
      <x:c r="I57" s="44"/>
      <x:c r="J57" s="44"/>
    </x:row>
    <x:row r="58">
      <x:c r="A58" s="44"/>
      <x:c r="B58" s="44"/>
      <x:c r="C58" s="44"/>
      <x:c r="D58" s="44"/>
      <x:c r="E58" s="44"/>
      <x:c r="F58" s="44"/>
      <x:c r="G58" s="44"/>
      <x:c r="H58" s="44"/>
      <x:c r="I58" s="44"/>
      <x:c r="J58" s="44"/>
    </x:row>
    <x:row r="59">
      <x:c r="A59" s="44"/>
      <x:c r="B59" s="44"/>
      <x:c r="C59" s="44"/>
      <x:c r="D59" s="44"/>
      <x:c r="E59" s="44"/>
      <x:c r="F59" s="44"/>
      <x:c r="G59" s="44"/>
      <x:c r="H59" s="44"/>
      <x:c r="I59" s="44"/>
      <x:c r="J59" s="44"/>
    </x:row>
    <x:row r="60">
      <x:c r="A60" s="44"/>
      <x:c r="B60" s="44"/>
      <x:c r="C60" s="44"/>
      <x:c r="D60" s="44"/>
      <x:c r="E60" s="44"/>
      <x:c r="F60" s="44"/>
      <x:c r="G60" s="44"/>
      <x:c r="H60" s="44"/>
      <x:c r="I60" s="44"/>
      <x:c r="J60" s="44"/>
    </x:row>
    <x:row r="61">
      <x:c r="A61" s="44"/>
      <x:c r="B61" s="44"/>
      <x:c r="C61" s="44"/>
      <x:c r="D61" s="44"/>
      <x:c r="E61" s="44"/>
      <x:c r="F61" s="44"/>
      <x:c r="G61" s="44"/>
      <x:c r="H61" s="44"/>
      <x:c r="I61" s="44"/>
      <x:c r="J61" s="44"/>
    </x:row>
    <x:row r="62">
      <x:c r="A62" s="44"/>
      <x:c r="B62" s="44"/>
      <x:c r="C62" s="44"/>
      <x:c r="D62" s="44"/>
      <x:c r="E62" s="44"/>
      <x:c r="F62" s="44"/>
      <x:c r="G62" s="44"/>
      <x:c r="H62" s="44"/>
      <x:c r="I62" s="44"/>
      <x:c r="J62" s="44"/>
    </x:row>
    <x:row r="63">
      <x:c r="A63" s="44"/>
      <x:c r="B63" s="44"/>
      <x:c r="C63" s="44"/>
      <x:c r="D63" s="44"/>
      <x:c r="E63" s="44"/>
      <x:c r="F63" s="44"/>
      <x:c r="G63" s="44"/>
      <x:c r="H63" s="44"/>
      <x:c r="I63" s="44"/>
      <x:c r="J63" s="44"/>
    </x:row>
    <x:row r="64">
      <x:c r="A64" s="44"/>
      <x:c r="B64" s="44"/>
      <x:c r="C64" s="44"/>
      <x:c r="D64" s="44"/>
      <x:c r="E64" s="44"/>
      <x:c r="F64" s="44"/>
      <x:c r="G64" s="44"/>
      <x:c r="H64" s="44"/>
      <x:c r="I64" s="44"/>
      <x:c r="J64" s="44"/>
    </x:row>
    <x:row r="65">
      <x:c r="A65" s="44"/>
      <x:c r="B65" s="44"/>
      <x:c r="C65" s="44"/>
      <x:c r="D65" s="44"/>
      <x:c r="E65" s="44"/>
      <x:c r="F65" s="44"/>
      <x:c r="G65" s="44"/>
      <x:c r="H65" s="44"/>
      <x:c r="I65" s="44"/>
      <x:c r="J65" s="44"/>
    </x:row>
    <x:row r="66">
      <x:c r="A66" s="44"/>
      <x:c r="B66" s="44"/>
      <x:c r="C66" s="44"/>
      <x:c r="D66" s="44"/>
      <x:c r="E66" s="44"/>
      <x:c r="F66" s="44"/>
      <x:c r="G66" s="44"/>
      <x:c r="H66" s="44"/>
      <x:c r="I66" s="44"/>
      <x:c r="J66" s="44"/>
    </x:row>
    <x:row r="67">
      <x:c r="A67" s="44"/>
      <x:c r="B67" s="44"/>
      <x:c r="C67" s="44"/>
      <x:c r="D67" s="44"/>
      <x:c r="E67" s="44"/>
      <x:c r="F67" s="44"/>
      <x:c r="G67" s="44"/>
      <x:c r="H67" s="44"/>
      <x:c r="I67" s="44"/>
      <x:c r="J67" s="44"/>
    </x:row>
    <x:row r="68">
      <x:c r="A68" s="44"/>
      <x:c r="B68" s="44"/>
      <x:c r="C68" s="44"/>
      <x:c r="D68" s="44"/>
      <x:c r="E68" s="44"/>
      <x:c r="F68" s="44"/>
      <x:c r="G68" s="44"/>
      <x:c r="H68" s="44"/>
      <x:c r="I68" s="44"/>
      <x:c r="J68" s="44"/>
    </x:row>
    <x:row r="69">
      <x:c r="A69" s="44"/>
      <x:c r="B69" s="44"/>
      <x:c r="C69" s="44"/>
      <x:c r="D69" s="44"/>
      <x:c r="E69" s="44"/>
      <x:c r="F69" s="44"/>
      <x:c r="G69" s="44"/>
      <x:c r="H69" s="44"/>
      <x:c r="I69" s="44"/>
      <x:c r="J69" s="44"/>
    </x:row>
    <x:row r="70">
      <x:c r="A70" s="44"/>
      <x:c r="B70" s="44"/>
      <x:c r="C70" s="44"/>
      <x:c r="D70" s="44"/>
      <x:c r="E70" s="44"/>
      <x:c r="F70" s="44"/>
      <x:c r="G70" s="44"/>
      <x:c r="H70" s="44"/>
      <x:c r="I70" s="44"/>
      <x:c r="J70" s="44"/>
    </x:row>
    <x:row r="71">
      <x:c r="A71" s="44"/>
      <x:c r="B71" s="44"/>
      <x:c r="C71" s="44"/>
      <x:c r="D71" s="44"/>
      <x:c r="E71" s="44"/>
      <x:c r="F71" s="44"/>
      <x:c r="G71" s="44"/>
      <x:c r="H71" s="44"/>
      <x:c r="I71" s="44"/>
      <x:c r="J71" s="44"/>
    </x:row>
    <x:row r="72">
      <x:c r="A72" s="44"/>
      <x:c r="B72" s="44"/>
      <x:c r="C72" s="44"/>
      <x:c r="D72" s="44"/>
      <x:c r="E72" s="44"/>
      <x:c r="F72" s="44"/>
      <x:c r="G72" s="44"/>
      <x:c r="H72" s="44"/>
      <x:c r="I72" s="44"/>
      <x:c r="J72" s="44"/>
    </x:row>
    <x:row r="73">
      <x:c r="A73" s="44"/>
      <x:c r="B73" s="44"/>
      <x:c r="C73" s="44"/>
      <x:c r="D73" s="44"/>
      <x:c r="E73" s="44"/>
      <x:c r="F73" s="44"/>
      <x:c r="G73" s="44"/>
      <x:c r="H73" s="44"/>
      <x:c r="I73" s="44"/>
      <x:c r="J73" s="44"/>
    </x:row>
    <x:row r="74">
      <x:c r="A74" s="44"/>
      <x:c r="B74" s="44"/>
      <x:c r="C74" s="44"/>
      <x:c r="D74" s="44"/>
      <x:c r="E74" s="44"/>
      <x:c r="F74" s="44"/>
      <x:c r="G74" s="44"/>
      <x:c r="H74" s="44"/>
      <x:c r="I74" s="44"/>
      <x:c r="J74" s="44"/>
    </x:row>
    <x:row r="75">
      <x:c r="A75" s="44"/>
      <x:c r="B75" s="44"/>
      <x:c r="C75" s="44"/>
      <x:c r="D75" s="44"/>
      <x:c r="E75" s="44"/>
      <x:c r="F75" s="44"/>
      <x:c r="G75" s="44"/>
      <x:c r="H75" s="44"/>
      <x:c r="I75" s="44"/>
      <x:c r="J75" s="44"/>
    </x:row>
    <x:row r="76">
      <x:c r="A76" s="44"/>
      <x:c r="B76" s="44"/>
      <x:c r="C76" s="44"/>
      <x:c r="D76" s="44"/>
      <x:c r="E76" s="44"/>
      <x:c r="F76" s="44"/>
      <x:c r="G76" s="44"/>
      <x:c r="H76" s="44"/>
      <x:c r="I76" s="44"/>
      <x:c r="J76" s="44"/>
    </x:row>
    <x:row r="77">
      <x:c r="A77" s="44"/>
      <x:c r="B77" s="44"/>
      <x:c r="C77" s="44"/>
      <x:c r="D77" s="44"/>
      <x:c r="E77" s="44"/>
      <x:c r="F77" s="44"/>
      <x:c r="G77" s="44"/>
      <x:c r="H77" s="44"/>
      <x:c r="I77" s="44"/>
      <x:c r="J77" s="44"/>
    </x:row>
    <x:row r="78">
      <x:c r="A78" s="44"/>
      <x:c r="B78" s="44"/>
      <x:c r="C78" s="44"/>
      <x:c r="D78" s="44"/>
      <x:c r="E78" s="44"/>
      <x:c r="F78" s="44"/>
      <x:c r="G78" s="44"/>
      <x:c r="H78" s="44"/>
      <x:c r="I78" s="44"/>
      <x:c r="J78" s="44"/>
    </x:row>
    <x:row r="79">
      <x:c r="A79" s="44"/>
      <x:c r="B79" s="44"/>
      <x:c r="C79" s="44"/>
      <x:c r="D79" s="44"/>
      <x:c r="E79" s="44"/>
      <x:c r="F79" s="44"/>
      <x:c r="G79" s="44"/>
      <x:c r="H79" s="44"/>
      <x:c r="I79" s="44"/>
      <x:c r="J79" s="44"/>
    </x:row>
    <x:row r="80">
      <x:c r="A80" s="44"/>
      <x:c r="B80" s="44"/>
      <x:c r="C80" s="44"/>
      <x:c r="D80" s="44"/>
      <x:c r="E80" s="44"/>
      <x:c r="F80" s="44"/>
      <x:c r="G80" s="44"/>
      <x:c r="H80" s="44"/>
      <x:c r="I80" s="44"/>
      <x:c r="J80" s="44"/>
    </x:row>
    <x:row r="81">
      <x:c r="A81" s="44"/>
      <x:c r="B81" s="44"/>
      <x:c r="C81" s="44"/>
      <x:c r="D81" s="44"/>
      <x:c r="E81" s="44"/>
      <x:c r="F81" s="44"/>
      <x:c r="G81" s="44"/>
      <x:c r="H81" s="44"/>
      <x:c r="I81" s="44"/>
      <x:c r="J81" s="44"/>
    </x:row>
    <x:row r="82">
      <x:c r="A82" s="44"/>
      <x:c r="B82" s="44"/>
      <x:c r="C82" s="44"/>
      <x:c r="D82" s="44"/>
      <x:c r="E82" s="44"/>
      <x:c r="F82" s="44"/>
      <x:c r="G82" s="44"/>
      <x:c r="H82" s="44"/>
      <x:c r="I82" s="44"/>
      <x:c r="J82" s="44"/>
    </x:row>
    <x:row r="83">
      <x:c r="A83" s="44"/>
      <x:c r="B83" s="44"/>
      <x:c r="C83" s="44"/>
      <x:c r="D83" s="44"/>
      <x:c r="E83" s="44"/>
      <x:c r="F83" s="44"/>
      <x:c r="G83" s="44"/>
      <x:c r="H83" s="44"/>
      <x:c r="I83" s="44"/>
      <x:c r="J83" s="44"/>
    </x:row>
    <x:row r="84">
      <x:c r="A84" s="44"/>
      <x:c r="B84" s="44"/>
      <x:c r="C84" s="44"/>
      <x:c r="D84" s="44"/>
      <x:c r="E84" s="44"/>
      <x:c r="F84" s="44"/>
      <x:c r="G84" s="44"/>
      <x:c r="H84" s="44"/>
      <x:c r="I84" s="44"/>
      <x:c r="J84" s="44"/>
    </x:row>
    <x:row r="85">
      <x:c r="A85" s="44"/>
      <x:c r="B85" s="44"/>
      <x:c r="C85" s="44"/>
      <x:c r="D85" s="44"/>
      <x:c r="E85" s="44"/>
      <x:c r="F85" s="44"/>
      <x:c r="G85" s="44"/>
      <x:c r="H85" s="44"/>
      <x:c r="I85" s="44"/>
      <x:c r="J85" s="44"/>
    </x:row>
    <x:row r="86">
      <x:c r="A86" s="44"/>
      <x:c r="B86" s="44"/>
      <x:c r="C86" s="44"/>
      <x:c r="D86" s="44"/>
      <x:c r="E86" s="44"/>
      <x:c r="F86" s="44"/>
      <x:c r="G86" s="44"/>
      <x:c r="H86" s="44"/>
      <x:c r="I86" s="44"/>
      <x:c r="J86" s="44"/>
    </x:row>
    <x:row r="87">
      <x:c r="A87" s="44"/>
      <x:c r="B87" s="44"/>
      <x:c r="C87" s="44"/>
      <x:c r="D87" s="44"/>
      <x:c r="E87" s="44"/>
      <x:c r="F87" s="44"/>
      <x:c r="G87" s="44"/>
      <x:c r="H87" s="44"/>
      <x:c r="I87" s="44"/>
      <x:c r="J87" s="44"/>
    </x:row>
    <x:row r="88">
      <x:c r="A88" s="44"/>
      <x:c r="B88" s="44"/>
      <x:c r="C88" s="44"/>
      <x:c r="D88" s="44"/>
      <x:c r="E88" s="44"/>
      <x:c r="F88" s="44"/>
      <x:c r="G88" s="44"/>
      <x:c r="H88" s="44"/>
      <x:c r="I88" s="44"/>
      <x:c r="J88" s="44"/>
    </x:row>
    <x:row r="89">
      <x:c r="A89" s="44"/>
      <x:c r="B89" s="44"/>
      <x:c r="C89" s="44"/>
      <x:c r="D89" s="44"/>
      <x:c r="E89" s="44"/>
      <x:c r="F89" s="44"/>
      <x:c r="G89" s="44"/>
      <x:c r="H89" s="44"/>
      <x:c r="I89" s="44"/>
      <x:c r="J89" s="44"/>
    </x:row>
    <x:row r="90">
      <x:c r="A90" s="44"/>
      <x:c r="B90" s="44"/>
      <x:c r="C90" s="44"/>
      <x:c r="D90" s="44"/>
      <x:c r="E90" s="44"/>
      <x:c r="F90" s="44"/>
      <x:c r="G90" s="44"/>
      <x:c r="H90" s="44"/>
      <x:c r="I90" s="44"/>
      <x:c r="J90" s="44"/>
    </x:row>
    <x:row r="91">
      <x:c r="A91" s="44"/>
      <x:c r="B91" s="44"/>
      <x:c r="C91" s="44"/>
      <x:c r="D91" s="44"/>
      <x:c r="E91" s="44"/>
      <x:c r="F91" s="44"/>
      <x:c r="G91" s="44"/>
      <x:c r="H91" s="44"/>
      <x:c r="I91" s="44"/>
      <x:c r="J91" s="44"/>
    </x:row>
    <x:row r="92">
      <x:c r="A92" s="44"/>
      <x:c r="B92" s="44"/>
      <x:c r="C92" s="44"/>
      <x:c r="D92" s="44"/>
      <x:c r="E92" s="44"/>
      <x:c r="F92" s="44"/>
      <x:c r="G92" s="44"/>
      <x:c r="H92" s="44"/>
      <x:c r="I92" s="44"/>
      <x:c r="J92" s="44"/>
    </x:row>
    <x:row r="93">
      <x:c r="A93" s="44"/>
      <x:c r="B93" s="44"/>
      <x:c r="C93" s="44"/>
      <x:c r="D93" s="44"/>
      <x:c r="E93" s="44"/>
      <x:c r="F93" s="44"/>
      <x:c r="G93" s="44"/>
      <x:c r="H93" s="44"/>
      <x:c r="I93" s="44"/>
      <x:c r="J93" s="44"/>
    </x:row>
    <x:row r="94">
      <x:c r="A94" s="44"/>
      <x:c r="B94" s="44"/>
      <x:c r="C94" s="44"/>
      <x:c r="D94" s="44"/>
      <x:c r="E94" s="44"/>
      <x:c r="F94" s="44"/>
      <x:c r="G94" s="44"/>
      <x:c r="H94" s="44"/>
      <x:c r="I94" s="44"/>
      <x:c r="J94" s="44"/>
    </x:row>
    <x:row r="95">
      <x:c r="A95" s="44"/>
      <x:c r="B95" s="44"/>
      <x:c r="C95" s="44"/>
      <x:c r="D95" s="44"/>
      <x:c r="E95" s="44"/>
      <x:c r="F95" s="44"/>
      <x:c r="G95" s="44"/>
      <x:c r="H95" s="44"/>
      <x:c r="I95" s="44"/>
      <x:c r="J95" s="44"/>
    </x:row>
    <x:row r="96">
      <x:c r="A96" s="44"/>
      <x:c r="B96" s="44"/>
      <x:c r="C96" s="44"/>
      <x:c r="D96" s="44"/>
      <x:c r="E96" s="44"/>
      <x:c r="F96" s="44"/>
      <x:c r="G96" s="44"/>
      <x:c r="H96" s="44"/>
      <x:c r="I96" s="44"/>
      <x:c r="J96" s="44"/>
    </x:row>
    <x:row r="97">
      <x:c r="A97" s="44"/>
      <x:c r="B97" s="44"/>
      <x:c r="C97" s="44"/>
      <x:c r="D97" s="44"/>
      <x:c r="E97" s="44"/>
      <x:c r="F97" s="44"/>
      <x:c r="G97" s="44"/>
      <x:c r="H97" s="44"/>
      <x:c r="I97" s="44"/>
      <x:c r="J97" s="44"/>
    </x:row>
    <x:row r="98">
      <x:c r="A98" s="44"/>
      <x:c r="B98" s="44"/>
      <x:c r="C98" s="44"/>
      <x:c r="D98" s="44"/>
      <x:c r="E98" s="44"/>
      <x:c r="F98" s="44"/>
      <x:c r="G98" s="44"/>
      <x:c r="H98" s="44"/>
      <x:c r="I98" s="44"/>
      <x:c r="J98" s="44"/>
    </x:row>
    <x:row r="99">
      <x:c r="A99" s="44"/>
      <x:c r="B99" s="44"/>
      <x:c r="C99" s="44"/>
      <x:c r="D99" s="44"/>
      <x:c r="E99" s="44"/>
      <x:c r="F99" s="44"/>
      <x:c r="G99" s="44"/>
      <x:c r="H99" s="44"/>
      <x:c r="I99" s="44"/>
      <x:c r="J99" s="44"/>
    </x:row>
    <x:row r="100">
      <x:c r="A100" s="45"/>
      <x:c r="B100" s="45"/>
      <x:c r="C100" s="45"/>
      <x:c r="D100" s="45"/>
      <x:c r="E100" s="45"/>
      <x:c r="F100" s="45"/>
      <x:c r="G100" s="45"/>
      <x:c r="H100" s="45"/>
      <x:c r="I100" s="45"/>
      <x:c r="J100" s="45"/>
    </x:row>
  </x:sheetData>
  <x:mergeCells>
    <x:mergeCell ref="A1:J1"/>
    <x:mergeCell ref="A2:J2"/>
  </x:mergeCells>
  <x:conditionalFormatting sqref="M5:M31">
    <x:cfRule type="expression" dxfId="24" priority="1">
      <x:formula>ISNUMBER(SEARCH("SEPARAR",M5))</x:formula>
    </x:cfRule>
    <x:cfRule type="expression" dxfId="25" priority="2">
      <x:formula>ISNUMBER(SEARCH("REESCRIBIR",M5))</x:formula>
    </x:cfRule>
  </x:conditionalFormatting>
  <x:dataValidations count="3">
    <x:dataValidation type="list" sqref="A5:A100">
      <x:formula1>"TRL,CRL"</x:formula1>
    </x:dataValidation>
    <x:dataValidation type="list" sqref="B5:B100">
      <x:formula1>"1,2,3,4,5,6,7,8,9"</x:formula1>
    </x:dataValidation>
    <x:dataValidation type="list" sqref="I5:I100">
      <x:formula1>"Por validar CEDIA,Validado CEDIA,No aplica"</x:formula1>
    </x:dataValidation>
  </x:dataValidations>
  <x:pageMargins left="0.7" right="0.7" top="0.75" bottom="0.75" header="0.3" footer="0.3"/>
  <x:tableParts count="1">
    <x:tablePart xmlns:r="http://schemas.openxmlformats.org/officeDocument/2006/relationships" r:id="R126f8badb26e4bcf"/>
  </x:tableParts>
</x:worksheet>
</file>

<file path=xl/worksheets/sheet5.xml><?xml version="1.0" encoding="utf-8"?>
<x:worksheet xmlns:x="http://schemas.openxmlformats.org/spreadsheetml/2006/main">
  <x:sheetFormatPr defaultRowHeight="15"/>
  <x:cols>
    <x:col min="1" max="1" width="15" hidden="0" customWidth="1"/>
    <x:col min="2" max="2" width="28" hidden="0" customWidth="1"/>
    <x:col min="3" max="3" width="18" hidden="0" customWidth="1"/>
    <x:col min="4" max="4" width="34" hidden="0" customWidth="1"/>
    <x:col min="5" max="5" width="24" hidden="0" customWidth="1"/>
    <x:col min="6" max="6" width="18" hidden="0" customWidth="1"/>
    <x:col min="7" max="7" width="18" hidden="0" customWidth="1"/>
    <x:col min="8" max="8" width="20" hidden="0" customWidth="1"/>
    <x:col min="9" max="9" width="34" hidden="0" customWidth="1"/>
    <x:col min="10" max="10" width="18" hidden="0" customWidth="1"/>
    <x:col min="11" max="11" width="12" hidden="0" customWidth="1"/>
    <x:col min="12" max="12" width="20" hidden="0" customWidth="1"/>
    <x:col min="13" max="13" width="28" hidden="0" customWidth="1"/>
    <x:col min="14" max="14" width="30" hidden="0" customWidth="1"/>
  </x:cols>
  <x:sheetData>
    <x:row r="1" ht="28" customHeight="1">
      <x:c r="A1" s="6" t="str">
        <x:v>04 — DICCIONARIO DE EVIDENCIAS</x:v>
      </x:c>
      <x:c r="B1" s="6" t="str">
        <x:v>04 — DICCIONARIO DE EVIDENCIAS</x:v>
      </x:c>
      <x:c r="C1" s="6" t="str">
        <x:v>04 — DICCIONARIO DE EVIDENCIAS</x:v>
      </x:c>
      <x:c r="D1" s="6" t="str">
        <x:v>04 — DICCIONARIO DE EVIDENCIAS</x:v>
      </x:c>
      <x:c r="E1" s="6" t="str">
        <x:v>04 — DICCIONARIO DE EVIDENCIAS</x:v>
      </x:c>
      <x:c r="F1" s="6" t="str">
        <x:v>04 — DICCIONARIO DE EVIDENCIAS</x:v>
      </x:c>
      <x:c r="G1" s="6" t="str">
        <x:v>04 — DICCIONARIO DE EVIDENCIAS</x:v>
      </x:c>
      <x:c r="H1" s="6" t="str">
        <x:v>04 — DICCIONARIO DE EVIDENCIAS</x:v>
      </x:c>
      <x:c r="I1" s="6" t="str">
        <x:v>04 — DICCIONARIO DE EVIDENCIAS</x:v>
      </x:c>
      <x:c r="J1" s="6" t="str">
        <x:v>04 — DICCIONARIO DE EVIDENCIAS</x:v>
      </x:c>
      <x:c r="K1" s="6" t="str">
        <x:v>04 — DICCIONARIO DE EVIDENCIAS</x:v>
      </x:c>
      <x:c r="L1" s="6" t="str">
        <x:v>04 — DICCIONARIO DE EVIDENCIAS</x:v>
      </x:c>
      <x:c r="M1" s="6" t="str">
        <x:v>04 — DICCIONARIO DE EVIDENCIAS</x:v>
      </x:c>
      <x:c r="N1" s="6" t="str">
        <x:v>04 — DICCIONARIO DE EVIDENCIAS</x:v>
      </x:c>
    </x:row>
    <x:row r="2" ht="35" customHeight="1">
      <x:c r="A2" s="15" t="str">
        <x:v>Registra qué evidencia debe generar o presentar un usuario. Diferencia entre 'resultado de una herramienta' y 'evidencia suficiente para una decisión o avance'.</x:v>
      </x:c>
      <x:c r="B2" s="15" t="str">
        <x:v>Registra qué evidencia debe generar o presentar un usuario. Diferencia entre 'resultado de una herramienta' y 'evidencia suficiente para una decisión o avance'.</x:v>
      </x:c>
      <x:c r="C2" s="15" t="str">
        <x:v>Registra qué evidencia debe generar o presentar un usuario. Diferencia entre 'resultado de una herramienta' y 'evidencia suficiente para una decisión o avance'.</x:v>
      </x:c>
      <x:c r="D2" s="15" t="str">
        <x:v>Registra qué evidencia debe generar o presentar un usuario. Diferencia entre 'resultado de una herramienta' y 'evidencia suficiente para una decisión o avance'.</x:v>
      </x:c>
      <x:c r="E2" s="15" t="str">
        <x:v>Registra qué evidencia debe generar o presentar un usuario. Diferencia entre 'resultado de una herramienta' y 'evidencia suficiente para una decisión o avance'.</x:v>
      </x:c>
      <x:c r="F2" s="15" t="str">
        <x:v>Registra qué evidencia debe generar o presentar un usuario. Diferencia entre 'resultado de una herramienta' y 'evidencia suficiente para una decisión o avance'.</x:v>
      </x:c>
      <x:c r="G2" s="15" t="str">
        <x:v>Registra qué evidencia debe generar o presentar un usuario. Diferencia entre 'resultado de una herramienta' y 'evidencia suficiente para una decisión o avance'.</x:v>
      </x:c>
      <x:c r="H2" s="15" t="str">
        <x:v>Registra qué evidencia debe generar o presentar un usuario. Diferencia entre 'resultado de una herramienta' y 'evidencia suficiente para una decisión o avance'.</x:v>
      </x:c>
      <x:c r="I2" s="15" t="str">
        <x:v>Registra qué evidencia debe generar o presentar un usuario. Diferencia entre 'resultado de una herramienta' y 'evidencia suficiente para una decisión o avance'.</x:v>
      </x:c>
      <x:c r="J2" s="15" t="str">
        <x:v>Registra qué evidencia debe generar o presentar un usuario. Diferencia entre 'resultado de una herramienta' y 'evidencia suficiente para una decisión o avance'.</x:v>
      </x:c>
      <x:c r="K2" s="15" t="str">
        <x:v>Registra qué evidencia debe generar o presentar un usuario. Diferencia entre 'resultado de una herramienta' y 'evidencia suficiente para una decisión o avance'.</x:v>
      </x:c>
      <x:c r="L2" s="15" t="str">
        <x:v>Registra qué evidencia debe generar o presentar un usuario. Diferencia entre 'resultado de una herramienta' y 'evidencia suficiente para una decisión o avance'.</x:v>
      </x:c>
      <x:c r="M2" s="15" t="str">
        <x:v>Registra qué evidencia debe generar o presentar un usuario. Diferencia entre 'resultado de una herramienta' y 'evidencia suficiente para una decisión o avance'.</x:v>
      </x:c>
      <x:c r="N2" s="15" t="str">
        <x:v>Registra qué evidencia debe generar o presentar un usuario. Diferencia entre 'resultado de una herramienta' y 'evidencia suficiente para una decisión o avance'.</x:v>
      </x:c>
    </x:row>
    <x:row r="4" ht="34" customHeight="1">
      <x:c r="A4" s="28" t="str">
        <x:v>ID_EVIDENCIA</x:v>
      </x:c>
      <x:c r="B4" s="55" t="str">
        <x:v>NOMBRE_EVIDENCIA</x:v>
      </x:c>
      <x:c r="C4" s="55" t="str">
        <x:v>TIPO_EVIDENCIA</x:v>
      </x:c>
      <x:c r="D4" s="55" t="str">
        <x:v>DESCRIPCION</x:v>
      </x:c>
      <x:c r="E4" s="55" t="str">
        <x:v>FORMATO_ESPERADO</x:v>
      </x:c>
      <x:c r="F4" s="55" t="str">
        <x:v>ID_HERRAMIENTA_ORIGEN</x:v>
      </x:c>
      <x:c r="G4" s="55" t="str">
        <x:v>ID_BRECHA_QUE_ABORDA</x:v>
      </x:c>
      <x:c r="H4" s="55" t="str">
        <x:v>NIVEL_MADUREZ_RELACIONADO</x:v>
      </x:c>
      <x:c r="I4" s="55" t="str">
        <x:v>CRITERIO_CALIDAD</x:v>
      </x:c>
      <x:c r="J4" s="55" t="str">
        <x:v>QUIEN_VALIDA</x:v>
      </x:c>
      <x:c r="K4" s="55" t="str">
        <x:v>OBLIGATORIA</x:v>
      </x:c>
      <x:c r="L4" s="55" t="str">
        <x:v>ESTADO_VALIDACION</x:v>
      </x:c>
      <x:c r="M4" s="55" t="str">
        <x:v>FUENTE</x:v>
      </x:c>
      <x:c r="N4" s="29" t="str">
        <x:v>NOTAS</x:v>
      </x:c>
    </x:row>
    <x:row r="5">
      <x:c r="A5" s="136" t="str">
        <x:v>EV-001</x:v>
      </x:c>
      <x:c r="B5" s="136" t="str">
        <x:v>Árbol de Problemas.</x:v>
      </x:c>
      <x:c r="C5" s="136" t="str">
        <x:v>Documento / Lienzo</x:v>
      </x:c>
      <x:c r="D5" s="136" t="str">
        <x:v>Árbol de Problemas completado.</x:v>
      </x:c>
      <x:c r="E5" s="136" t="str">
        <x:v>Registro estructurado en la aplicación o archivo equivalente</x:v>
      </x:c>
      <x:c r="F5" s="136" t="str">
        <x:v>IDE-001</x:v>
      </x:c>
      <x:c r="G5" s="136" t="str">
        <x:v>B-PRO-001</x:v>
      </x:c>
      <x:c r="H5" s="136" t="str">
        <x:v>Por validar</x:v>
      </x:c>
      <x:c r="I5" s="136" t="str">
        <x:v>Existe una única problemática central claramente definida y se han organizado causas y efectos relacionados.</x:v>
      </x:c>
      <x:c r="J5" s="136" t="str">
        <x:v>Por definir</x:v>
      </x:c>
      <x:c r="K5" s="136" t="str">
        <x:v>Condicional</x:v>
      </x:c>
      <x:c r="L5" s="136" t="str">
        <x:v>Preliminar</x:v>
      </x:c>
      <x:c r="M5" s="136" t="str">
        <x:v>IDEACIÓN - ÁRBOL DE PROBLEMAS.pdf</x:v>
      </x:c>
      <x:c r="N5" s="136" t="str">
        <x:v>Evidencia propuesta a partir de la salida y estructura documentadas por CEDIA.</x:v>
      </x:c>
    </x:row>
    <x:row r="6">
      <x:c r="A6" s="136" t="str">
        <x:v>EV-002</x:v>
      </x:c>
      <x:c r="B6" s="136" t="str">
        <x:v>Registro de ideas generadas y selección/priorización posterior.</x:v>
      </x:c>
      <x:c r="C6" s="136" t="str">
        <x:v>Documento / Lienzo</x:v>
      </x:c>
      <x:c r="D6" s="136" t="str">
        <x:v>Registro de ideas generadas y selección/priorización posterior.</x:v>
      </x:c>
      <x:c r="E6" s="136" t="str">
        <x:v>Registro estructurado en la aplicación o archivo equivalente</x:v>
      </x:c>
      <x:c r="F6" s="136" t="str">
        <x:v>IDE-002</x:v>
      </x:c>
      <x:c r="G6" s="136" t="str">
        <x:v>B-IDE-001</x:v>
      </x:c>
      <x:c r="H6" s="136" t="str">
        <x:v>Por validar</x:v>
      </x:c>
      <x:c r="I6" s="136" t="str">
        <x:v>Se ha generado un conjunto suficiente de ideas y existe una selección de las más relevantes para continuar.</x:v>
      </x:c>
      <x:c r="J6" s="136" t="str">
        <x:v>Por definir</x:v>
      </x:c>
      <x:c r="K6" s="136" t="str">
        <x:v>Condicional</x:v>
      </x:c>
      <x:c r="L6" s="136" t="str">
        <x:v>Preliminar</x:v>
      </x:c>
      <x:c r="M6" s="136" t="str">
        <x:v>IDEACIÓN - Brainstorming.pdf</x:v>
      </x:c>
      <x:c r="N6" s="136" t="str">
        <x:v>Evidencia propuesta a partir de la salida y estructura documentadas por CEDIA.</x:v>
      </x:c>
    </x:row>
    <x:row r="7">
      <x:c r="A7" s="136" t="str">
        <x:v>EV-003</x:v>
      </x:c>
      <x:c r="B7" s="136" t="str">
        <x:v>Brief de Investigación.</x:v>
      </x:c>
      <x:c r="C7" s="136" t="str">
        <x:v>Documento / Lienzo</x:v>
      </x:c>
      <x:c r="D7" s="136" t="str">
        <x:v>Brief de Investigación completado.</x:v>
      </x:c>
      <x:c r="E7" s="136" t="str">
        <x:v>Registro estructurado en la aplicación o archivo equivalente</x:v>
      </x:c>
      <x:c r="F7" s="136" t="str">
        <x:v>IDE-003</x:v>
      </x:c>
      <x:c r="G7" s="136" t="str">
        <x:v>B-INV-001</x:v>
      </x:c>
      <x:c r="H7" s="136" t="str">
        <x:v>Por validar</x:v>
      </x:c>
      <x:c r="I7" s="136" t="str">
        <x:v>El brief contiene antecedentes, objetivo, información buscada, público, hipótesis, plan de análisis y metodología.</x:v>
      </x:c>
      <x:c r="J7" s="136" t="str">
        <x:v>Por definir</x:v>
      </x:c>
      <x:c r="K7" s="136" t="str">
        <x:v>Condicional</x:v>
      </x:c>
      <x:c r="L7" s="136" t="str">
        <x:v>Preliminar</x:v>
      </x:c>
      <x:c r="M7" s="136" t="str">
        <x:v>IDEACIÓN - Brief de investigación.pdf</x:v>
      </x:c>
      <x:c r="N7" s="136" t="str">
        <x:v>Evidencia propuesta a partir de la salida y estructura documentadas por CEDIA.</x:v>
      </x:c>
    </x:row>
    <x:row r="8">
      <x:c r="A8" s="136" t="str">
        <x:v>EV-004</x:v>
      </x:c>
      <x:c r="B8" s="136" t="str">
        <x:v>Matriz de Componentes de Preguntas Poderosas.</x:v>
      </x:c>
      <x:c r="C8" s="136" t="str">
        <x:v>Documento / Lienzo</x:v>
      </x:c>
      <x:c r="D8" s="136" t="str">
        <x:v>Matriz de Componentes de Preguntas Poderosas completada.</x:v>
      </x:c>
      <x:c r="E8" s="136" t="str">
        <x:v>Registro estructurado en la aplicación o archivo equivalente</x:v>
      </x:c>
      <x:c r="F8" s="136" t="str">
        <x:v>IDE-004</x:v>
      </x:c>
      <x:c r="G8" s="136" t="str">
        <x:v>B-INV-002</x:v>
      </x:c>
      <x:c r="H8" s="136" t="str">
        <x:v>Por validar</x:v>
      </x:c>
      <x:c r="I8" s="136" t="str">
        <x:v>Las preguntas incluyen interrogante, extensión adecuada y revisión de supuestos/proyecciones.</x:v>
      </x:c>
      <x:c r="J8" s="136" t="str">
        <x:v>Por definir</x:v>
      </x:c>
      <x:c r="K8" s="136" t="str">
        <x:v>Condicional</x:v>
      </x:c>
      <x:c r="L8" s="136" t="str">
        <x:v>Preliminar</x:v>
      </x:c>
      <x:c r="M8" s="136" t="str">
        <x:v>IDEACIÓN - Componentes de Preguntas Poderosas.pdf</x:v>
      </x:c>
      <x:c r="N8" s="136" t="str">
        <x:v>Evidencia propuesta a partir de la salida y estructura documentadas por CEDIA.</x:v>
      </x:c>
    </x:row>
    <x:row r="9">
      <x:c r="A9" s="136" t="str">
        <x:v>EV-005</x:v>
      </x:c>
      <x:c r="B9" s="136" t="str">
        <x:v>Diagrama de Ishikawa.</x:v>
      </x:c>
      <x:c r="C9" s="136" t="str">
        <x:v>Documento / Lienzo</x:v>
      </x:c>
      <x:c r="D9" s="136" t="str">
        <x:v>Diagrama de Ishikawa completado.</x:v>
      </x:c>
      <x:c r="E9" s="136" t="str">
        <x:v>Registro estructurado en la aplicación o archivo equivalente</x:v>
      </x:c>
      <x:c r="F9" s="136" t="str">
        <x:v>IDE-005</x:v>
      </x:c>
      <x:c r="G9" s="136" t="str">
        <x:v>B-PRO-002</x:v>
      </x:c>
      <x:c r="H9" s="136" t="str">
        <x:v>Por validar</x:v>
      </x:c>
      <x:c r="I9" s="136" t="str">
        <x:v>El problema está definido y las causas relevantes se encuentran organizadas en categorías y niveles de causalidad.</x:v>
      </x:c>
      <x:c r="J9" s="136" t="str">
        <x:v>Por definir</x:v>
      </x:c>
      <x:c r="K9" s="136" t="str">
        <x:v>Condicional</x:v>
      </x:c>
      <x:c r="L9" s="136" t="str">
        <x:v>Preliminar</x:v>
      </x:c>
      <x:c r="M9" s="136" t="str">
        <x:v>IDEACIÓN - Diagrama de Ishikawa.pdf</x:v>
      </x:c>
      <x:c r="N9" s="136" t="str">
        <x:v>Evidencia propuesta a partir de la salida y estructura documentadas por CEDIA.</x:v>
      </x:c>
    </x:row>
    <x:row r="10">
      <x:c r="A10" s="136" t="str">
        <x:v>EV-006</x:v>
      </x:c>
      <x:c r="B10" s="136" t="str">
        <x:v>Matriz de insights y preguntas «¿Cómo podríamos…?».</x:v>
      </x:c>
      <x:c r="C10" s="136" t="str">
        <x:v>Documento / Lienzo</x:v>
      </x:c>
      <x:c r="D10" s="136" t="str">
        <x:v>Matriz de insights y preguntas «¿Cómo podríamos…?» completada.</x:v>
      </x:c>
      <x:c r="E10" s="136" t="str">
        <x:v>Registro estructurado en la aplicación o archivo equivalente</x:v>
      </x:c>
      <x:c r="F10" s="136" t="str">
        <x:v>IDE-006</x:v>
      </x:c>
      <x:c r="G10" s="136" t="str">
        <x:v>B-IDE-002</x:v>
      </x:c>
      <x:c r="H10" s="136" t="str">
        <x:v>Por validar</x:v>
      </x:c>
      <x:c r="I10" s="136" t="str">
        <x:v>Cada insight relevante se ha traducido en una pregunta abierta que permite explorar soluciones.</x:v>
      </x:c>
      <x:c r="J10" s="136" t="str">
        <x:v>Por definir</x:v>
      </x:c>
      <x:c r="K10" s="136" t="str">
        <x:v>Condicional</x:v>
      </x:c>
      <x:c r="L10" s="136" t="str">
        <x:v>Preliminar</x:v>
      </x:c>
      <x:c r="M10" s="136" t="str">
        <x:v>IDEACIÓN - How might we.pdf</x:v>
      </x:c>
      <x:c r="N10" s="136" t="str">
        <x:v>Evidencia propuesta a partir de la salida y estructura documentadas por CEDIA.</x:v>
      </x:c>
    </x:row>
    <x:row r="11">
      <x:c r="A11" s="136" t="str">
        <x:v>EV-007</x:v>
      </x:c>
      <x:c r="B11" s="136" t="str">
        <x:v>Matriz Lotus Blossom y priorizada.</x:v>
      </x:c>
      <x:c r="C11" s="136" t="str">
        <x:v>Documento / Lienzo</x:v>
      </x:c>
      <x:c r="D11" s="136" t="str">
        <x:v>Matriz Lotus Blossom completada y priorizada.</x:v>
      </x:c>
      <x:c r="E11" s="136" t="str">
        <x:v>Registro estructurado en la aplicación o archivo equivalente</x:v>
      </x:c>
      <x:c r="F11" s="136" t="str">
        <x:v>IDE-007</x:v>
      </x:c>
      <x:c r="G11" s="136" t="str">
        <x:v>B-IDE-003</x:v>
      </x:c>
      <x:c r="H11" s="136" t="str">
        <x:v>Por validar</x:v>
      </x:c>
      <x:c r="I11" s="136" t="str">
        <x:v>El concepto central fue expandido en ideas relacionadas y se realizó una priorización final.</x:v>
      </x:c>
      <x:c r="J11" s="136" t="str">
        <x:v>Por definir</x:v>
      </x:c>
      <x:c r="K11" s="136" t="str">
        <x:v>Condicional</x:v>
      </x:c>
      <x:c r="L11" s="136" t="str">
        <x:v>Preliminar</x:v>
      </x:c>
      <x:c r="M11" s="136" t="str">
        <x:v>IDEACIÓN - Lotus Blossom.pdf</x:v>
      </x:c>
      <x:c r="N11" s="136" t="str">
        <x:v>Evidencia propuesta a partir de la salida y estructura documentadas por CEDIA.</x:v>
      </x:c>
    </x:row>
    <x:row r="12">
      <x:c r="A12" s="136" t="str">
        <x:v>EV-008</x:v>
      </x:c>
      <x:c r="B12" s="136" t="str">
        <x:v>Lienzo de Planteamiento del Problema.</x:v>
      </x:c>
      <x:c r="C12" s="136" t="str">
        <x:v>Documento / Lienzo</x:v>
      </x:c>
      <x:c r="D12" s="136" t="str">
        <x:v>Lienzo de Planteamiento del Problema completado.</x:v>
      </x:c>
      <x:c r="E12" s="136" t="str">
        <x:v>Registro estructurado en la aplicación o archivo equivalente</x:v>
      </x:c>
      <x:c r="F12" s="136" t="str">
        <x:v>IDE-008</x:v>
      </x:c>
      <x:c r="G12" s="136" t="str">
        <x:v>B-PRO-003</x:v>
      </x:c>
      <x:c r="H12" s="136" t="str">
        <x:v>Por validar</x:v>
      </x:c>
      <x:c r="I12" s="136" t="str">
        <x:v>Los seis elementos están definidos de forma coherente y sin anticipar una solución específica en el beneficio deseado.</x:v>
      </x:c>
      <x:c r="J12" s="136" t="str">
        <x:v>Por definir</x:v>
      </x:c>
      <x:c r="K12" s="136" t="str">
        <x:v>Condicional</x:v>
      </x:c>
      <x:c r="L12" s="136" t="str">
        <x:v>Preliminar</x:v>
      </x:c>
      <x:c r="M12" s="136" t="str">
        <x:v>IDEACIÓN - Planteamiento del Problema.pdf</x:v>
      </x:c>
      <x:c r="N12" s="136" t="str">
        <x:v>Evidencia propuesta a partir de la salida y estructura documentadas por CEDIA.</x:v>
      </x:c>
    </x:row>
    <x:row r="13">
      <x:c r="A13" s="136" t="str">
        <x:v>EV-009</x:v>
      </x:c>
      <x:c r="B13" s="136" t="str">
        <x:v>Ficha de Buyer Persona.</x:v>
      </x:c>
      <x:c r="C13" s="136" t="str">
        <x:v>Documento / Lienzo</x:v>
      </x:c>
      <x:c r="D13" s="136" t="str">
        <x:v>Ficha de Buyer Persona completada.</x:v>
      </x:c>
      <x:c r="E13" s="136" t="str">
        <x:v>Registro estructurado en la aplicación o archivo equivalente</x:v>
      </x:c>
      <x:c r="F13" s="136" t="str">
        <x:v>MKT-001</x:v>
      </x:c>
      <x:c r="G13" s="136" t="str">
        <x:v>B-MER-001</x:v>
      </x:c>
      <x:c r="H13" s="136" t="str">
        <x:v>Por validar</x:v>
      </x:c>
      <x:c r="I13" s="136" t="str">
        <x:v>El perfil contiene los elementos definidos por la herramienta y representa un segmento específico con necesidades particulares.</x:v>
      </x:c>
      <x:c r="J13" s="136" t="str">
        <x:v>Por definir</x:v>
      </x:c>
      <x:c r="K13" s="136" t="str">
        <x:v>Condicional</x:v>
      </x:c>
      <x:c r="L13" s="136" t="str">
        <x:v>Preliminar</x:v>
      </x:c>
      <x:c r="M13" s="136" t="str">
        <x:v>MARKETING - Buyer Persona.pdf</x:v>
      </x:c>
      <x:c r="N13" s="136" t="str">
        <x:v>Evidencia propuesta a partir de la salida y estructura documentadas por CEDIA.</x:v>
      </x:c>
    </x:row>
    <x:row r="14">
      <x:c r="A14" s="136" t="str">
        <x:v>EV-010</x:v>
      </x:c>
      <x:c r="B14" s="136" t="str">
        <x:v>Lienzo de Círculo de Oro.</x:v>
      </x:c>
      <x:c r="C14" s="136" t="str">
        <x:v>Documento / Lienzo</x:v>
      </x:c>
      <x:c r="D14" s="136" t="str">
        <x:v>Lienzo de Círculo de Oro completado.</x:v>
      </x:c>
      <x:c r="E14" s="136" t="str">
        <x:v>Registro estructurado en la aplicación o archivo equivalente</x:v>
      </x:c>
      <x:c r="F14" s="136" t="str">
        <x:v>MKT-002</x:v>
      </x:c>
      <x:c r="G14" s="136" t="str">
        <x:v>B-COM-001</x:v>
      </x:c>
      <x:c r="H14" s="136" t="str">
        <x:v>Por validar</x:v>
      </x:c>
      <x:c r="I14" s="136" t="str">
        <x:v>Qué, cómo y por qué están definidos y permiten formular una declaración de propósito coherente.</x:v>
      </x:c>
      <x:c r="J14" s="136" t="str">
        <x:v>Por definir</x:v>
      </x:c>
      <x:c r="K14" s="136" t="str">
        <x:v>Condicional</x:v>
      </x:c>
      <x:c r="L14" s="136" t="str">
        <x:v>Preliminar</x:v>
      </x:c>
      <x:c r="M14" s="136" t="str">
        <x:v>MARKETING - Circulo de Oro.pdf</x:v>
      </x:c>
      <x:c r="N14" s="136" t="str">
        <x:v>Evidencia propuesta a partir de la salida y estructura documentadas por CEDIA.</x:v>
      </x:c>
    </x:row>
    <x:row r="15">
      <x:c r="A15" s="136" t="str">
        <x:v>EV-011</x:v>
      </x:c>
      <x:c r="B15" s="136" t="str">
        <x:v>Matriz FODA.</x:v>
      </x:c>
      <x:c r="C15" s="136" t="str">
        <x:v>Documento / Lienzo</x:v>
      </x:c>
      <x:c r="D15" s="136" t="str">
        <x:v>Matriz FODA completada.</x:v>
      </x:c>
      <x:c r="E15" s="136" t="str">
        <x:v>Registro estructurado en la aplicación o archivo equivalente</x:v>
      </x:c>
      <x:c r="F15" s="136" t="str">
        <x:v>MKT-003</x:v>
      </x:c>
      <x:c r="G15" s="136" t="str">
        <x:v>B-EST-001</x:v>
      </x:c>
      <x:c r="H15" s="136" t="str">
        <x:v>Por validar</x:v>
      </x:c>
      <x:c r="I15" s="136" t="str">
        <x:v>Se han identificado y diferenciado factores internos (F/D) y externos (O/A) relevantes para el negocio.</x:v>
      </x:c>
      <x:c r="J15" s="136" t="str">
        <x:v>Por definir</x:v>
      </x:c>
      <x:c r="K15" s="136" t="str">
        <x:v>Condicional</x:v>
      </x:c>
      <x:c r="L15" s="136" t="str">
        <x:v>Preliminar</x:v>
      </x:c>
      <x:c r="M15" s="136" t="str">
        <x:v>MARKETING - FODA.pdf</x:v>
      </x:c>
      <x:c r="N15" s="136" t="str">
        <x:v>Evidencia propuesta a partir de la salida y estructura documentadas por CEDIA.</x:v>
      </x:c>
    </x:row>
    <x:row r="16">
      <x:c r="A16" s="136" t="str">
        <x:v>EV-012</x:v>
      </x:c>
      <x:c r="B16" s="136" t="str">
        <x:v>Mapa de Posicionamiento con ejes y actores ubicados.</x:v>
      </x:c>
      <x:c r="C16" s="136" t="str">
        <x:v>Documento / Lienzo</x:v>
      </x:c>
      <x:c r="D16" s="136" t="str">
        <x:v>Mapa de Posicionamiento completado con ejes y actores ubicados.</x:v>
      </x:c>
      <x:c r="E16" s="136" t="str">
        <x:v>Registro estructurado en la aplicación o archivo equivalente</x:v>
      </x:c>
      <x:c r="F16" s="136" t="str">
        <x:v>MKT-004</x:v>
      </x:c>
      <x:c r="G16" s="136" t="str">
        <x:v>B-POS-001</x:v>
      </x:c>
      <x:c r="H16" s="136" t="str">
        <x:v>Por validar</x:v>
      </x:c>
      <x:c r="I16" s="136" t="str">
        <x:v>Los ejes representan atributos relevantes y la posición de competidores y marca propia está justificada con información de mercado/percepción.</x:v>
      </x:c>
      <x:c r="J16" s="136" t="str">
        <x:v>Por definir</x:v>
      </x:c>
      <x:c r="K16" s="136" t="str">
        <x:v>Condicional</x:v>
      </x:c>
      <x:c r="L16" s="136" t="str">
        <x:v>Preliminar</x:v>
      </x:c>
      <x:c r="M16" s="136" t="str">
        <x:v>MARKETING - Mapa de Posicionamiento.pdf</x:v>
      </x:c>
      <x:c r="N16" s="136" t="str">
        <x:v>Evidencia propuesta a partir de la salida y estructura documentadas por CEDIA.</x:v>
      </x:c>
    </x:row>
    <x:row r="17">
      <x:c r="A17" s="136" t="str">
        <x:v>EV-013</x:v>
      </x:c>
      <x:c r="B17" s="136" t="str">
        <x:v>Pitch Canvas.</x:v>
      </x:c>
      <x:c r="C17" s="136" t="str">
        <x:v>Documento / Lienzo</x:v>
      </x:c>
      <x:c r="D17" s="136" t="str">
        <x:v>Pitch Canvas completado.</x:v>
      </x:c>
      <x:c r="E17" s="136" t="str">
        <x:v>Registro estructurado en la aplicación o archivo equivalente</x:v>
      </x:c>
      <x:c r="F17" s="136" t="str">
        <x:v>MKT-005</x:v>
      </x:c>
      <x:c r="G17" s="136" t="str">
        <x:v>B-COM-002</x:v>
      </x:c>
      <x:c r="H17" s="136" t="str">
        <x:v>Por validar</x:v>
      </x:c>
      <x:c r="I17" s="136" t="str">
        <x:v>Los 11 bloques están cubiertos y permiten comunicar el proyecto de forma clara y concisa.</x:v>
      </x:c>
      <x:c r="J17" s="136" t="str">
        <x:v>Por definir</x:v>
      </x:c>
      <x:c r="K17" s="136" t="str">
        <x:v>Condicional</x:v>
      </x:c>
      <x:c r="L17" s="136" t="str">
        <x:v>Preliminar</x:v>
      </x:c>
      <x:c r="M17" s="136" t="str">
        <x:v>MARKETING - Pitch Canvas.pdf</x:v>
      </x:c>
      <x:c r="N17" s="136" t="str">
        <x:v>Evidencia propuesta a partir de la salida y estructura documentadas por CEDIA.</x:v>
      </x:c>
    </x:row>
    <x:row r="18">
      <x:c r="A18" s="136" t="str">
        <x:v>EV-014</x:v>
      </x:c>
      <x:c r="B18" s="136" t="str">
        <x:v>Lienzo Job To Be Done.</x:v>
      </x:c>
      <x:c r="C18" s="136" t="str">
        <x:v>Documento / Lienzo</x:v>
      </x:c>
      <x:c r="D18" s="136" t="str">
        <x:v>Lienzo Job To Be Done completado.</x:v>
      </x:c>
      <x:c r="E18" s="136" t="str">
        <x:v>Registro estructurado en la aplicación o archivo equivalente</x:v>
      </x:c>
      <x:c r="F18" s="136" t="str">
        <x:v>PRO-001</x:v>
      </x:c>
      <x:c r="G18" s="136" t="str">
        <x:v>B-USR-001</x:v>
      </x:c>
      <x:c r="H18" s="136" t="str">
        <x:v>Por validar</x:v>
      </x:c>
      <x:c r="I18" s="136" t="str">
        <x:v>Los trabajos están clasificados y priorizados y existe una formulación clara de usuario-necesidad-job.</x:v>
      </x:c>
      <x:c r="J18" s="136" t="str">
        <x:v>Por definir</x:v>
      </x:c>
      <x:c r="K18" s="136" t="str">
        <x:v>Condicional</x:v>
      </x:c>
      <x:c r="L18" s="136" t="str">
        <x:v>Preliminar</x:v>
      </x:c>
      <x:c r="M18" s="136" t="str">
        <x:v>PROTOTIPADO - Job To Be Donde.pdf</x:v>
      </x:c>
      <x:c r="N18" s="136" t="str">
        <x:v>Evidencia propuesta a partir de la salida y estructura documentadas por CEDIA.</x:v>
      </x:c>
    </x:row>
    <x:row r="19">
      <x:c r="A19" s="136" t="str">
        <x:v>EV-015</x:v>
      </x:c>
      <x:c r="B19" s="136" t="str">
        <x:v>Mapa de Empatía.</x:v>
      </x:c>
      <x:c r="C19" s="136" t="str">
        <x:v>Documento / Lienzo</x:v>
      </x:c>
      <x:c r="D19" s="136" t="str">
        <x:v>Mapa de Empatía completado.</x:v>
      </x:c>
      <x:c r="E19" s="136" t="str">
        <x:v>Registro estructurado en la aplicación o archivo equivalente</x:v>
      </x:c>
      <x:c r="F19" s="136" t="str">
        <x:v>PRO-002</x:v>
      </x:c>
      <x:c r="G19" s="136" t="str">
        <x:v>B-USR-002</x:v>
      </x:c>
      <x:c r="H19" s="136" t="str">
        <x:v>Por validar</x:v>
      </x:c>
      <x:c r="I19" s="136" t="str">
        <x:v>Los seis bloques están documentados y permiten describir motivaciones, barreras, entorno y comportamientos del cliente.</x:v>
      </x:c>
      <x:c r="J19" s="136" t="str">
        <x:v>Por definir</x:v>
      </x:c>
      <x:c r="K19" s="136" t="str">
        <x:v>Condicional</x:v>
      </x:c>
      <x:c r="L19" s="136" t="str">
        <x:v>Preliminar</x:v>
      </x:c>
      <x:c r="M19" s="136" t="str">
        <x:v>PROTOTIPADO - Mapa de Empatía.pdf</x:v>
      </x:c>
      <x:c r="N19" s="136" t="str">
        <x:v>Evidencia propuesta a partir de la salida y estructura documentadas por CEDIA.</x:v>
      </x:c>
    </x:row>
    <x:row r="20">
      <x:c r="A20" s="136" t="str">
        <x:v>EV-016</x:v>
      </x:c>
      <x:c r="B20" s="136" t="str">
        <x:v>Lienzo «¿Qué debe hacer mi solución?».</x:v>
      </x:c>
      <x:c r="C20" s="136" t="str">
        <x:v>Documento / Lienzo</x:v>
      </x:c>
      <x:c r="D20" s="136" t="str">
        <x:v>Lienzo «¿Qué debe hacer mi solución?» completado.</x:v>
      </x:c>
      <x:c r="E20" s="136" t="str">
        <x:v>Registro estructurado en la aplicación o archivo equivalente</x:v>
      </x:c>
      <x:c r="F20" s="136" t="str">
        <x:v>PRO-003</x:v>
      </x:c>
      <x:c r="G20" s="136" t="str">
        <x:v>B-SOL-001</x:v>
      </x:c>
      <x:c r="H20" s="136" t="str">
        <x:v>Por validar</x:v>
      </x:c>
      <x:c r="I20" s="136" t="str">
        <x:v>El trabajo a resolver y los atributos de la solución están vinculados con necesidades del cliente y se han considerado alternativas actuales.</x:v>
      </x:c>
      <x:c r="J20" s="136" t="str">
        <x:v>Por definir</x:v>
      </x:c>
      <x:c r="K20" s="136" t="str">
        <x:v>Condicional</x:v>
      </x:c>
      <x:c r="L20" s="136" t="str">
        <x:v>Preliminar</x:v>
      </x:c>
      <x:c r="M20" s="136" t="str">
        <x:v>PROTOTIPADO - Que debe hacer mi solución.docx.pdf</x:v>
      </x:c>
      <x:c r="N20" s="136" t="str">
        <x:v>Evidencia propuesta a partir de la salida y estructura documentadas por CEDIA.</x:v>
      </x:c>
    </x:row>
    <x:row r="21">
      <x:c r="A21" s="136" t="str">
        <x:v>EV-017</x:v>
      </x:c>
      <x:c r="B21" s="136" t="str">
        <x:v>Matriz/listado de Requisitos de Solución.</x:v>
      </x:c>
      <x:c r="C21" s="136" t="str">
        <x:v>Documento / Lienzo</x:v>
      </x:c>
      <x:c r="D21" s="136" t="str">
        <x:v>Matriz/listado de Requisitos de Solución completado.</x:v>
      </x:c>
      <x:c r="E21" s="136" t="str">
        <x:v>Registro estructurado en la aplicación o archivo equivalente</x:v>
      </x:c>
      <x:c r="F21" s="136" t="str">
        <x:v>PRO-004</x:v>
      </x:c>
      <x:c r="G21" s="136" t="str">
        <x:v>B-SOL-002</x:v>
      </x:c>
      <x:c r="H21" s="136" t="str">
        <x:v>Por validar</x:v>
      </x:c>
      <x:c r="I21" s="136" t="str">
        <x:v>Las tres categorías de requisitos han sido definidas con criterios suficientes para orientar diseño y mejora.</x:v>
      </x:c>
      <x:c r="J21" s="136" t="str">
        <x:v>Por definir</x:v>
      </x:c>
      <x:c r="K21" s="136" t="str">
        <x:v>Condicional</x:v>
      </x:c>
      <x:c r="L21" s="136" t="str">
        <x:v>Preliminar</x:v>
      </x:c>
      <x:c r="M21" s="136" t="str">
        <x:v>PROTOTIPADO - Requisitos de Solución.pdf</x:v>
      </x:c>
      <x:c r="N21" s="136" t="str">
        <x:v>Evidencia propuesta a partir de la salida y estructura documentadas por CEDIA.</x:v>
      </x:c>
    </x:row>
    <x:row r="22">
      <x:c r="A22" s="136" t="str">
        <x:v>EV-018</x:v>
      </x:c>
      <x:c r="B22" s="136" t="str">
        <x:v>Storyboard con viñetas, descripciones y observaciones.</x:v>
      </x:c>
      <x:c r="C22" s="136" t="str">
        <x:v>Documento / Lienzo</x:v>
      </x:c>
      <x:c r="D22" s="136" t="str">
        <x:v>Storyboard completado con viñetas, descripciones y observaciones.</x:v>
      </x:c>
      <x:c r="E22" s="136" t="str">
        <x:v>Registro estructurado en la aplicación o archivo equivalente</x:v>
      </x:c>
      <x:c r="F22" s="136" t="str">
        <x:v>PRO-005</x:v>
      </x:c>
      <x:c r="G22" s="136" t="str">
        <x:v>B-PROTO-001</x:v>
      </x:c>
      <x:c r="H22" s="136" t="str">
        <x:v>Por validar</x:v>
      </x:c>
      <x:c r="I22" s="136" t="str">
        <x:v>La secuencia representa de forma comprensible la interacción y registra puntos de fricción, insights o mejoras potenciales.</x:v>
      </x:c>
      <x:c r="J22" s="136" t="str">
        <x:v>Por definir</x:v>
      </x:c>
      <x:c r="K22" s="136" t="str">
        <x:v>Condicional</x:v>
      </x:c>
      <x:c r="L22" s="136" t="str">
        <x:v>Preliminar</x:v>
      </x:c>
      <x:c r="M22" s="136" t="str">
        <x:v>PROTOTIPADO - Storyboard.pdf</x:v>
      </x:c>
      <x:c r="N22" s="136" t="str">
        <x:v>Evidencia propuesta a partir de la salida y estructura documentadas por CEDIA.</x:v>
      </x:c>
    </x:row>
    <x:row r="23">
      <x:c r="A23" s="137" t="str">
        <x:v>EV-019</x:v>
      </x:c>
      <x:c r="B23" s="137" t="str">
        <x:v>Lienzo Tres Lupas con análisis de las tres perspectivas.</x:v>
      </x:c>
      <x:c r="C23" s="137" t="str">
        <x:v>Documento / Lienzo</x:v>
      </x:c>
      <x:c r="D23" s="137" t="str">
        <x:v>Lienzo Tres Lupas completado con análisis de las tres perspectivas.</x:v>
      </x:c>
      <x:c r="E23" s="137" t="str">
        <x:v>Registro estructurado en la aplicación o archivo equivalente</x:v>
      </x:c>
      <x:c r="F23" s="137" t="str">
        <x:v>PRO-006</x:v>
      </x:c>
      <x:c r="G23" s="137" t="str">
        <x:v>B-VIA-001</x:v>
      </x:c>
      <x:c r="H23" s="137" t="str">
        <x:v>Por validar</x:v>
      </x:c>
      <x:c r="I23" s="137" t="str">
        <x:v>Las tres perspectivas están analizadas y se ha identificado si existe algún componente que deba fortalecerse antes de continuar.</x:v>
      </x:c>
      <x:c r="J23" s="137" t="str">
        <x:v>Por definir</x:v>
      </x:c>
      <x:c r="K23" s="137" t="str">
        <x:v>Condicional</x:v>
      </x:c>
      <x:c r="L23" s="137" t="str">
        <x:v>Preliminar</x:v>
      </x:c>
      <x:c r="M23" s="137" t="str">
        <x:v>PROTOTIPADO - Tres Lupas.pdf</x:v>
      </x:c>
      <x:c r="N23" s="137" t="str">
        <x:v>Evidencia propuesta a partir de la salida y estructura documentadas por CEDIA.</x:v>
      </x:c>
    </x:row>
    <x:row r="24">
      <x:c r="A24" s="136" t="str">
        <x:v>EV-020</x:v>
      </x:c>
      <x:c r="B24" s="136" t="str">
        <x:v>Business Model Canvas.</x:v>
      </x:c>
      <x:c r="C24" s="136" t="str">
        <x:v>Documento / Lienzo</x:v>
      </x:c>
      <x:c r="D24" s="136" t="str">
        <x:v>Business Model Canvas completado.</x:v>
      </x:c>
      <x:c r="E24" s="136" t="str">
        <x:v>Registro estructurado en la aplicación o archivo equivalente</x:v>
      </x:c>
      <x:c r="F24" s="136" t="str">
        <x:v>NEG-001</x:v>
      </x:c>
      <x:c r="G24" s="136" t="str">
        <x:v>B-NEG-001</x:v>
      </x:c>
      <x:c r="H24" s="136" t="str">
        <x:v>Por validar</x:v>
      </x:c>
      <x:c r="I24" s="136" t="str">
        <x:v>Los nueve bloques están definidos y existe coherencia básica entre segmento, propuesta de valor, forma de entrega, operación, ingresos y costos.</x:v>
      </x:c>
      <x:c r="J24" s="136" t="str">
        <x:v>Por definir</x:v>
      </x:c>
      <x:c r="K24" s="136" t="str">
        <x:v>Condicional</x:v>
      </x:c>
      <x:c r="L24" s="136" t="str">
        <x:v>Preliminar</x:v>
      </x:c>
      <x:c r="M24" s="136" t="str">
        <x:v>MODELO DE NEGOCIO - Busines Model Canvas.pdf</x:v>
      </x:c>
      <x:c r="N24" s="136" t="str">
        <x:v>Evidencia propuesta a partir de la salida y estructura documentadas por CEDIA.</x:v>
      </x:c>
    </x:row>
    <x:row r="25">
      <x:c r="A25" s="136" t="str">
        <x:v>EV-021</x:v>
      </x:c>
      <x:c r="B25" s="136" t="str">
        <x:v>Lienzo de Propuesta de Valor.</x:v>
      </x:c>
      <x:c r="C25" s="136" t="str">
        <x:v>Documento / Lienzo</x:v>
      </x:c>
      <x:c r="D25" s="136" t="str">
        <x:v>Lienzo de Propuesta de Valor completado.</x:v>
      </x:c>
      <x:c r="E25" s="136" t="str">
        <x:v>Registro estructurado en la aplicación o archivo equivalente</x:v>
      </x:c>
      <x:c r="F25" s="136" t="str">
        <x:v>NEG-002</x:v>
      </x:c>
      <x:c r="G25" s="136" t="str">
        <x:v>B-VAL-001</x:v>
      </x:c>
      <x:c r="H25" s="136" t="str">
        <x:v>Por validar</x:v>
      </x:c>
      <x:c r="I25" s="136" t="str">
        <x:v>Los seis componentes están documentados y la propuesta muestra una relación clara entre lo que el cliente intenta lograr y cómo la oferta alivia frustraciones o crea beneficios.</x:v>
      </x:c>
      <x:c r="J25" s="136" t="str">
        <x:v>Por definir</x:v>
      </x:c>
      <x:c r="K25" s="136" t="str">
        <x:v>Condicional</x:v>
      </x:c>
      <x:c r="L25" s="136" t="str">
        <x:v>Preliminar</x:v>
      </x:c>
      <x:c r="M25" s="136" t="str">
        <x:v>MODELO DE NEGOCIO - Lienzo de Propuesta de Valor.pdf</x:v>
      </x:c>
      <x:c r="N25" s="136" t="str">
        <x:v>Evidencia propuesta a partir de la salida y estructura documentadas por CEDIA.</x:v>
      </x:c>
    </x:row>
    <x:row r="26">
      <x:c r="A26" s="136" t="str">
        <x:v>EV-022</x:v>
      </x:c>
      <x:c r="B26" s="136" t="str">
        <x:v>Modelo de Servucción.</x:v>
      </x:c>
      <x:c r="C26" s="136" t="str">
        <x:v>Documento / Lienzo</x:v>
      </x:c>
      <x:c r="D26" s="136" t="str">
        <x:v>Modelo de Servucción completado.</x:v>
      </x:c>
      <x:c r="E26" s="136" t="str">
        <x:v>Registro estructurado en la aplicación o archivo equivalente</x:v>
      </x:c>
      <x:c r="F26" s="136" t="str">
        <x:v>SER-001</x:v>
      </x:c>
      <x:c r="G26" s="136" t="str">
        <x:v>B-SER-001</x:v>
      </x:c>
      <x:c r="H26" s="136" t="str">
        <x:v>Por validar</x:v>
      </x:c>
      <x:c r="I26" s="136" t="str">
        <x:v>Se encuentran definidos el modelo molecular, los momentos de verdad y los componentes que intervienen en la producción y experiencia del servicio.</x:v>
      </x:c>
      <x:c r="J26" s="136" t="str">
        <x:v>Por definir</x:v>
      </x:c>
      <x:c r="K26" s="136" t="str">
        <x:v>Condicional</x:v>
      </x:c>
      <x:c r="L26" s="136" t="str">
        <x:v>Preliminar</x:v>
      </x:c>
      <x:c r="M26" s="136" t="str">
        <x:v>SERVUCCIÓN - servucción.pdf</x:v>
      </x:c>
      <x:c r="N26" s="136" t="str">
        <x:v>Evidencia propuesta a partir de la salida y estructura documentadas por CEDIA.</x:v>
      </x:c>
    </x:row>
    <x:row r="27">
      <x:c r="A27" s="136" t="str">
        <x:v>EV-023</x:v>
      </x:c>
      <x:c r="B27" s="136" t="str">
        <x:v>Mapa de intersección de tendencias y patrones.</x:v>
      </x:c>
      <x:c r="C27" s="136" t="str">
        <x:v>Documento / Lienzo</x:v>
      </x:c>
      <x:c r="D27" s="136" t="str">
        <x:v>Mapa de intersección de tendencias y patrones completado.</x:v>
      </x:c>
      <x:c r="E27" s="136" t="str">
        <x:v>Registro estructurado en la aplicación o archivo equivalente</x:v>
      </x:c>
      <x:c r="F27" s="136" t="str">
        <x:v>TEN-001</x:v>
      </x:c>
      <x:c r="G27" s="136" t="str">
        <x:v>B-TEN-001</x:v>
      </x:c>
      <x:c r="H27" s="136" t="str">
        <x:v>Por validar</x:v>
      </x:c>
      <x:c r="I27" s="136" t="str">
        <x:v>Se han seleccionado tres tendencias relevantes, descrito sus características y documentado patrones comunes que puedan traducirse en oportunidades de innovación.</x:v>
      </x:c>
      <x:c r="J27" s="136" t="str">
        <x:v>Por definir</x:v>
      </x:c>
      <x:c r="K27" s="136" t="str">
        <x:v>Condicional</x:v>
      </x:c>
      <x:c r="L27" s="136" t="str">
        <x:v>Preliminar</x:v>
      </x:c>
      <x:c r="M27" s="136" t="str">
        <x:v>TENDENCIAS - Componentes de Tendencias.pdf</x:v>
      </x:c>
      <x:c r="N27" s="136" t="str">
        <x:v>Evidencia propuesta a partir de la salida y estructura documentadas por CEDIA.</x:v>
      </x:c>
    </x:row>
    <x:row r="28">
      <x:c r="A28" s="136" t="str">
        <x:v>EV-024</x:v>
      </x:c>
      <x:c r="B28" s="136" t="str">
        <x:v>Future Compass.</x:v>
      </x:c>
      <x:c r="C28" s="136" t="str">
        <x:v>Documento / Lienzo</x:v>
      </x:c>
      <x:c r="D28" s="136" t="str">
        <x:v>Future Compass completado.</x:v>
      </x:c>
      <x:c r="E28" s="136" t="str">
        <x:v>Registro estructurado en la aplicación o archivo equivalente</x:v>
      </x:c>
      <x:c r="F28" s="136" t="str">
        <x:v>TEN-002</x:v>
      </x:c>
      <x:c r="G28" s="136" t="str">
        <x:v>B-ENT-001</x:v>
      </x:c>
      <x:c r="H28" s="136" t="str">
        <x:v>Por validar</x:v>
      </x:c>
      <x:c r="I28" s="136" t="str">
        <x:v>El problema se encuentra documentado desde múltiples perspectivas y se han registrado causas, efectos, contexto, actores y testimonios suficientes para orientar acciones posteriores.</x:v>
      </x:c>
      <x:c r="J28" s="136" t="str">
        <x:v>Por definir</x:v>
      </x:c>
      <x:c r="K28" s="136" t="str">
        <x:v>Condicional</x:v>
      </x:c>
      <x:c r="L28" s="136" t="str">
        <x:v>Preliminar</x:v>
      </x:c>
      <x:c r="M28" s="136" t="str">
        <x:v>TENDENCIAS - Future Compass.pdf</x:v>
      </x:c>
      <x:c r="N28" s="136" t="str">
        <x:v>Evidencia propuesta a partir de la salida y estructura documentadas por CEDIA.</x:v>
      </x:c>
    </x:row>
    <x:row r="29">
      <x:c r="A29" s="136" t="str">
        <x:v>EV-025</x:v>
      </x:c>
      <x:c r="B29" s="136" t="str">
        <x:v>Mapa de Tendencias analizado y documentado.</x:v>
      </x:c>
      <x:c r="C29" s="136" t="str">
        <x:v>Documento / Lienzo</x:v>
      </x:c>
      <x:c r="D29" s="136" t="str">
        <x:v>Mapa de Tendencias analizado y documentado.</x:v>
      </x:c>
      <x:c r="E29" s="136" t="str">
        <x:v>Registro estructurado en la aplicación o archivo equivalente</x:v>
      </x:c>
      <x:c r="F29" s="136" t="str">
        <x:v>TEN-003</x:v>
      </x:c>
      <x:c r="G29" s="136" t="str">
        <x:v>B-TEN-002</x:v>
      </x:c>
      <x:c r="H29" s="136" t="str">
        <x:v>Por validar</x:v>
      </x:c>
      <x:c r="I29" s="136" t="str">
        <x:v>Se ha definido el sector, seleccionado tendencias relevantes e identificado al menos patrones, convergencias o impactos que puedan orientar decisiones de innovación.</x:v>
      </x:c>
      <x:c r="J29" s="136" t="str">
        <x:v>Por definir</x:v>
      </x:c>
      <x:c r="K29" s="136" t="str">
        <x:v>Condicional</x:v>
      </x:c>
      <x:c r="L29" s="136" t="str">
        <x:v>Preliminar</x:v>
      </x:c>
      <x:c r="M29" s="136" t="str">
        <x:v>TENDENCIAS - Mapa de Tendencias.pdf</x:v>
      </x:c>
      <x:c r="N29" s="136" t="str">
        <x:v>Evidencia propuesta a partir de la salida y estructura documentadas por CEDIA.</x:v>
      </x:c>
    </x:row>
    <x:row r="30">
      <x:c r="A30" s="182" t="str">
        <x:v>EV-026</x:v>
      </x:c>
      <x:c r="B30" s="182" t="str">
        <x:v>Trend Canvas.</x:v>
      </x:c>
      <x:c r="C30" s="182" t="str">
        <x:v>Documento / Lienzo</x:v>
      </x:c>
      <x:c r="D30" s="182" t="str">
        <x:v>Trend Canvas completado.</x:v>
      </x:c>
      <x:c r="E30" s="182" t="str">
        <x:v>Registro estructurado en la aplicación o archivo equivalente</x:v>
      </x:c>
      <x:c r="F30" s="182" t="str">
        <x:v>TEN-004</x:v>
      </x:c>
      <x:c r="G30" s="182" t="str">
        <x:v>B-TEN-003</x:v>
      </x:c>
      <x:c r="H30" s="182" t="str">
        <x:v>Por validar</x:v>
      </x:c>
      <x:c r="I30" s="182" t="str">
        <x:v>La tendencia ha sido analizada y conectada con necesidades, causas, expectativas, referentes, potencial de innovación, segmento objetivo y una conceptualización inicial.</x:v>
      </x:c>
      <x:c r="J30" s="182" t="str">
        <x:v>Por definir</x:v>
      </x:c>
      <x:c r="K30" s="182" t="str">
        <x:v>Condicional</x:v>
      </x:c>
      <x:c r="L30" s="182" t="str">
        <x:v>Preliminar</x:v>
      </x:c>
      <x:c r="M30" s="182" t="str">
        <x:v>TENDENCIAS - Trend Canvas.pdf</x:v>
      </x:c>
      <x:c r="N30" s="182" t="str">
        <x:v>Evidencia propuesta a partir de la salida y estructura documentadas por CEDIA.</x:v>
      </x:c>
    </x:row>
    <x:row r="31">
      <x:c r="A31" s="408" t="str">
        <x:v>EV-027</x:v>
      </x:c>
      <x:c r="B31" s="408" t="str">
        <x:v>Mapa de hipótesis críticas priorizadas</x:v>
      </x:c>
      <x:c r="C31" s="408" t="str">
        <x:v>Documento / Matriz</x:v>
      </x:c>
      <x:c r="D31" s="408" t="str">
        <x:v>Registro de supuestos convertidos en hipótesis y priorizados por importancia/riesgo y evidencia.</x:v>
      </x:c>
      <x:c r="E31" s="408" t="str">
        <x:v>Matriz / mapa 2x2 o equivalente</x:v>
      </x:c>
      <x:c r="F31" s="408" t="str">
        <x:v>VAL-001</x:v>
      </x:c>
      <x:c r="G31" s="408" t="str">
        <x:v>B-HIP-001</x:v>
      </x:c>
      <x:c r="H31" s="408" t="str">
        <x:v>Transversal</x:v>
      </x:c>
      <x:c r="I31" s="408" t="str">
        <x:v>Cada hipótesis es testable, el criterio de prioridad es explícito y se distingue evidencia existente de opinión.</x:v>
      </x:c>
      <x:c r="J31" s="408" t="str">
        <x:v>Equipo / mentor metodológico</x:v>
      </x:c>
      <x:c r="K31" s="408" t="str">
        <x:v>Sí</x:v>
      </x:c>
      <x:c r="L31" s="408" t="str">
        <x:v>Propuesta sustentada — validar CEDIA</x:v>
      </x:c>
      <x:c r="M31" s="408" t="str">
        <x:v>Strategyzer — Assumptions Mapping</x:v>
      </x:c>
      <x:c r="N31" s="408" t="str">
        <x:v>https://www.strategyzer.com/programs/assumptions-mapping-prepare-to-test-your-business-idea-part-1</x:v>
      </x:c>
    </x:row>
    <x:row r="32">
      <x:c r="A32" s="408" t="str">
        <x:v>EV-028</x:v>
      </x:c>
      <x:c r="B32" s="408" t="str">
        <x:v>Tarjeta de Experimento</x:v>
      </x:c>
      <x:c r="C32" s="408" t="str">
        <x:v>Diseño de prueba</x:v>
      </x:c>
      <x:c r="D32" s="408" t="str">
        <x:v>Hipótesis, experimento, métrica y umbral definidos antes de ejecutar.</x:v>
      </x:c>
      <x:c r="E32" s="408" t="str">
        <x:v>Test Card / ficha estructurada</x:v>
      </x:c>
      <x:c r="F32" s="408" t="str">
        <x:v>VAL-002</x:v>
      </x:c>
      <x:c r="G32" s="408" t="str">
        <x:v>B-VAL-002</x:v>
      </x:c>
      <x:c r="H32" s="408" t="str">
        <x:v>Según hipótesis técnica o comercial</x:v>
      </x:c>
      <x:c r="I32" s="408" t="str">
        <x:v>La prueba es ejecutable, la métrica es observable y el umbral se fija antes del resultado.</x:v>
      </x:c>
      <x:c r="J32" s="408" t="str">
        <x:v>Equipo / mentor metodológico</x:v>
      </x:c>
      <x:c r="K32" s="408" t="str">
        <x:v>Sí</x:v>
      </x:c>
      <x:c r="L32" s="408" t="str">
        <x:v>Propuesta sustentada — validar CEDIA</x:v>
      </x:c>
      <x:c r="M32" s="408" t="str">
        <x:v>Strategyzer — Test Card</x:v>
      </x:c>
      <x:c r="N32" s="408" t="str">
        <x:v>https://www.strategyzer.com/library/validate-your-ideas-with-the-test-card</x:v>
      </x:c>
    </x:row>
    <x:row r="33">
      <x:c r="A33" s="408" t="str">
        <x:v>EV-029</x:v>
      </x:c>
      <x:c r="B33" s="408" t="str">
        <x:v>Tarjeta de Aprendizaje</x:v>
      </x:c>
      <x:c r="C33" s="408" t="str">
        <x:v>Registro de evidencia y decisión</x:v>
      </x:c>
      <x:c r="D33" s="408" t="str">
        <x:v>Observaciones, aprendizaje y decisión derivados de un experimento ejecutado.</x:v>
      </x:c>
      <x:c r="E33" s="408" t="str">
        <x:v>Learning Card / ficha estructurada</x:v>
      </x:c>
      <x:c r="F33" s="408" t="str">
        <x:v>VAL-003</x:v>
      </x:c>
      <x:c r="G33" s="408" t="str">
        <x:v>B-VAL-003</x:v>
      </x:c>
      <x:c r="H33" s="408" t="str">
        <x:v>Según evidencia técnica o comercial</x:v>
      </x:c>
      <x:c r="I33" s="408" t="str">
        <x:v>Se separan datos/observaciones de interpretación y la decisión está vinculada a la evidencia.</x:v>
      </x:c>
      <x:c r="J33" s="408" t="str">
        <x:v>Equipo / mentor metodológico</x:v>
      </x:c>
      <x:c r="K33" s="408" t="str">
        <x:v>Sí</x:v>
      </x:c>
      <x:c r="L33" s="408" t="str">
        <x:v>Propuesta sustentada — validar CEDIA</x:v>
      </x:c>
      <x:c r="M33" s="408" t="str">
        <x:v>Strategyzer — Learning Card</x:v>
      </x:c>
      <x:c r="N33" s="408" t="str">
        <x:v>https://www.strategyzer.com/library/capture-customer-insights-and-actions-with-the-learning-card</x:v>
      </x:c>
    </x:row>
    <x:row r="34">
      <x:c r="A34" s="408" t="str">
        <x:v>EV-030</x:v>
      </x:c>
      <x:c r="B34" s="408" t="str">
        <x:v>Plan de Maduración Tecnológica</x:v>
      </x:c>
      <x:c r="C34" s="408" t="str">
        <x:v>Roadmap técnico</x:v>
      </x:c>
      <x:c r="D34" s="408" t="str">
        <x:v>Brechas de madurez, actividades, métricas, hitos, recursos y criterios para alcanzar TRL objetivo.</x:v>
      </x:c>
      <x:c r="E34" s="408" t="str">
        <x:v>Roadmap / plan</x:v>
      </x:c>
      <x:c r="F34" s="408" t="str">
        <x:v>MAD-001</x:v>
      </x:c>
      <x:c r="G34" s="408" t="str">
        <x:v>B-MAD-001</x:v>
      </x:c>
      <x:c r="H34" s="408" t="str">
        <x:v>TRL actual → objetivo</x:v>
      </x:c>
      <x:c r="I34" s="408" t="str">
        <x:v>Cada brecha crítica tiene actividad, evidencia, hito y criterio de salida; el avance de TRL se verifica posteriormente.</x:v>
      </x:c>
      <x:c r="J34" s="408" t="str">
        <x:v>Responsable técnico / especialista</x:v>
      </x:c>
      <x:c r="K34" s="408" t="str">
        <x:v>Sí</x:v>
      </x:c>
      <x:c r="L34" s="408" t="str">
        <x:v>Propuesta sustentada — validar CEDIA</x:v>
      </x:c>
      <x:c r="M34" s="408" t="str">
        <x:v>U.S. DOE — Technology Maturation Plan</x:v>
      </x:c>
      <x:c r="N34" s="408" t="str">
        <x:v>https://www.energy.gov/documents/archivedoe-g-413-3-4doe-technology-readiness-assessment-guide2009-10-12pdf</x:v>
      </x:c>
    </x:row>
    <x:row r="35">
      <x:c r="A35" s="408" t="str">
        <x:v>EV-031</x:v>
      </x:c>
      <x:c r="B35" s="408" t="str">
        <x:v>Matriz preliminar de Libertad de Operación</x:v>
      </x:c>
      <x:c r="C35" s="408" t="str">
        <x:v>Análisis de PI</x:v>
      </x:c>
      <x:c r="D35" s="408" t="str">
        <x:v>Derechos relevantes, relación con explotación prevista, nivel de riesgo e acción recomendada.</x:v>
      </x:c>
      <x:c r="E35" s="408" t="str">
        <x:v>Matriz FTO / informe preliminar</x:v>
      </x:c>
      <x:c r="F35" s="408" t="str">
        <x:v>TRA-001</x:v>
      </x:c>
      <x:c r="G35" s="408" t="str">
        <x:v>B-PI-001</x:v>
      </x:c>
      <x:c r="H35" s="408" t="str">
        <x:v>Complementaria a madurez comercial</x:v>
      </x:c>
      <x:c r="I35" s="408" t="str">
        <x:v>Fuentes y jurisdicciones están documentadas; riesgos materiales tienen acción; se aclara que no es dictamen legal.</x:v>
      </x:c>
      <x:c r="J35" s="408" t="str">
        <x:v>Especialista PI / OTRI</x:v>
      </x:c>
      <x:c r="K35" s="408" t="str">
        <x:v>Sí</x:v>
      </x:c>
      <x:c r="L35" s="408" t="str">
        <x:v>Propuesta sustentada — validar CEDIA</x:v>
      </x:c>
      <x:c r="M35" s="408" t="str">
        <x:v>WIPO — Freedom to Operate</x:v>
      </x:c>
      <x:c r="N35" s="408" t="str">
        <x:v>https://www.wipo.int/en/web/tisc/inventions-public-domain</x:v>
      </x:c>
    </x:row>
    <x:row r="36">
      <x:c r="A36" s="408" t="str">
        <x:v>EV-032</x:v>
      </x:c>
      <x:c r="B36" s="408" t="str">
        <x:v>Mapa de Cadena de Valor y Actores</x:v>
      </x:c>
      <x:c r="C36" s="408" t="str">
        <x:v>Mapa de ecosistema</x:v>
      </x:c>
      <x:c r="D36" s="408" t="str">
        <x:v>Actividades, capacidades, actores, dependencias, brechas y acciones de articulación.</x:v>
      </x:c>
      <x:c r="E36" s="408" t="str">
        <x:v>Mapa / matriz</x:v>
      </x:c>
      <x:c r="F36" s="408" t="str">
        <x:v>TRA-002</x:v>
      </x:c>
      <x:c r="G36" s="408" t="str">
        <x:v>B-ECO-001</x:v>
      </x:c>
      <x:c r="H36" s="408" t="str">
        <x:v>Comercialización / escalamiento</x:v>
      </x:c>
      <x:c r="I36" s="408" t="str">
        <x:v>Actividades críticas tienen actor/capacidad y brechas materiales cuentan con acción o responsable preliminar.</x:v>
      </x:c>
      <x:c r="J36" s="408" t="str">
        <x:v>Equipo + articulador/mentor</x:v>
      </x:c>
      <x:c r="K36" s="408" t="str">
        <x:v>Sí</x:v>
      </x:c>
      <x:c r="L36" s="408" t="str">
        <x:v>Propuesta sustentada — validar CEDIA</x:v>
      </x:c>
      <x:c r="M36" s="408" t="str">
        <x:v>WIPO — Value Chain</x:v>
      </x:c>
      <x:c r="N36" s="408" t="str">
        <x:v>https://www.wipo.int/en/web/tisc/inventions-public-domain</x:v>
      </x:c>
    </x:row>
    <x:row r="37">
      <x:c r="A37" s="408" t="str">
        <x:v>EV-033</x:v>
      </x:c>
      <x:c r="B37" s="408" t="str">
        <x:v>Ficha de Divulgación de Invención</x:v>
      </x:c>
      <x:c r="C37" s="408" t="str">
        <x:v>Expediente de transferencia</x:v>
      </x:c>
      <x:c r="D37" s="408" t="str">
        <x:v>Información estructurada del resultado inventivo, inventores, evidencia, financiación, acuerdos y divulgaciones.</x:v>
      </x:c>
      <x:c r="E37" s="408" t="str">
        <x:v>Formulario / expediente con anexos</x:v>
      </x:c>
      <x:c r="F37" s="408" t="str">
        <x:v>TRA-003</x:v>
      </x:c>
      <x:c r="G37" s="408" t="str">
        <x:v>B-PI-002</x:v>
      </x:c>
      <x:c r="H37" s="408" t="str">
        <x:v>Transversal</x:v>
      </x:c>
      <x:c r="I37" s="408" t="str">
        <x:v>La información permite iniciar evaluación institucional de PI/transferencia y existe trazabilidad de anexos/divulgaciones.</x:v>
      </x:c>
      <x:c r="J37" s="408" t="str">
        <x:v>OTRI / función PI-transferencia</x:v>
      </x:c>
      <x:c r="K37" s="408" t="str">
        <x:v>Sí</x:v>
      </x:c>
      <x:c r="L37" s="408" t="str">
        <x:v>Propuesta sustentada — validar CEDIA</x:v>
      </x:c>
      <x:c r="M37" s="408" t="str">
        <x:v>WIPO — Knowledge and Technology Transfer</x:v>
      </x:c>
      <x:c r="N37" s="408" t="str">
        <x:v>https://www.wipo.int/es/web/technology-transfer/</x:v>
      </x:c>
    </x:row>
    <x:row r="38">
      <x:c r="A38" s="408" t="str">
        <x:v>EV-034</x:v>
      </x:c>
      <x:c r="B38" s="408" t="str">
        <x:v>Mapa de Riesgos de Adopción</x:v>
      </x:c>
      <x:c r="C38" s="408" t="str">
        <x:v>Matriz de riesgos</x:v>
      </x:c>
      <x:c r="D38" s="408" t="str">
        <x:v>Riesgos no técnicos priorizados en propuesta de valor, aceptación de mercado, madurez de recursos y licencia para operar.</x:v>
      </x:c>
      <x:c r="E38" s="408" t="str">
        <x:v>Matriz / radar / semáforo</x:v>
      </x:c>
      <x:c r="F38" s="408" t="str">
        <x:v>ADO-001</x:v>
      </x:c>
      <x:c r="G38" s="408" t="str">
        <x:v>B-ADO-001</x:v>
      </x:c>
      <x:c r="H38" s="408" t="str">
        <x:v>Complementaria a TRL; alineable con CRL</x:v>
      </x:c>
      <x:c r="I38" s="408" t="str">
        <x:v>Cada riesgo material tiene evidencia, nivel de riesgo y acción priorizada; no se confunde con TRL.</x:v>
      </x:c>
      <x:c r="J38" s="408" t="str">
        <x:v>Equipo + especialista comercial/transferencia</x:v>
      </x:c>
      <x:c r="K38" s="408" t="str">
        <x:v>Sí</x:v>
      </x:c>
      <x:c r="L38" s="408" t="str">
        <x:v>Propuesta sustentada — validar CEDIA</x:v>
      </x:c>
      <x:c r="M38" s="408" t="str">
        <x:v>U.S. DOE — ARL Framework</x:v>
      </x:c>
      <x:c r="N38" s="408" t="str">
        <x:v>https://www.energy.gov/technologycommercialization/adoption-readiness-levels-arl-framework</x:v>
      </x:c>
    </x:row>
    <x:row r="39">
      <x:c r="A39" s="44"/>
      <x:c r="B39" s="44"/>
      <x:c r="C39" s="44"/>
      <x:c r="D39" s="44"/>
      <x:c r="E39" s="44"/>
      <x:c r="F39" s="44"/>
      <x:c r="G39" s="44"/>
      <x:c r="H39" s="44"/>
      <x:c r="I39" s="44"/>
      <x:c r="J39" s="44"/>
      <x:c r="K39" s="44"/>
      <x:c r="L39" s="44"/>
      <x:c r="M39" s="44"/>
      <x:c r="N39" s="44"/>
    </x:row>
    <x:row r="40">
      <x:c r="A40" s="44"/>
      <x:c r="B40" s="44"/>
      <x:c r="C40" s="44"/>
      <x:c r="D40" s="44"/>
      <x:c r="E40" s="44"/>
      <x:c r="F40" s="44"/>
      <x:c r="G40" s="44"/>
      <x:c r="H40" s="44"/>
      <x:c r="I40" s="44"/>
      <x:c r="J40" s="44"/>
      <x:c r="K40" s="44"/>
      <x:c r="L40" s="44"/>
      <x:c r="M40" s="44"/>
      <x:c r="N40" s="44"/>
    </x:row>
    <x:row r="41">
      <x:c r="A41" s="44"/>
      <x:c r="B41" s="44"/>
      <x:c r="C41" s="44"/>
      <x:c r="D41" s="44"/>
      <x:c r="E41" s="44"/>
      <x:c r="F41" s="44"/>
      <x:c r="G41" s="44"/>
      <x:c r="H41" s="44"/>
      <x:c r="I41" s="44"/>
      <x:c r="J41" s="44"/>
      <x:c r="K41" s="44"/>
      <x:c r="L41" s="44"/>
      <x:c r="M41" s="44"/>
      <x:c r="N41" s="44"/>
    </x:row>
    <x:row r="42">
      <x:c r="A42" s="44"/>
      <x:c r="B42" s="44"/>
      <x:c r="C42" s="44"/>
      <x:c r="D42" s="44"/>
      <x:c r="E42" s="44"/>
      <x:c r="F42" s="44"/>
      <x:c r="G42" s="44"/>
      <x:c r="H42" s="44"/>
      <x:c r="I42" s="44"/>
      <x:c r="J42" s="44"/>
      <x:c r="K42" s="44"/>
      <x:c r="L42" s="44"/>
      <x:c r="M42" s="44"/>
      <x:c r="N42" s="44"/>
    </x:row>
    <x:row r="43">
      <x:c r="A43" s="44"/>
      <x:c r="B43" s="44"/>
      <x:c r="C43" s="44"/>
      <x:c r="D43" s="44"/>
      <x:c r="E43" s="44"/>
      <x:c r="F43" s="44"/>
      <x:c r="G43" s="44"/>
      <x:c r="H43" s="44"/>
      <x:c r="I43" s="44"/>
      <x:c r="J43" s="44"/>
      <x:c r="K43" s="44"/>
      <x:c r="L43" s="44"/>
      <x:c r="M43" s="44"/>
      <x:c r="N43" s="44"/>
    </x:row>
    <x:row r="44">
      <x:c r="A44" s="44"/>
      <x:c r="B44" s="44"/>
      <x:c r="C44" s="44"/>
      <x:c r="D44" s="44"/>
      <x:c r="E44" s="44"/>
      <x:c r="F44" s="44"/>
      <x:c r="G44" s="44"/>
      <x:c r="H44" s="44"/>
      <x:c r="I44" s="44"/>
      <x:c r="J44" s="44"/>
      <x:c r="K44" s="44"/>
      <x:c r="L44" s="44"/>
      <x:c r="M44" s="44"/>
      <x:c r="N44" s="44"/>
    </x:row>
    <x:row r="45">
      <x:c r="A45" s="44"/>
      <x:c r="B45" s="44"/>
      <x:c r="C45" s="44"/>
      <x:c r="D45" s="44"/>
      <x:c r="E45" s="44"/>
      <x:c r="F45" s="44"/>
      <x:c r="G45" s="44"/>
      <x:c r="H45" s="44"/>
      <x:c r="I45" s="44"/>
      <x:c r="J45" s="44"/>
      <x:c r="K45" s="44"/>
      <x:c r="L45" s="44"/>
      <x:c r="M45" s="44"/>
      <x:c r="N45" s="44"/>
    </x:row>
    <x:row r="46">
      <x:c r="A46" s="44"/>
      <x:c r="B46" s="44"/>
      <x:c r="C46" s="44"/>
      <x:c r="D46" s="44"/>
      <x:c r="E46" s="44"/>
      <x:c r="F46" s="44"/>
      <x:c r="G46" s="44"/>
      <x:c r="H46" s="44"/>
      <x:c r="I46" s="44"/>
      <x:c r="J46" s="44"/>
      <x:c r="K46" s="44"/>
      <x:c r="L46" s="44"/>
      <x:c r="M46" s="44"/>
      <x:c r="N46" s="44"/>
    </x:row>
    <x:row r="47">
      <x:c r="A47" s="44"/>
      <x:c r="B47" s="44"/>
      <x:c r="C47" s="44"/>
      <x:c r="D47" s="44"/>
      <x:c r="E47" s="44"/>
      <x:c r="F47" s="44"/>
      <x:c r="G47" s="44"/>
      <x:c r="H47" s="44"/>
      <x:c r="I47" s="44"/>
      <x:c r="J47" s="44"/>
      <x:c r="K47" s="44"/>
      <x:c r="L47" s="44"/>
      <x:c r="M47" s="44"/>
      <x:c r="N47" s="44"/>
    </x:row>
    <x:row r="48">
      <x:c r="A48" s="44"/>
      <x:c r="B48" s="44"/>
      <x:c r="C48" s="44"/>
      <x:c r="D48" s="44"/>
      <x:c r="E48" s="44"/>
      <x:c r="F48" s="44"/>
      <x:c r="G48" s="44"/>
      <x:c r="H48" s="44"/>
      <x:c r="I48" s="44"/>
      <x:c r="J48" s="44"/>
      <x:c r="K48" s="44"/>
      <x:c r="L48" s="44"/>
      <x:c r="M48" s="44"/>
      <x:c r="N48" s="44"/>
    </x:row>
    <x:row r="49">
      <x:c r="A49" s="44"/>
      <x:c r="B49" s="44"/>
      <x:c r="C49" s="44"/>
      <x:c r="D49" s="44"/>
      <x:c r="E49" s="44"/>
      <x:c r="F49" s="44"/>
      <x:c r="G49" s="44"/>
      <x:c r="H49" s="44"/>
      <x:c r="I49" s="44"/>
      <x:c r="J49" s="44"/>
      <x:c r="K49" s="44"/>
      <x:c r="L49" s="44"/>
      <x:c r="M49" s="44"/>
      <x:c r="N49" s="44"/>
    </x:row>
    <x:row r="50">
      <x:c r="A50" s="44"/>
      <x:c r="B50" s="44"/>
      <x:c r="C50" s="44"/>
      <x:c r="D50" s="44"/>
      <x:c r="E50" s="44"/>
      <x:c r="F50" s="44"/>
      <x:c r="G50" s="44"/>
      <x:c r="H50" s="44"/>
      <x:c r="I50" s="44"/>
      <x:c r="J50" s="44"/>
      <x:c r="K50" s="44"/>
      <x:c r="L50" s="44"/>
      <x:c r="M50" s="44"/>
      <x:c r="N50" s="44"/>
    </x:row>
    <x:row r="51">
      <x:c r="A51" s="44"/>
      <x:c r="B51" s="44"/>
      <x:c r="C51" s="44"/>
      <x:c r="D51" s="44"/>
      <x:c r="E51" s="44"/>
      <x:c r="F51" s="44"/>
      <x:c r="G51" s="44"/>
      <x:c r="H51" s="44"/>
      <x:c r="I51" s="44"/>
      <x:c r="J51" s="44"/>
      <x:c r="K51" s="44"/>
      <x:c r="L51" s="44"/>
      <x:c r="M51" s="44"/>
      <x:c r="N51" s="44"/>
    </x:row>
    <x:row r="52">
      <x:c r="A52" s="44"/>
      <x:c r="B52" s="44"/>
      <x:c r="C52" s="44"/>
      <x:c r="D52" s="44"/>
      <x:c r="E52" s="44"/>
      <x:c r="F52" s="44"/>
      <x:c r="G52" s="44"/>
      <x:c r="H52" s="44"/>
      <x:c r="I52" s="44"/>
      <x:c r="J52" s="44"/>
      <x:c r="K52" s="44"/>
      <x:c r="L52" s="44"/>
      <x:c r="M52" s="44"/>
      <x:c r="N52" s="44"/>
    </x:row>
    <x:row r="53">
      <x:c r="A53" s="44"/>
      <x:c r="B53" s="44"/>
      <x:c r="C53" s="44"/>
      <x:c r="D53" s="44"/>
      <x:c r="E53" s="44"/>
      <x:c r="F53" s="44"/>
      <x:c r="G53" s="44"/>
      <x:c r="H53" s="44"/>
      <x:c r="I53" s="44"/>
      <x:c r="J53" s="44"/>
      <x:c r="K53" s="44"/>
      <x:c r="L53" s="44"/>
      <x:c r="M53" s="44"/>
      <x:c r="N53" s="44"/>
    </x:row>
    <x:row r="54">
      <x:c r="A54" s="44"/>
      <x:c r="B54" s="44"/>
      <x:c r="C54" s="44"/>
      <x:c r="D54" s="44"/>
      <x:c r="E54" s="44"/>
      <x:c r="F54" s="44"/>
      <x:c r="G54" s="44"/>
      <x:c r="H54" s="44"/>
      <x:c r="I54" s="44"/>
      <x:c r="J54" s="44"/>
      <x:c r="K54" s="44"/>
      <x:c r="L54" s="44"/>
      <x:c r="M54" s="44"/>
      <x:c r="N54" s="44"/>
    </x:row>
    <x:row r="55">
      <x:c r="A55" s="44"/>
      <x:c r="B55" s="44"/>
      <x:c r="C55" s="44"/>
      <x:c r="D55" s="44"/>
      <x:c r="E55" s="44"/>
      <x:c r="F55" s="44"/>
      <x:c r="G55" s="44"/>
      <x:c r="H55" s="44"/>
      <x:c r="I55" s="44"/>
      <x:c r="J55" s="44"/>
      <x:c r="K55" s="44"/>
      <x:c r="L55" s="44"/>
      <x:c r="M55" s="44"/>
      <x:c r="N55" s="44"/>
    </x:row>
    <x:row r="56">
      <x:c r="A56" s="44"/>
      <x:c r="B56" s="44"/>
      <x:c r="C56" s="44"/>
      <x:c r="D56" s="44"/>
      <x:c r="E56" s="44"/>
      <x:c r="F56" s="44"/>
      <x:c r="G56" s="44"/>
      <x:c r="H56" s="44"/>
      <x:c r="I56" s="44"/>
      <x:c r="J56" s="44"/>
      <x:c r="K56" s="44"/>
      <x:c r="L56" s="44"/>
      <x:c r="M56" s="44"/>
      <x:c r="N56" s="44"/>
    </x:row>
    <x:row r="57">
      <x:c r="A57" s="44"/>
      <x:c r="B57" s="44"/>
      <x:c r="C57" s="44"/>
      <x:c r="D57" s="44"/>
      <x:c r="E57" s="44"/>
      <x:c r="F57" s="44"/>
      <x:c r="G57" s="44"/>
      <x:c r="H57" s="44"/>
      <x:c r="I57" s="44"/>
      <x:c r="J57" s="44"/>
      <x:c r="K57" s="44"/>
      <x:c r="L57" s="44"/>
      <x:c r="M57" s="44"/>
      <x:c r="N57" s="44"/>
    </x:row>
    <x:row r="58">
      <x:c r="A58" s="44"/>
      <x:c r="B58" s="44"/>
      <x:c r="C58" s="44"/>
      <x:c r="D58" s="44"/>
      <x:c r="E58" s="44"/>
      <x:c r="F58" s="44"/>
      <x:c r="G58" s="44"/>
      <x:c r="H58" s="44"/>
      <x:c r="I58" s="44"/>
      <x:c r="J58" s="44"/>
      <x:c r="K58" s="44"/>
      <x:c r="L58" s="44"/>
      <x:c r="M58" s="44"/>
      <x:c r="N58" s="44"/>
    </x:row>
    <x:row r="59">
      <x:c r="A59" s="44"/>
      <x:c r="B59" s="44"/>
      <x:c r="C59" s="44"/>
      <x:c r="D59" s="44"/>
      <x:c r="E59" s="44"/>
      <x:c r="F59" s="44"/>
      <x:c r="G59" s="44"/>
      <x:c r="H59" s="44"/>
      <x:c r="I59" s="44"/>
      <x:c r="J59" s="44"/>
      <x:c r="K59" s="44"/>
      <x:c r="L59" s="44"/>
      <x:c r="M59" s="44"/>
      <x:c r="N59" s="44"/>
    </x:row>
    <x:row r="60">
      <x:c r="A60" s="44"/>
      <x:c r="B60" s="44"/>
      <x:c r="C60" s="44"/>
      <x:c r="D60" s="44"/>
      <x:c r="E60" s="44"/>
      <x:c r="F60" s="44"/>
      <x:c r="G60" s="44"/>
      <x:c r="H60" s="44"/>
      <x:c r="I60" s="44"/>
      <x:c r="J60" s="44"/>
      <x:c r="K60" s="44"/>
      <x:c r="L60" s="44"/>
      <x:c r="M60" s="44"/>
      <x:c r="N60" s="44"/>
    </x:row>
    <x:row r="61">
      <x:c r="A61" s="44"/>
      <x:c r="B61" s="44"/>
      <x:c r="C61" s="44"/>
      <x:c r="D61" s="44"/>
      <x:c r="E61" s="44"/>
      <x:c r="F61" s="44"/>
      <x:c r="G61" s="44"/>
      <x:c r="H61" s="44"/>
      <x:c r="I61" s="44"/>
      <x:c r="J61" s="44"/>
      <x:c r="K61" s="44"/>
      <x:c r="L61" s="44"/>
      <x:c r="M61" s="44"/>
      <x:c r="N61" s="44"/>
    </x:row>
    <x:row r="62">
      <x:c r="A62" s="44"/>
      <x:c r="B62" s="44"/>
      <x:c r="C62" s="44"/>
      <x:c r="D62" s="44"/>
      <x:c r="E62" s="44"/>
      <x:c r="F62" s="44"/>
      <x:c r="G62" s="44"/>
      <x:c r="H62" s="44"/>
      <x:c r="I62" s="44"/>
      <x:c r="J62" s="44"/>
      <x:c r="K62" s="44"/>
      <x:c r="L62" s="44"/>
      <x:c r="M62" s="44"/>
      <x:c r="N62" s="44"/>
    </x:row>
    <x:row r="63">
      <x:c r="A63" s="44"/>
      <x:c r="B63" s="44"/>
      <x:c r="C63" s="44"/>
      <x:c r="D63" s="44"/>
      <x:c r="E63" s="44"/>
      <x:c r="F63" s="44"/>
      <x:c r="G63" s="44"/>
      <x:c r="H63" s="44"/>
      <x:c r="I63" s="44"/>
      <x:c r="J63" s="44"/>
      <x:c r="K63" s="44"/>
      <x:c r="L63" s="44"/>
      <x:c r="M63" s="44"/>
      <x:c r="N63" s="44"/>
    </x:row>
    <x:row r="64">
      <x:c r="A64" s="44"/>
      <x:c r="B64" s="44"/>
      <x:c r="C64" s="44"/>
      <x:c r="D64" s="44"/>
      <x:c r="E64" s="44"/>
      <x:c r="F64" s="44"/>
      <x:c r="G64" s="44"/>
      <x:c r="H64" s="44"/>
      <x:c r="I64" s="44"/>
      <x:c r="J64" s="44"/>
      <x:c r="K64" s="44"/>
      <x:c r="L64" s="44"/>
      <x:c r="M64" s="44"/>
      <x:c r="N64" s="44"/>
    </x:row>
    <x:row r="65">
      <x:c r="A65" s="44"/>
      <x:c r="B65" s="44"/>
      <x:c r="C65" s="44"/>
      <x:c r="D65" s="44"/>
      <x:c r="E65" s="44"/>
      <x:c r="F65" s="44"/>
      <x:c r="G65" s="44"/>
      <x:c r="H65" s="44"/>
      <x:c r="I65" s="44"/>
      <x:c r="J65" s="44"/>
      <x:c r="K65" s="44"/>
      <x:c r="L65" s="44"/>
      <x:c r="M65" s="44"/>
      <x:c r="N65" s="44"/>
    </x:row>
    <x:row r="66">
      <x:c r="A66" s="44"/>
      <x:c r="B66" s="44"/>
      <x:c r="C66" s="44"/>
      <x:c r="D66" s="44"/>
      <x:c r="E66" s="44"/>
      <x:c r="F66" s="44"/>
      <x:c r="G66" s="44"/>
      <x:c r="H66" s="44"/>
      <x:c r="I66" s="44"/>
      <x:c r="J66" s="44"/>
      <x:c r="K66" s="44"/>
      <x:c r="L66" s="44"/>
      <x:c r="M66" s="44"/>
      <x:c r="N66" s="44"/>
    </x:row>
    <x:row r="67">
      <x:c r="A67" s="44"/>
      <x:c r="B67" s="44"/>
      <x:c r="C67" s="44"/>
      <x:c r="D67" s="44"/>
      <x:c r="E67" s="44"/>
      <x:c r="F67" s="44"/>
      <x:c r="G67" s="44"/>
      <x:c r="H67" s="44"/>
      <x:c r="I67" s="44"/>
      <x:c r="J67" s="44"/>
      <x:c r="K67" s="44"/>
      <x:c r="L67" s="44"/>
      <x:c r="M67" s="44"/>
      <x:c r="N67" s="44"/>
    </x:row>
    <x:row r="68">
      <x:c r="A68" s="44"/>
      <x:c r="B68" s="44"/>
      <x:c r="C68" s="44"/>
      <x:c r="D68" s="44"/>
      <x:c r="E68" s="44"/>
      <x:c r="F68" s="44"/>
      <x:c r="G68" s="44"/>
      <x:c r="H68" s="44"/>
      <x:c r="I68" s="44"/>
      <x:c r="J68" s="44"/>
      <x:c r="K68" s="44"/>
      <x:c r="L68" s="44"/>
      <x:c r="M68" s="44"/>
      <x:c r="N68" s="44"/>
    </x:row>
    <x:row r="69">
      <x:c r="A69" s="44"/>
      <x:c r="B69" s="44"/>
      <x:c r="C69" s="44"/>
      <x:c r="D69" s="44"/>
      <x:c r="E69" s="44"/>
      <x:c r="F69" s="44"/>
      <x:c r="G69" s="44"/>
      <x:c r="H69" s="44"/>
      <x:c r="I69" s="44"/>
      <x:c r="J69" s="44"/>
      <x:c r="K69" s="44"/>
      <x:c r="L69" s="44"/>
      <x:c r="M69" s="44"/>
      <x:c r="N69" s="44"/>
    </x:row>
    <x:row r="70">
      <x:c r="A70" s="44"/>
      <x:c r="B70" s="44"/>
      <x:c r="C70" s="44"/>
      <x:c r="D70" s="44"/>
      <x:c r="E70" s="44"/>
      <x:c r="F70" s="44"/>
      <x:c r="G70" s="44"/>
      <x:c r="H70" s="44"/>
      <x:c r="I70" s="44"/>
      <x:c r="J70" s="44"/>
      <x:c r="K70" s="44"/>
      <x:c r="L70" s="44"/>
      <x:c r="M70" s="44"/>
      <x:c r="N70" s="44"/>
    </x:row>
    <x:row r="71">
      <x:c r="A71" s="44"/>
      <x:c r="B71" s="44"/>
      <x:c r="C71" s="44"/>
      <x:c r="D71" s="44"/>
      <x:c r="E71" s="44"/>
      <x:c r="F71" s="44"/>
      <x:c r="G71" s="44"/>
      <x:c r="H71" s="44"/>
      <x:c r="I71" s="44"/>
      <x:c r="J71" s="44"/>
      <x:c r="K71" s="44"/>
      <x:c r="L71" s="44"/>
      <x:c r="M71" s="44"/>
      <x:c r="N71" s="44"/>
    </x:row>
    <x:row r="72">
      <x:c r="A72" s="44"/>
      <x:c r="B72" s="44"/>
      <x:c r="C72" s="44"/>
      <x:c r="D72" s="44"/>
      <x:c r="E72" s="44"/>
      <x:c r="F72" s="44"/>
      <x:c r="G72" s="44"/>
      <x:c r="H72" s="44"/>
      <x:c r="I72" s="44"/>
      <x:c r="J72" s="44"/>
      <x:c r="K72" s="44"/>
      <x:c r="L72" s="44"/>
      <x:c r="M72" s="44"/>
      <x:c r="N72" s="44"/>
    </x:row>
    <x:row r="73">
      <x:c r="A73" s="44"/>
      <x:c r="B73" s="44"/>
      <x:c r="C73" s="44"/>
      <x:c r="D73" s="44"/>
      <x:c r="E73" s="44"/>
      <x:c r="F73" s="44"/>
      <x:c r="G73" s="44"/>
      <x:c r="H73" s="44"/>
      <x:c r="I73" s="44"/>
      <x:c r="J73" s="44"/>
      <x:c r="K73" s="44"/>
      <x:c r="L73" s="44"/>
      <x:c r="M73" s="44"/>
      <x:c r="N73" s="44"/>
    </x:row>
    <x:row r="74">
      <x:c r="A74" s="44"/>
      <x:c r="B74" s="44"/>
      <x:c r="C74" s="44"/>
      <x:c r="D74" s="44"/>
      <x:c r="E74" s="44"/>
      <x:c r="F74" s="44"/>
      <x:c r="G74" s="44"/>
      <x:c r="H74" s="44"/>
      <x:c r="I74" s="44"/>
      <x:c r="J74" s="44"/>
      <x:c r="K74" s="44"/>
      <x:c r="L74" s="44"/>
      <x:c r="M74" s="44"/>
      <x:c r="N74" s="44"/>
    </x:row>
    <x:row r="75">
      <x:c r="A75" s="44"/>
      <x:c r="B75" s="44"/>
      <x:c r="C75" s="44"/>
      <x:c r="D75" s="44"/>
      <x:c r="E75" s="44"/>
      <x:c r="F75" s="44"/>
      <x:c r="G75" s="44"/>
      <x:c r="H75" s="44"/>
      <x:c r="I75" s="44"/>
      <x:c r="J75" s="44"/>
      <x:c r="K75" s="44"/>
      <x:c r="L75" s="44"/>
      <x:c r="M75" s="44"/>
      <x:c r="N75" s="44"/>
    </x:row>
    <x:row r="76">
      <x:c r="A76" s="44"/>
      <x:c r="B76" s="44"/>
      <x:c r="C76" s="44"/>
      <x:c r="D76" s="44"/>
      <x:c r="E76" s="44"/>
      <x:c r="F76" s="44"/>
      <x:c r="G76" s="44"/>
      <x:c r="H76" s="44"/>
      <x:c r="I76" s="44"/>
      <x:c r="J76" s="44"/>
      <x:c r="K76" s="44"/>
      <x:c r="L76" s="44"/>
      <x:c r="M76" s="44"/>
      <x:c r="N76" s="44"/>
    </x:row>
    <x:row r="77">
      <x:c r="A77" s="44"/>
      <x:c r="B77" s="44"/>
      <x:c r="C77" s="44"/>
      <x:c r="D77" s="44"/>
      <x:c r="E77" s="44"/>
      <x:c r="F77" s="44"/>
      <x:c r="G77" s="44"/>
      <x:c r="H77" s="44"/>
      <x:c r="I77" s="44"/>
      <x:c r="J77" s="44"/>
      <x:c r="K77" s="44"/>
      <x:c r="L77" s="44"/>
      <x:c r="M77" s="44"/>
      <x:c r="N77" s="44"/>
    </x:row>
    <x:row r="78">
      <x:c r="A78" s="44"/>
      <x:c r="B78" s="44"/>
      <x:c r="C78" s="44"/>
      <x:c r="D78" s="44"/>
      <x:c r="E78" s="44"/>
      <x:c r="F78" s="44"/>
      <x:c r="G78" s="44"/>
      <x:c r="H78" s="44"/>
      <x:c r="I78" s="44"/>
      <x:c r="J78" s="44"/>
      <x:c r="K78" s="44"/>
      <x:c r="L78" s="44"/>
      <x:c r="M78" s="44"/>
      <x:c r="N78" s="44"/>
    </x:row>
    <x:row r="79">
      <x:c r="A79" s="44"/>
      <x:c r="B79" s="44"/>
      <x:c r="C79" s="44"/>
      <x:c r="D79" s="44"/>
      <x:c r="E79" s="44"/>
      <x:c r="F79" s="44"/>
      <x:c r="G79" s="44"/>
      <x:c r="H79" s="44"/>
      <x:c r="I79" s="44"/>
      <x:c r="J79" s="44"/>
      <x:c r="K79" s="44"/>
      <x:c r="L79" s="44"/>
      <x:c r="M79" s="44"/>
      <x:c r="N79" s="44"/>
    </x:row>
    <x:row r="80">
      <x:c r="A80" s="44"/>
      <x:c r="B80" s="44"/>
      <x:c r="C80" s="44"/>
      <x:c r="D80" s="44"/>
      <x:c r="E80" s="44"/>
      <x:c r="F80" s="44"/>
      <x:c r="G80" s="44"/>
      <x:c r="H80" s="44"/>
      <x:c r="I80" s="44"/>
      <x:c r="J80" s="44"/>
      <x:c r="K80" s="44"/>
      <x:c r="L80" s="44"/>
      <x:c r="M80" s="44"/>
      <x:c r="N80" s="44"/>
    </x:row>
    <x:row r="81">
      <x:c r="A81" s="44"/>
      <x:c r="B81" s="44"/>
      <x:c r="C81" s="44"/>
      <x:c r="D81" s="44"/>
      <x:c r="E81" s="44"/>
      <x:c r="F81" s="44"/>
      <x:c r="G81" s="44"/>
      <x:c r="H81" s="44"/>
      <x:c r="I81" s="44"/>
      <x:c r="J81" s="44"/>
      <x:c r="K81" s="44"/>
      <x:c r="L81" s="44"/>
      <x:c r="M81" s="44"/>
      <x:c r="N81" s="44"/>
    </x:row>
    <x:row r="82">
      <x:c r="A82" s="44"/>
      <x:c r="B82" s="44"/>
      <x:c r="C82" s="44"/>
      <x:c r="D82" s="44"/>
      <x:c r="E82" s="44"/>
      <x:c r="F82" s="44"/>
      <x:c r="G82" s="44"/>
      <x:c r="H82" s="44"/>
      <x:c r="I82" s="44"/>
      <x:c r="J82" s="44"/>
      <x:c r="K82" s="44"/>
      <x:c r="L82" s="44"/>
      <x:c r="M82" s="44"/>
      <x:c r="N82" s="44"/>
    </x:row>
    <x:row r="83">
      <x:c r="A83" s="44"/>
      <x:c r="B83" s="44"/>
      <x:c r="C83" s="44"/>
      <x:c r="D83" s="44"/>
      <x:c r="E83" s="44"/>
      <x:c r="F83" s="44"/>
      <x:c r="G83" s="44"/>
      <x:c r="H83" s="44"/>
      <x:c r="I83" s="44"/>
      <x:c r="J83" s="44"/>
      <x:c r="K83" s="44"/>
      <x:c r="L83" s="44"/>
      <x:c r="M83" s="44"/>
      <x:c r="N83" s="44"/>
    </x:row>
    <x:row r="84">
      <x:c r="A84" s="44"/>
      <x:c r="B84" s="44"/>
      <x:c r="C84" s="44"/>
      <x:c r="D84" s="44"/>
      <x:c r="E84" s="44"/>
      <x:c r="F84" s="44"/>
      <x:c r="G84" s="44"/>
      <x:c r="H84" s="44"/>
      <x:c r="I84" s="44"/>
      <x:c r="J84" s="44"/>
      <x:c r="K84" s="44"/>
      <x:c r="L84" s="44"/>
      <x:c r="M84" s="44"/>
      <x:c r="N84" s="44"/>
    </x:row>
    <x:row r="85">
      <x:c r="A85" s="44"/>
      <x:c r="B85" s="44"/>
      <x:c r="C85" s="44"/>
      <x:c r="D85" s="44"/>
      <x:c r="E85" s="44"/>
      <x:c r="F85" s="44"/>
      <x:c r="G85" s="44"/>
      <x:c r="H85" s="44"/>
      <x:c r="I85" s="44"/>
      <x:c r="J85" s="44"/>
      <x:c r="K85" s="44"/>
      <x:c r="L85" s="44"/>
      <x:c r="M85" s="44"/>
      <x:c r="N85" s="44"/>
    </x:row>
    <x:row r="86">
      <x:c r="A86" s="44"/>
      <x:c r="B86" s="44"/>
      <x:c r="C86" s="44"/>
      <x:c r="D86" s="44"/>
      <x:c r="E86" s="44"/>
      <x:c r="F86" s="44"/>
      <x:c r="G86" s="44"/>
      <x:c r="H86" s="44"/>
      <x:c r="I86" s="44"/>
      <x:c r="J86" s="44"/>
      <x:c r="K86" s="44"/>
      <x:c r="L86" s="44"/>
      <x:c r="M86" s="44"/>
      <x:c r="N86" s="44"/>
    </x:row>
    <x:row r="87">
      <x:c r="A87" s="44"/>
      <x:c r="B87" s="44"/>
      <x:c r="C87" s="44"/>
      <x:c r="D87" s="44"/>
      <x:c r="E87" s="44"/>
      <x:c r="F87" s="44"/>
      <x:c r="G87" s="44"/>
      <x:c r="H87" s="44"/>
      <x:c r="I87" s="44"/>
      <x:c r="J87" s="44"/>
      <x:c r="K87" s="44"/>
      <x:c r="L87" s="44"/>
      <x:c r="M87" s="44"/>
      <x:c r="N87" s="44"/>
    </x:row>
    <x:row r="88">
      <x:c r="A88" s="44"/>
      <x:c r="B88" s="44"/>
      <x:c r="C88" s="44"/>
      <x:c r="D88" s="44"/>
      <x:c r="E88" s="44"/>
      <x:c r="F88" s="44"/>
      <x:c r="G88" s="44"/>
      <x:c r="H88" s="44"/>
      <x:c r="I88" s="44"/>
      <x:c r="J88" s="44"/>
      <x:c r="K88" s="44"/>
      <x:c r="L88" s="44"/>
      <x:c r="M88" s="44"/>
      <x:c r="N88" s="44"/>
    </x:row>
    <x:row r="89">
      <x:c r="A89" s="44"/>
      <x:c r="B89" s="44"/>
      <x:c r="C89" s="44"/>
      <x:c r="D89" s="44"/>
      <x:c r="E89" s="44"/>
      <x:c r="F89" s="44"/>
      <x:c r="G89" s="44"/>
      <x:c r="H89" s="44"/>
      <x:c r="I89" s="44"/>
      <x:c r="J89" s="44"/>
      <x:c r="K89" s="44"/>
      <x:c r="L89" s="44"/>
      <x:c r="M89" s="44"/>
      <x:c r="N89" s="44"/>
    </x:row>
    <x:row r="90">
      <x:c r="A90" s="44"/>
      <x:c r="B90" s="44"/>
      <x:c r="C90" s="44"/>
      <x:c r="D90" s="44"/>
      <x:c r="E90" s="44"/>
      <x:c r="F90" s="44"/>
      <x:c r="G90" s="44"/>
      <x:c r="H90" s="44"/>
      <x:c r="I90" s="44"/>
      <x:c r="J90" s="44"/>
      <x:c r="K90" s="44"/>
      <x:c r="L90" s="44"/>
      <x:c r="M90" s="44"/>
      <x:c r="N90" s="44"/>
    </x:row>
    <x:row r="91">
      <x:c r="A91" s="44"/>
      <x:c r="B91" s="44"/>
      <x:c r="C91" s="44"/>
      <x:c r="D91" s="44"/>
      <x:c r="E91" s="44"/>
      <x:c r="F91" s="44"/>
      <x:c r="G91" s="44"/>
      <x:c r="H91" s="44"/>
      <x:c r="I91" s="44"/>
      <x:c r="J91" s="44"/>
      <x:c r="K91" s="44"/>
      <x:c r="L91" s="44"/>
      <x:c r="M91" s="44"/>
      <x:c r="N91" s="44"/>
    </x:row>
    <x:row r="92">
      <x:c r="A92" s="44"/>
      <x:c r="B92" s="44"/>
      <x:c r="C92" s="44"/>
      <x:c r="D92" s="44"/>
      <x:c r="E92" s="44"/>
      <x:c r="F92" s="44"/>
      <x:c r="G92" s="44"/>
      <x:c r="H92" s="44"/>
      <x:c r="I92" s="44"/>
      <x:c r="J92" s="44"/>
      <x:c r="K92" s="44"/>
      <x:c r="L92" s="44"/>
      <x:c r="M92" s="44"/>
      <x:c r="N92" s="44"/>
    </x:row>
    <x:row r="93">
      <x:c r="A93" s="44"/>
      <x:c r="B93" s="44"/>
      <x:c r="C93" s="44"/>
      <x:c r="D93" s="44"/>
      <x:c r="E93" s="44"/>
      <x:c r="F93" s="44"/>
      <x:c r="G93" s="44"/>
      <x:c r="H93" s="44"/>
      <x:c r="I93" s="44"/>
      <x:c r="J93" s="44"/>
      <x:c r="K93" s="44"/>
      <x:c r="L93" s="44"/>
      <x:c r="M93" s="44"/>
      <x:c r="N93" s="44"/>
    </x:row>
    <x:row r="94">
      <x:c r="A94" s="44"/>
      <x:c r="B94" s="44"/>
      <x:c r="C94" s="44"/>
      <x:c r="D94" s="44"/>
      <x:c r="E94" s="44"/>
      <x:c r="F94" s="44"/>
      <x:c r="G94" s="44"/>
      <x:c r="H94" s="44"/>
      <x:c r="I94" s="44"/>
      <x:c r="J94" s="44"/>
      <x:c r="K94" s="44"/>
      <x:c r="L94" s="44"/>
      <x:c r="M94" s="44"/>
      <x:c r="N94" s="44"/>
    </x:row>
    <x:row r="95">
      <x:c r="A95" s="44"/>
      <x:c r="B95" s="44"/>
      <x:c r="C95" s="44"/>
      <x:c r="D95" s="44"/>
      <x:c r="E95" s="44"/>
      <x:c r="F95" s="44"/>
      <x:c r="G95" s="44"/>
      <x:c r="H95" s="44"/>
      <x:c r="I95" s="44"/>
      <x:c r="J95" s="44"/>
      <x:c r="K95" s="44"/>
      <x:c r="L95" s="44"/>
      <x:c r="M95" s="44"/>
      <x:c r="N95" s="44"/>
    </x:row>
    <x:row r="96">
      <x:c r="A96" s="44"/>
      <x:c r="B96" s="44"/>
      <x:c r="C96" s="44"/>
      <x:c r="D96" s="44"/>
      <x:c r="E96" s="44"/>
      <x:c r="F96" s="44"/>
      <x:c r="G96" s="44"/>
      <x:c r="H96" s="44"/>
      <x:c r="I96" s="44"/>
      <x:c r="J96" s="44"/>
      <x:c r="K96" s="44"/>
      <x:c r="L96" s="44"/>
      <x:c r="M96" s="44"/>
      <x:c r="N96" s="44"/>
    </x:row>
    <x:row r="97">
      <x:c r="A97" s="44"/>
      <x:c r="B97" s="44"/>
      <x:c r="C97" s="44"/>
      <x:c r="D97" s="44"/>
      <x:c r="E97" s="44"/>
      <x:c r="F97" s="44"/>
      <x:c r="G97" s="44"/>
      <x:c r="H97" s="44"/>
      <x:c r="I97" s="44"/>
      <x:c r="J97" s="44"/>
      <x:c r="K97" s="44"/>
      <x:c r="L97" s="44"/>
      <x:c r="M97" s="44"/>
      <x:c r="N97" s="44"/>
    </x:row>
    <x:row r="98">
      <x:c r="A98" s="44"/>
      <x:c r="B98" s="44"/>
      <x:c r="C98" s="44"/>
      <x:c r="D98" s="44"/>
      <x:c r="E98" s="44"/>
      <x:c r="F98" s="44"/>
      <x:c r="G98" s="44"/>
      <x:c r="H98" s="44"/>
      <x:c r="I98" s="44"/>
      <x:c r="J98" s="44"/>
      <x:c r="K98" s="44"/>
      <x:c r="L98" s="44"/>
      <x:c r="M98" s="44"/>
      <x:c r="N98" s="44"/>
    </x:row>
    <x:row r="99">
      <x:c r="A99" s="44"/>
      <x:c r="B99" s="44"/>
      <x:c r="C99" s="44"/>
      <x:c r="D99" s="44"/>
      <x:c r="E99" s="44"/>
      <x:c r="F99" s="44"/>
      <x:c r="G99" s="44"/>
      <x:c r="H99" s="44"/>
      <x:c r="I99" s="44"/>
      <x:c r="J99" s="44"/>
      <x:c r="K99" s="44"/>
      <x:c r="L99" s="44"/>
      <x:c r="M99" s="44"/>
      <x:c r="N99" s="44"/>
    </x:row>
    <x:row r="100">
      <x:c r="A100" s="44"/>
      <x:c r="B100" s="44"/>
      <x:c r="C100" s="44"/>
      <x:c r="D100" s="44"/>
      <x:c r="E100" s="44"/>
      <x:c r="F100" s="44"/>
      <x:c r="G100" s="44"/>
      <x:c r="H100" s="44"/>
      <x:c r="I100" s="44"/>
      <x:c r="J100" s="44"/>
      <x:c r="K100" s="44"/>
      <x:c r="L100" s="44"/>
      <x:c r="M100" s="44"/>
      <x:c r="N100" s="44"/>
    </x:row>
    <x:row r="101">
      <x:c r="A101" s="44"/>
      <x:c r="B101" s="44"/>
      <x:c r="C101" s="44"/>
      <x:c r="D101" s="44"/>
      <x:c r="E101" s="44"/>
      <x:c r="F101" s="44"/>
      <x:c r="G101" s="44"/>
      <x:c r="H101" s="44"/>
      <x:c r="I101" s="44"/>
      <x:c r="J101" s="44"/>
      <x:c r="K101" s="44"/>
      <x:c r="L101" s="44"/>
      <x:c r="M101" s="44"/>
      <x:c r="N101" s="44"/>
    </x:row>
    <x:row r="102">
      <x:c r="A102" s="44"/>
      <x:c r="B102" s="44"/>
      <x:c r="C102" s="44"/>
      <x:c r="D102" s="44"/>
      <x:c r="E102" s="44"/>
      <x:c r="F102" s="44"/>
      <x:c r="G102" s="44"/>
      <x:c r="H102" s="44"/>
      <x:c r="I102" s="44"/>
      <x:c r="J102" s="44"/>
      <x:c r="K102" s="44"/>
      <x:c r="L102" s="44"/>
      <x:c r="M102" s="44"/>
      <x:c r="N102" s="44"/>
    </x:row>
    <x:row r="103">
      <x:c r="A103" s="44"/>
      <x:c r="B103" s="44"/>
      <x:c r="C103" s="44"/>
      <x:c r="D103" s="44"/>
      <x:c r="E103" s="44"/>
      <x:c r="F103" s="44"/>
      <x:c r="G103" s="44"/>
      <x:c r="H103" s="44"/>
      <x:c r="I103" s="44"/>
      <x:c r="J103" s="44"/>
      <x:c r="K103" s="44"/>
      <x:c r="L103" s="44"/>
      <x:c r="M103" s="44"/>
      <x:c r="N103" s="44"/>
    </x:row>
    <x:row r="104">
      <x:c r="A104" s="44"/>
      <x:c r="B104" s="44"/>
      <x:c r="C104" s="44"/>
      <x:c r="D104" s="44"/>
      <x:c r="E104" s="44"/>
      <x:c r="F104" s="44"/>
      <x:c r="G104" s="44"/>
      <x:c r="H104" s="44"/>
      <x:c r="I104" s="44"/>
      <x:c r="J104" s="44"/>
      <x:c r="K104" s="44"/>
      <x:c r="L104" s="44"/>
      <x:c r="M104" s="44"/>
      <x:c r="N104" s="44"/>
    </x:row>
    <x:row r="105">
      <x:c r="A105" s="44"/>
      <x:c r="B105" s="44"/>
      <x:c r="C105" s="44"/>
      <x:c r="D105" s="44"/>
      <x:c r="E105" s="44"/>
      <x:c r="F105" s="44"/>
      <x:c r="G105" s="44"/>
      <x:c r="H105" s="44"/>
      <x:c r="I105" s="44"/>
      <x:c r="J105" s="44"/>
      <x:c r="K105" s="44"/>
      <x:c r="L105" s="44"/>
      <x:c r="M105" s="44"/>
      <x:c r="N105" s="44"/>
    </x:row>
    <x:row r="106">
      <x:c r="A106" s="44"/>
      <x:c r="B106" s="44"/>
      <x:c r="C106" s="44"/>
      <x:c r="D106" s="44"/>
      <x:c r="E106" s="44"/>
      <x:c r="F106" s="44"/>
      <x:c r="G106" s="44"/>
      <x:c r="H106" s="44"/>
      <x:c r="I106" s="44"/>
      <x:c r="J106" s="44"/>
      <x:c r="K106" s="44"/>
      <x:c r="L106" s="44"/>
      <x:c r="M106" s="44"/>
      <x:c r="N106" s="44"/>
    </x:row>
    <x:row r="107">
      <x:c r="A107" s="44"/>
      <x:c r="B107" s="44"/>
      <x:c r="C107" s="44"/>
      <x:c r="D107" s="44"/>
      <x:c r="E107" s="44"/>
      <x:c r="F107" s="44"/>
      <x:c r="G107" s="44"/>
      <x:c r="H107" s="44"/>
      <x:c r="I107" s="44"/>
      <x:c r="J107" s="44"/>
      <x:c r="K107" s="44"/>
      <x:c r="L107" s="44"/>
      <x:c r="M107" s="44"/>
      <x:c r="N107" s="44"/>
    </x:row>
    <x:row r="108">
      <x:c r="A108" s="44"/>
      <x:c r="B108" s="44"/>
      <x:c r="C108" s="44"/>
      <x:c r="D108" s="44"/>
      <x:c r="E108" s="44"/>
      <x:c r="F108" s="44"/>
      <x:c r="G108" s="44"/>
      <x:c r="H108" s="44"/>
      <x:c r="I108" s="44"/>
      <x:c r="J108" s="44"/>
      <x:c r="K108" s="44"/>
      <x:c r="L108" s="44"/>
      <x:c r="M108" s="44"/>
      <x:c r="N108" s="44"/>
    </x:row>
    <x:row r="109">
      <x:c r="A109" s="44"/>
      <x:c r="B109" s="44"/>
      <x:c r="C109" s="44"/>
      <x:c r="D109" s="44"/>
      <x:c r="E109" s="44"/>
      <x:c r="F109" s="44"/>
      <x:c r="G109" s="44"/>
      <x:c r="H109" s="44"/>
      <x:c r="I109" s="44"/>
      <x:c r="J109" s="44"/>
      <x:c r="K109" s="44"/>
      <x:c r="L109" s="44"/>
      <x:c r="M109" s="44"/>
      <x:c r="N109" s="44"/>
    </x:row>
    <x:row r="110">
      <x:c r="A110" s="44"/>
      <x:c r="B110" s="44"/>
      <x:c r="C110" s="44"/>
      <x:c r="D110" s="44"/>
      <x:c r="E110" s="44"/>
      <x:c r="F110" s="44"/>
      <x:c r="G110" s="44"/>
      <x:c r="H110" s="44"/>
      <x:c r="I110" s="44"/>
      <x:c r="J110" s="44"/>
      <x:c r="K110" s="44"/>
      <x:c r="L110" s="44"/>
      <x:c r="M110" s="44"/>
      <x:c r="N110" s="44"/>
    </x:row>
    <x:row r="111">
      <x:c r="A111" s="44"/>
      <x:c r="B111" s="44"/>
      <x:c r="C111" s="44"/>
      <x:c r="D111" s="44"/>
      <x:c r="E111" s="44"/>
      <x:c r="F111" s="44"/>
      <x:c r="G111" s="44"/>
      <x:c r="H111" s="44"/>
      <x:c r="I111" s="44"/>
      <x:c r="J111" s="44"/>
      <x:c r="K111" s="44"/>
      <x:c r="L111" s="44"/>
      <x:c r="M111" s="44"/>
      <x:c r="N111" s="44"/>
    </x:row>
    <x:row r="112">
      <x:c r="A112" s="44"/>
      <x:c r="B112" s="44"/>
      <x:c r="C112" s="44"/>
      <x:c r="D112" s="44"/>
      <x:c r="E112" s="44"/>
      <x:c r="F112" s="44"/>
      <x:c r="G112" s="44"/>
      <x:c r="H112" s="44"/>
      <x:c r="I112" s="44"/>
      <x:c r="J112" s="44"/>
      <x:c r="K112" s="44"/>
      <x:c r="L112" s="44"/>
      <x:c r="M112" s="44"/>
      <x:c r="N112" s="44"/>
    </x:row>
    <x:row r="113">
      <x:c r="A113" s="44"/>
      <x:c r="B113" s="44"/>
      <x:c r="C113" s="44"/>
      <x:c r="D113" s="44"/>
      <x:c r="E113" s="44"/>
      <x:c r="F113" s="44"/>
      <x:c r="G113" s="44"/>
      <x:c r="H113" s="44"/>
      <x:c r="I113" s="44"/>
      <x:c r="J113" s="44"/>
      <x:c r="K113" s="44"/>
      <x:c r="L113" s="44"/>
      <x:c r="M113" s="44"/>
      <x:c r="N113" s="44"/>
    </x:row>
    <x:row r="114">
      <x:c r="A114" s="44"/>
      <x:c r="B114" s="44"/>
      <x:c r="C114" s="44"/>
      <x:c r="D114" s="44"/>
      <x:c r="E114" s="44"/>
      <x:c r="F114" s="44"/>
      <x:c r="G114" s="44"/>
      <x:c r="H114" s="44"/>
      <x:c r="I114" s="44"/>
      <x:c r="J114" s="44"/>
      <x:c r="K114" s="44"/>
      <x:c r="L114" s="44"/>
      <x:c r="M114" s="44"/>
      <x:c r="N114" s="44"/>
    </x:row>
    <x:row r="115">
      <x:c r="A115" s="44"/>
      <x:c r="B115" s="44"/>
      <x:c r="C115" s="44"/>
      <x:c r="D115" s="44"/>
      <x:c r="E115" s="44"/>
      <x:c r="F115" s="44"/>
      <x:c r="G115" s="44"/>
      <x:c r="H115" s="44"/>
      <x:c r="I115" s="44"/>
      <x:c r="J115" s="44"/>
      <x:c r="K115" s="44"/>
      <x:c r="L115" s="44"/>
      <x:c r="M115" s="44"/>
      <x:c r="N115" s="44"/>
    </x:row>
    <x:row r="116">
      <x:c r="A116" s="44"/>
      <x:c r="B116" s="44"/>
      <x:c r="C116" s="44"/>
      <x:c r="D116" s="44"/>
      <x:c r="E116" s="44"/>
      <x:c r="F116" s="44"/>
      <x:c r="G116" s="44"/>
      <x:c r="H116" s="44"/>
      <x:c r="I116" s="44"/>
      <x:c r="J116" s="44"/>
      <x:c r="K116" s="44"/>
      <x:c r="L116" s="44"/>
      <x:c r="M116" s="44"/>
      <x:c r="N116" s="44"/>
    </x:row>
    <x:row r="117">
      <x:c r="A117" s="44"/>
      <x:c r="B117" s="44"/>
      <x:c r="C117" s="44"/>
      <x:c r="D117" s="44"/>
      <x:c r="E117" s="44"/>
      <x:c r="F117" s="44"/>
      <x:c r="G117" s="44"/>
      <x:c r="H117" s="44"/>
      <x:c r="I117" s="44"/>
      <x:c r="J117" s="44"/>
      <x:c r="K117" s="44"/>
      <x:c r="L117" s="44"/>
      <x:c r="M117" s="44"/>
      <x:c r="N117" s="44"/>
    </x:row>
    <x:row r="118">
      <x:c r="A118" s="44"/>
      <x:c r="B118" s="44"/>
      <x:c r="C118" s="44"/>
      <x:c r="D118" s="44"/>
      <x:c r="E118" s="44"/>
      <x:c r="F118" s="44"/>
      <x:c r="G118" s="44"/>
      <x:c r="H118" s="44"/>
      <x:c r="I118" s="44"/>
      <x:c r="J118" s="44"/>
      <x:c r="K118" s="44"/>
      <x:c r="L118" s="44"/>
      <x:c r="M118" s="44"/>
      <x:c r="N118" s="44"/>
    </x:row>
    <x:row r="119">
      <x:c r="A119" s="44"/>
      <x:c r="B119" s="44"/>
      <x:c r="C119" s="44"/>
      <x:c r="D119" s="44"/>
      <x:c r="E119" s="44"/>
      <x:c r="F119" s="44"/>
      <x:c r="G119" s="44"/>
      <x:c r="H119" s="44"/>
      <x:c r="I119" s="44"/>
      <x:c r="J119" s="44"/>
      <x:c r="K119" s="44"/>
      <x:c r="L119" s="44"/>
      <x:c r="M119" s="44"/>
      <x:c r="N119" s="44"/>
    </x:row>
    <x:row r="120">
      <x:c r="A120" s="44"/>
      <x:c r="B120" s="44"/>
      <x:c r="C120" s="44"/>
      <x:c r="D120" s="44"/>
      <x:c r="E120" s="44"/>
      <x:c r="F120" s="44"/>
      <x:c r="G120" s="44"/>
      <x:c r="H120" s="44"/>
      <x:c r="I120" s="44"/>
      <x:c r="J120" s="44"/>
      <x:c r="K120" s="44"/>
      <x:c r="L120" s="44"/>
      <x:c r="M120" s="44"/>
      <x:c r="N120" s="44"/>
    </x:row>
    <x:row r="121">
      <x:c r="A121" s="44"/>
      <x:c r="B121" s="44"/>
      <x:c r="C121" s="44"/>
      <x:c r="D121" s="44"/>
      <x:c r="E121" s="44"/>
      <x:c r="F121" s="44"/>
      <x:c r="G121" s="44"/>
      <x:c r="H121" s="44"/>
      <x:c r="I121" s="44"/>
      <x:c r="J121" s="44"/>
      <x:c r="K121" s="44"/>
      <x:c r="L121" s="44"/>
      <x:c r="M121" s="44"/>
      <x:c r="N121" s="44"/>
    </x:row>
    <x:row r="122">
      <x:c r="A122" s="44"/>
      <x:c r="B122" s="44"/>
      <x:c r="C122" s="44"/>
      <x:c r="D122" s="44"/>
      <x:c r="E122" s="44"/>
      <x:c r="F122" s="44"/>
      <x:c r="G122" s="44"/>
      <x:c r="H122" s="44"/>
      <x:c r="I122" s="44"/>
      <x:c r="J122" s="44"/>
      <x:c r="K122" s="44"/>
      <x:c r="L122" s="44"/>
      <x:c r="M122" s="44"/>
      <x:c r="N122" s="44"/>
    </x:row>
    <x:row r="123">
      <x:c r="A123" s="44"/>
      <x:c r="B123" s="44"/>
      <x:c r="C123" s="44"/>
      <x:c r="D123" s="44"/>
      <x:c r="E123" s="44"/>
      <x:c r="F123" s="44"/>
      <x:c r="G123" s="44"/>
      <x:c r="H123" s="44"/>
      <x:c r="I123" s="44"/>
      <x:c r="J123" s="44"/>
      <x:c r="K123" s="44"/>
      <x:c r="L123" s="44"/>
      <x:c r="M123" s="44"/>
      <x:c r="N123" s="44"/>
    </x:row>
    <x:row r="124">
      <x:c r="A124" s="44"/>
      <x:c r="B124" s="44"/>
      <x:c r="C124" s="44"/>
      <x:c r="D124" s="44"/>
      <x:c r="E124" s="44"/>
      <x:c r="F124" s="44"/>
      <x:c r="G124" s="44"/>
      <x:c r="H124" s="44"/>
      <x:c r="I124" s="44"/>
      <x:c r="J124" s="44"/>
      <x:c r="K124" s="44"/>
      <x:c r="L124" s="44"/>
      <x:c r="M124" s="44"/>
      <x:c r="N124" s="44"/>
    </x:row>
    <x:row r="125">
      <x:c r="A125" s="44"/>
      <x:c r="B125" s="44"/>
      <x:c r="C125" s="44"/>
      <x:c r="D125" s="44"/>
      <x:c r="E125" s="44"/>
      <x:c r="F125" s="44"/>
      <x:c r="G125" s="44"/>
      <x:c r="H125" s="44"/>
      <x:c r="I125" s="44"/>
      <x:c r="J125" s="44"/>
      <x:c r="K125" s="44"/>
      <x:c r="L125" s="44"/>
      <x:c r="M125" s="44"/>
      <x:c r="N125" s="44"/>
    </x:row>
    <x:row r="126">
      <x:c r="A126" s="44"/>
      <x:c r="B126" s="44"/>
      <x:c r="C126" s="44"/>
      <x:c r="D126" s="44"/>
      <x:c r="E126" s="44"/>
      <x:c r="F126" s="44"/>
      <x:c r="G126" s="44"/>
      <x:c r="H126" s="44"/>
      <x:c r="I126" s="44"/>
      <x:c r="J126" s="44"/>
      <x:c r="K126" s="44"/>
      <x:c r="L126" s="44"/>
      <x:c r="M126" s="44"/>
      <x:c r="N126" s="44"/>
    </x:row>
    <x:row r="127">
      <x:c r="A127" s="44"/>
      <x:c r="B127" s="44"/>
      <x:c r="C127" s="44"/>
      <x:c r="D127" s="44"/>
      <x:c r="E127" s="44"/>
      <x:c r="F127" s="44"/>
      <x:c r="G127" s="44"/>
      <x:c r="H127" s="44"/>
      <x:c r="I127" s="44"/>
      <x:c r="J127" s="44"/>
      <x:c r="K127" s="44"/>
      <x:c r="L127" s="44"/>
      <x:c r="M127" s="44"/>
      <x:c r="N127" s="44"/>
    </x:row>
    <x:row r="128">
      <x:c r="A128" s="44"/>
      <x:c r="B128" s="44"/>
      <x:c r="C128" s="44"/>
      <x:c r="D128" s="44"/>
      <x:c r="E128" s="44"/>
      <x:c r="F128" s="44"/>
      <x:c r="G128" s="44"/>
      <x:c r="H128" s="44"/>
      <x:c r="I128" s="44"/>
      <x:c r="J128" s="44"/>
      <x:c r="K128" s="44"/>
      <x:c r="L128" s="44"/>
      <x:c r="M128" s="44"/>
      <x:c r="N128" s="44"/>
    </x:row>
    <x:row r="129">
      <x:c r="A129" s="44"/>
      <x:c r="B129" s="44"/>
      <x:c r="C129" s="44"/>
      <x:c r="D129" s="44"/>
      <x:c r="E129" s="44"/>
      <x:c r="F129" s="44"/>
      <x:c r="G129" s="44"/>
      <x:c r="H129" s="44"/>
      <x:c r="I129" s="44"/>
      <x:c r="J129" s="44"/>
      <x:c r="K129" s="44"/>
      <x:c r="L129" s="44"/>
      <x:c r="M129" s="44"/>
      <x:c r="N129" s="44"/>
    </x:row>
    <x:row r="130">
      <x:c r="A130" s="44"/>
      <x:c r="B130" s="44"/>
      <x:c r="C130" s="44"/>
      <x:c r="D130" s="44"/>
      <x:c r="E130" s="44"/>
      <x:c r="F130" s="44"/>
      <x:c r="G130" s="44"/>
      <x:c r="H130" s="44"/>
      <x:c r="I130" s="44"/>
      <x:c r="J130" s="44"/>
      <x:c r="K130" s="44"/>
      <x:c r="L130" s="44"/>
      <x:c r="M130" s="44"/>
      <x:c r="N130" s="44"/>
    </x:row>
    <x:row r="131">
      <x:c r="A131" s="44"/>
      <x:c r="B131" s="44"/>
      <x:c r="C131" s="44"/>
      <x:c r="D131" s="44"/>
      <x:c r="E131" s="44"/>
      <x:c r="F131" s="44"/>
      <x:c r="G131" s="44"/>
      <x:c r="H131" s="44"/>
      <x:c r="I131" s="44"/>
      <x:c r="J131" s="44"/>
      <x:c r="K131" s="44"/>
      <x:c r="L131" s="44"/>
      <x:c r="M131" s="44"/>
      <x:c r="N131" s="44"/>
    </x:row>
    <x:row r="132">
      <x:c r="A132" s="44"/>
      <x:c r="B132" s="44"/>
      <x:c r="C132" s="44"/>
      <x:c r="D132" s="44"/>
      <x:c r="E132" s="44"/>
      <x:c r="F132" s="44"/>
      <x:c r="G132" s="44"/>
      <x:c r="H132" s="44"/>
      <x:c r="I132" s="44"/>
      <x:c r="J132" s="44"/>
      <x:c r="K132" s="44"/>
      <x:c r="L132" s="44"/>
      <x:c r="M132" s="44"/>
      <x:c r="N132" s="44"/>
    </x:row>
    <x:row r="133">
      <x:c r="A133" s="44"/>
      <x:c r="B133" s="44"/>
      <x:c r="C133" s="44"/>
      <x:c r="D133" s="44"/>
      <x:c r="E133" s="44"/>
      <x:c r="F133" s="44"/>
      <x:c r="G133" s="44"/>
      <x:c r="H133" s="44"/>
      <x:c r="I133" s="44"/>
      <x:c r="J133" s="44"/>
      <x:c r="K133" s="44"/>
      <x:c r="L133" s="44"/>
      <x:c r="M133" s="44"/>
      <x:c r="N133" s="44"/>
    </x:row>
    <x:row r="134">
      <x:c r="A134" s="44"/>
      <x:c r="B134" s="44"/>
      <x:c r="C134" s="44"/>
      <x:c r="D134" s="44"/>
      <x:c r="E134" s="44"/>
      <x:c r="F134" s="44"/>
      <x:c r="G134" s="44"/>
      <x:c r="H134" s="44"/>
      <x:c r="I134" s="44"/>
      <x:c r="J134" s="44"/>
      <x:c r="K134" s="44"/>
      <x:c r="L134" s="44"/>
      <x:c r="M134" s="44"/>
      <x:c r="N134" s="44"/>
    </x:row>
    <x:row r="135">
      <x:c r="A135" s="44"/>
      <x:c r="B135" s="44"/>
      <x:c r="C135" s="44"/>
      <x:c r="D135" s="44"/>
      <x:c r="E135" s="44"/>
      <x:c r="F135" s="44"/>
      <x:c r="G135" s="44"/>
      <x:c r="H135" s="44"/>
      <x:c r="I135" s="44"/>
      <x:c r="J135" s="44"/>
      <x:c r="K135" s="44"/>
      <x:c r="L135" s="44"/>
      <x:c r="M135" s="44"/>
      <x:c r="N135" s="44"/>
    </x:row>
    <x:row r="136">
      <x:c r="A136" s="44"/>
      <x:c r="B136" s="44"/>
      <x:c r="C136" s="44"/>
      <x:c r="D136" s="44"/>
      <x:c r="E136" s="44"/>
      <x:c r="F136" s="44"/>
      <x:c r="G136" s="44"/>
      <x:c r="H136" s="44"/>
      <x:c r="I136" s="44"/>
      <x:c r="J136" s="44"/>
      <x:c r="K136" s="44"/>
      <x:c r="L136" s="44"/>
      <x:c r="M136" s="44"/>
      <x:c r="N136" s="44"/>
    </x:row>
    <x:row r="137">
      <x:c r="A137" s="44"/>
      <x:c r="B137" s="44"/>
      <x:c r="C137" s="44"/>
      <x:c r="D137" s="44"/>
      <x:c r="E137" s="44"/>
      <x:c r="F137" s="44"/>
      <x:c r="G137" s="44"/>
      <x:c r="H137" s="44"/>
      <x:c r="I137" s="44"/>
      <x:c r="J137" s="44"/>
      <x:c r="K137" s="44"/>
      <x:c r="L137" s="44"/>
      <x:c r="M137" s="44"/>
      <x:c r="N137" s="44"/>
    </x:row>
    <x:row r="138">
      <x:c r="A138" s="44"/>
      <x:c r="B138" s="44"/>
      <x:c r="C138" s="44"/>
      <x:c r="D138" s="44"/>
      <x:c r="E138" s="44"/>
      <x:c r="F138" s="44"/>
      <x:c r="G138" s="44"/>
      <x:c r="H138" s="44"/>
      <x:c r="I138" s="44"/>
      <x:c r="J138" s="44"/>
      <x:c r="K138" s="44"/>
      <x:c r="L138" s="44"/>
      <x:c r="M138" s="44"/>
      <x:c r="N138" s="44"/>
    </x:row>
    <x:row r="139">
      <x:c r="A139" s="44"/>
      <x:c r="B139" s="44"/>
      <x:c r="C139" s="44"/>
      <x:c r="D139" s="44"/>
      <x:c r="E139" s="44"/>
      <x:c r="F139" s="44"/>
      <x:c r="G139" s="44"/>
      <x:c r="H139" s="44"/>
      <x:c r="I139" s="44"/>
      <x:c r="J139" s="44"/>
      <x:c r="K139" s="44"/>
      <x:c r="L139" s="44"/>
      <x:c r="M139" s="44"/>
      <x:c r="N139" s="44"/>
    </x:row>
    <x:row r="140">
      <x:c r="A140" s="44"/>
      <x:c r="B140" s="44"/>
      <x:c r="C140" s="44"/>
      <x:c r="D140" s="44"/>
      <x:c r="E140" s="44"/>
      <x:c r="F140" s="44"/>
      <x:c r="G140" s="44"/>
      <x:c r="H140" s="44"/>
      <x:c r="I140" s="44"/>
      <x:c r="J140" s="44"/>
      <x:c r="K140" s="44"/>
      <x:c r="L140" s="44"/>
      <x:c r="M140" s="44"/>
      <x:c r="N140" s="44"/>
    </x:row>
    <x:row r="141">
      <x:c r="A141" s="44"/>
      <x:c r="B141" s="44"/>
      <x:c r="C141" s="44"/>
      <x:c r="D141" s="44"/>
      <x:c r="E141" s="44"/>
      <x:c r="F141" s="44"/>
      <x:c r="G141" s="44"/>
      <x:c r="H141" s="44"/>
      <x:c r="I141" s="44"/>
      <x:c r="J141" s="44"/>
      <x:c r="K141" s="44"/>
      <x:c r="L141" s="44"/>
      <x:c r="M141" s="44"/>
      <x:c r="N141" s="44"/>
    </x:row>
    <x:row r="142">
      <x:c r="A142" s="44"/>
      <x:c r="B142" s="44"/>
      <x:c r="C142" s="44"/>
      <x:c r="D142" s="44"/>
      <x:c r="E142" s="44"/>
      <x:c r="F142" s="44"/>
      <x:c r="G142" s="44"/>
      <x:c r="H142" s="44"/>
      <x:c r="I142" s="44"/>
      <x:c r="J142" s="44"/>
      <x:c r="K142" s="44"/>
      <x:c r="L142" s="44"/>
      <x:c r="M142" s="44"/>
      <x:c r="N142" s="44"/>
    </x:row>
    <x:row r="143">
      <x:c r="A143" s="44"/>
      <x:c r="B143" s="44"/>
      <x:c r="C143" s="44"/>
      <x:c r="D143" s="44"/>
      <x:c r="E143" s="44"/>
      <x:c r="F143" s="44"/>
      <x:c r="G143" s="44"/>
      <x:c r="H143" s="44"/>
      <x:c r="I143" s="44"/>
      <x:c r="J143" s="44"/>
      <x:c r="K143" s="44"/>
      <x:c r="L143" s="44"/>
      <x:c r="M143" s="44"/>
      <x:c r="N143" s="44"/>
    </x:row>
    <x:row r="144">
      <x:c r="A144" s="44"/>
      <x:c r="B144" s="44"/>
      <x:c r="C144" s="44"/>
      <x:c r="D144" s="44"/>
      <x:c r="E144" s="44"/>
      <x:c r="F144" s="44"/>
      <x:c r="G144" s="44"/>
      <x:c r="H144" s="44"/>
      <x:c r="I144" s="44"/>
      <x:c r="J144" s="44"/>
      <x:c r="K144" s="44"/>
      <x:c r="L144" s="44"/>
      <x:c r="M144" s="44"/>
      <x:c r="N144" s="44"/>
    </x:row>
    <x:row r="145">
      <x:c r="A145" s="44"/>
      <x:c r="B145" s="44"/>
      <x:c r="C145" s="44"/>
      <x:c r="D145" s="44"/>
      <x:c r="E145" s="44"/>
      <x:c r="F145" s="44"/>
      <x:c r="G145" s="44"/>
      <x:c r="H145" s="44"/>
      <x:c r="I145" s="44"/>
      <x:c r="J145" s="44"/>
      <x:c r="K145" s="44"/>
      <x:c r="L145" s="44"/>
      <x:c r="M145" s="44"/>
      <x:c r="N145" s="44"/>
    </x:row>
    <x:row r="146">
      <x:c r="A146" s="44"/>
      <x:c r="B146" s="44"/>
      <x:c r="C146" s="44"/>
      <x:c r="D146" s="44"/>
      <x:c r="E146" s="44"/>
      <x:c r="F146" s="44"/>
      <x:c r="G146" s="44"/>
      <x:c r="H146" s="44"/>
      <x:c r="I146" s="44"/>
      <x:c r="J146" s="44"/>
      <x:c r="K146" s="44"/>
      <x:c r="L146" s="44"/>
      <x:c r="M146" s="44"/>
      <x:c r="N146" s="44"/>
    </x:row>
    <x:row r="147">
      <x:c r="A147" s="44"/>
      <x:c r="B147" s="44"/>
      <x:c r="C147" s="44"/>
      <x:c r="D147" s="44"/>
      <x:c r="E147" s="44"/>
      <x:c r="F147" s="44"/>
      <x:c r="G147" s="44"/>
      <x:c r="H147" s="44"/>
      <x:c r="I147" s="44"/>
      <x:c r="J147" s="44"/>
      <x:c r="K147" s="44"/>
      <x:c r="L147" s="44"/>
      <x:c r="M147" s="44"/>
      <x:c r="N147" s="44"/>
    </x:row>
    <x:row r="148">
      <x:c r="A148" s="44"/>
      <x:c r="B148" s="44"/>
      <x:c r="C148" s="44"/>
      <x:c r="D148" s="44"/>
      <x:c r="E148" s="44"/>
      <x:c r="F148" s="44"/>
      <x:c r="G148" s="44"/>
      <x:c r="H148" s="44"/>
      <x:c r="I148" s="44"/>
      <x:c r="J148" s="44"/>
      <x:c r="K148" s="44"/>
      <x:c r="L148" s="44"/>
      <x:c r="M148" s="44"/>
      <x:c r="N148" s="44"/>
    </x:row>
    <x:row r="149">
      <x:c r="A149" s="44"/>
      <x:c r="B149" s="44"/>
      <x:c r="C149" s="44"/>
      <x:c r="D149" s="44"/>
      <x:c r="E149" s="44"/>
      <x:c r="F149" s="44"/>
      <x:c r="G149" s="44"/>
      <x:c r="H149" s="44"/>
      <x:c r="I149" s="44"/>
      <x:c r="J149" s="44"/>
      <x:c r="K149" s="44"/>
      <x:c r="L149" s="44"/>
      <x:c r="M149" s="44"/>
      <x:c r="N149" s="44"/>
    </x:row>
    <x:row r="150">
      <x:c r="A150" s="44"/>
      <x:c r="B150" s="44"/>
      <x:c r="C150" s="44"/>
      <x:c r="D150" s="44"/>
      <x:c r="E150" s="44"/>
      <x:c r="F150" s="44"/>
      <x:c r="G150" s="44"/>
      <x:c r="H150" s="44"/>
      <x:c r="I150" s="44"/>
      <x:c r="J150" s="44"/>
      <x:c r="K150" s="44"/>
      <x:c r="L150" s="44"/>
      <x:c r="M150" s="44"/>
      <x:c r="N150" s="44"/>
    </x:row>
    <x:row r="151">
      <x:c r="A151" s="44"/>
      <x:c r="B151" s="44"/>
      <x:c r="C151" s="44"/>
      <x:c r="D151" s="44"/>
      <x:c r="E151" s="44"/>
      <x:c r="F151" s="44"/>
      <x:c r="G151" s="44"/>
      <x:c r="H151" s="44"/>
      <x:c r="I151" s="44"/>
      <x:c r="J151" s="44"/>
      <x:c r="K151" s="44"/>
      <x:c r="L151" s="44"/>
      <x:c r="M151" s="44"/>
      <x:c r="N151" s="44"/>
    </x:row>
    <x:row r="152">
      <x:c r="A152" s="44"/>
      <x:c r="B152" s="44"/>
      <x:c r="C152" s="44"/>
      <x:c r="D152" s="44"/>
      <x:c r="E152" s="44"/>
      <x:c r="F152" s="44"/>
      <x:c r="G152" s="44"/>
      <x:c r="H152" s="44"/>
      <x:c r="I152" s="44"/>
      <x:c r="J152" s="44"/>
      <x:c r="K152" s="44"/>
      <x:c r="L152" s="44"/>
      <x:c r="M152" s="44"/>
      <x:c r="N152" s="44"/>
    </x:row>
    <x:row r="153">
      <x:c r="A153" s="44"/>
      <x:c r="B153" s="44"/>
      <x:c r="C153" s="44"/>
      <x:c r="D153" s="44"/>
      <x:c r="E153" s="44"/>
      <x:c r="F153" s="44"/>
      <x:c r="G153" s="44"/>
      <x:c r="H153" s="44"/>
      <x:c r="I153" s="44"/>
      <x:c r="J153" s="44"/>
      <x:c r="K153" s="44"/>
      <x:c r="L153" s="44"/>
      <x:c r="M153" s="44"/>
      <x:c r="N153" s="44"/>
    </x:row>
    <x:row r="154">
      <x:c r="A154" s="44"/>
      <x:c r="B154" s="44"/>
      <x:c r="C154" s="44"/>
      <x:c r="D154" s="44"/>
      <x:c r="E154" s="44"/>
      <x:c r="F154" s="44"/>
      <x:c r="G154" s="44"/>
      <x:c r="H154" s="44"/>
      <x:c r="I154" s="44"/>
      <x:c r="J154" s="44"/>
      <x:c r="K154" s="44"/>
      <x:c r="L154" s="44"/>
      <x:c r="M154" s="44"/>
      <x:c r="N154" s="44"/>
    </x:row>
    <x:row r="155">
      <x:c r="A155" s="44"/>
      <x:c r="B155" s="44"/>
      <x:c r="C155" s="44"/>
      <x:c r="D155" s="44"/>
      <x:c r="E155" s="44"/>
      <x:c r="F155" s="44"/>
      <x:c r="G155" s="44"/>
      <x:c r="H155" s="44"/>
      <x:c r="I155" s="44"/>
      <x:c r="J155" s="44"/>
      <x:c r="K155" s="44"/>
      <x:c r="L155" s="44"/>
      <x:c r="M155" s="44"/>
      <x:c r="N155" s="44"/>
    </x:row>
    <x:row r="156">
      <x:c r="A156" s="44"/>
      <x:c r="B156" s="44"/>
      <x:c r="C156" s="44"/>
      <x:c r="D156" s="44"/>
      <x:c r="E156" s="44"/>
      <x:c r="F156" s="44"/>
      <x:c r="G156" s="44"/>
      <x:c r="H156" s="44"/>
      <x:c r="I156" s="44"/>
      <x:c r="J156" s="44"/>
      <x:c r="K156" s="44"/>
      <x:c r="L156" s="44"/>
      <x:c r="M156" s="44"/>
      <x:c r="N156" s="44"/>
    </x:row>
    <x:row r="157">
      <x:c r="A157" s="44"/>
      <x:c r="B157" s="44"/>
      <x:c r="C157" s="44"/>
      <x:c r="D157" s="44"/>
      <x:c r="E157" s="44"/>
      <x:c r="F157" s="44"/>
      <x:c r="G157" s="44"/>
      <x:c r="H157" s="44"/>
      <x:c r="I157" s="44"/>
      <x:c r="J157" s="44"/>
      <x:c r="K157" s="44"/>
      <x:c r="L157" s="44"/>
      <x:c r="M157" s="44"/>
      <x:c r="N157" s="44"/>
    </x:row>
    <x:row r="158">
      <x:c r="A158" s="44"/>
      <x:c r="B158" s="44"/>
      <x:c r="C158" s="44"/>
      <x:c r="D158" s="44"/>
      <x:c r="E158" s="44"/>
      <x:c r="F158" s="44"/>
      <x:c r="G158" s="44"/>
      <x:c r="H158" s="44"/>
      <x:c r="I158" s="44"/>
      <x:c r="J158" s="44"/>
      <x:c r="K158" s="44"/>
      <x:c r="L158" s="44"/>
      <x:c r="M158" s="44"/>
      <x:c r="N158" s="44"/>
    </x:row>
    <x:row r="159">
      <x:c r="A159" s="44"/>
      <x:c r="B159" s="44"/>
      <x:c r="C159" s="44"/>
      <x:c r="D159" s="44"/>
      <x:c r="E159" s="44"/>
      <x:c r="F159" s="44"/>
      <x:c r="G159" s="44"/>
      <x:c r="H159" s="44"/>
      <x:c r="I159" s="44"/>
      <x:c r="J159" s="44"/>
      <x:c r="K159" s="44"/>
      <x:c r="L159" s="44"/>
      <x:c r="M159" s="44"/>
      <x:c r="N159" s="44"/>
    </x:row>
    <x:row r="160">
      <x:c r="A160" s="44"/>
      <x:c r="B160" s="44"/>
      <x:c r="C160" s="44"/>
      <x:c r="D160" s="44"/>
      <x:c r="E160" s="44"/>
      <x:c r="F160" s="44"/>
      <x:c r="G160" s="44"/>
      <x:c r="H160" s="44"/>
      <x:c r="I160" s="44"/>
      <x:c r="J160" s="44"/>
      <x:c r="K160" s="44"/>
      <x:c r="L160" s="44"/>
      <x:c r="M160" s="44"/>
      <x:c r="N160" s="44"/>
    </x:row>
    <x:row r="161">
      <x:c r="A161" s="44"/>
      <x:c r="B161" s="44"/>
      <x:c r="C161" s="44"/>
      <x:c r="D161" s="44"/>
      <x:c r="E161" s="44"/>
      <x:c r="F161" s="44"/>
      <x:c r="G161" s="44"/>
      <x:c r="H161" s="44"/>
      <x:c r="I161" s="44"/>
      <x:c r="J161" s="44"/>
      <x:c r="K161" s="44"/>
      <x:c r="L161" s="44"/>
      <x:c r="M161" s="44"/>
      <x:c r="N161" s="44"/>
    </x:row>
    <x:row r="162">
      <x:c r="A162" s="44"/>
      <x:c r="B162" s="44"/>
      <x:c r="C162" s="44"/>
      <x:c r="D162" s="44"/>
      <x:c r="E162" s="44"/>
      <x:c r="F162" s="44"/>
      <x:c r="G162" s="44"/>
      <x:c r="H162" s="44"/>
      <x:c r="I162" s="44"/>
      <x:c r="J162" s="44"/>
      <x:c r="K162" s="44"/>
      <x:c r="L162" s="44"/>
      <x:c r="M162" s="44"/>
      <x:c r="N162" s="44"/>
    </x:row>
    <x:row r="163">
      <x:c r="A163" s="44"/>
      <x:c r="B163" s="44"/>
      <x:c r="C163" s="44"/>
      <x:c r="D163" s="44"/>
      <x:c r="E163" s="44"/>
      <x:c r="F163" s="44"/>
      <x:c r="G163" s="44"/>
      <x:c r="H163" s="44"/>
      <x:c r="I163" s="44"/>
      <x:c r="J163" s="44"/>
      <x:c r="K163" s="44"/>
      <x:c r="L163" s="44"/>
      <x:c r="M163" s="44"/>
      <x:c r="N163" s="44"/>
    </x:row>
    <x:row r="164">
      <x:c r="A164" s="44"/>
      <x:c r="B164" s="44"/>
      <x:c r="C164" s="44"/>
      <x:c r="D164" s="44"/>
      <x:c r="E164" s="44"/>
      <x:c r="F164" s="44"/>
      <x:c r="G164" s="44"/>
      <x:c r="H164" s="44"/>
      <x:c r="I164" s="44"/>
      <x:c r="J164" s="44"/>
      <x:c r="K164" s="44"/>
      <x:c r="L164" s="44"/>
      <x:c r="M164" s="44"/>
      <x:c r="N164" s="44"/>
    </x:row>
    <x:row r="165">
      <x:c r="A165" s="44"/>
      <x:c r="B165" s="44"/>
      <x:c r="C165" s="44"/>
      <x:c r="D165" s="44"/>
      <x:c r="E165" s="44"/>
      <x:c r="F165" s="44"/>
      <x:c r="G165" s="44"/>
      <x:c r="H165" s="44"/>
      <x:c r="I165" s="44"/>
      <x:c r="J165" s="44"/>
      <x:c r="K165" s="44"/>
      <x:c r="L165" s="44"/>
      <x:c r="M165" s="44"/>
      <x:c r="N165" s="44"/>
    </x:row>
    <x:row r="166">
      <x:c r="A166" s="44"/>
      <x:c r="B166" s="44"/>
      <x:c r="C166" s="44"/>
      <x:c r="D166" s="44"/>
      <x:c r="E166" s="44"/>
      <x:c r="F166" s="44"/>
      <x:c r="G166" s="44"/>
      <x:c r="H166" s="44"/>
      <x:c r="I166" s="44"/>
      <x:c r="J166" s="44"/>
      <x:c r="K166" s="44"/>
      <x:c r="L166" s="44"/>
      <x:c r="M166" s="44"/>
      <x:c r="N166" s="44"/>
    </x:row>
    <x:row r="167">
      <x:c r="A167" s="44"/>
      <x:c r="B167" s="44"/>
      <x:c r="C167" s="44"/>
      <x:c r="D167" s="44"/>
      <x:c r="E167" s="44"/>
      <x:c r="F167" s="44"/>
      <x:c r="G167" s="44"/>
      <x:c r="H167" s="44"/>
      <x:c r="I167" s="44"/>
      <x:c r="J167" s="44"/>
      <x:c r="K167" s="44"/>
      <x:c r="L167" s="44"/>
      <x:c r="M167" s="44"/>
      <x:c r="N167" s="44"/>
    </x:row>
    <x:row r="168">
      <x:c r="A168" s="44"/>
      <x:c r="B168" s="44"/>
      <x:c r="C168" s="44"/>
      <x:c r="D168" s="44"/>
      <x:c r="E168" s="44"/>
      <x:c r="F168" s="44"/>
      <x:c r="G168" s="44"/>
      <x:c r="H168" s="44"/>
      <x:c r="I168" s="44"/>
      <x:c r="J168" s="44"/>
      <x:c r="K168" s="44"/>
      <x:c r="L168" s="44"/>
      <x:c r="M168" s="44"/>
      <x:c r="N168" s="44"/>
    </x:row>
    <x:row r="169">
      <x:c r="A169" s="44"/>
      <x:c r="B169" s="44"/>
      <x:c r="C169" s="44"/>
      <x:c r="D169" s="44"/>
      <x:c r="E169" s="44"/>
      <x:c r="F169" s="44"/>
      <x:c r="G169" s="44"/>
      <x:c r="H169" s="44"/>
      <x:c r="I169" s="44"/>
      <x:c r="J169" s="44"/>
      <x:c r="K169" s="44"/>
      <x:c r="L169" s="44"/>
      <x:c r="M169" s="44"/>
      <x:c r="N169" s="44"/>
    </x:row>
    <x:row r="170">
      <x:c r="A170" s="44"/>
      <x:c r="B170" s="44"/>
      <x:c r="C170" s="44"/>
      <x:c r="D170" s="44"/>
      <x:c r="E170" s="44"/>
      <x:c r="F170" s="44"/>
      <x:c r="G170" s="44"/>
      <x:c r="H170" s="44"/>
      <x:c r="I170" s="44"/>
      <x:c r="J170" s="44"/>
      <x:c r="K170" s="44"/>
      <x:c r="L170" s="44"/>
      <x:c r="M170" s="44"/>
      <x:c r="N170" s="44"/>
    </x:row>
    <x:row r="171">
      <x:c r="A171" s="44"/>
      <x:c r="B171" s="44"/>
      <x:c r="C171" s="44"/>
      <x:c r="D171" s="44"/>
      <x:c r="E171" s="44"/>
      <x:c r="F171" s="44"/>
      <x:c r="G171" s="44"/>
      <x:c r="H171" s="44"/>
      <x:c r="I171" s="44"/>
      <x:c r="J171" s="44"/>
      <x:c r="K171" s="44"/>
      <x:c r="L171" s="44"/>
      <x:c r="M171" s="44"/>
      <x:c r="N171" s="44"/>
    </x:row>
    <x:row r="172">
      <x:c r="A172" s="44"/>
      <x:c r="B172" s="44"/>
      <x:c r="C172" s="44"/>
      <x:c r="D172" s="44"/>
      <x:c r="E172" s="44"/>
      <x:c r="F172" s="44"/>
      <x:c r="G172" s="44"/>
      <x:c r="H172" s="44"/>
      <x:c r="I172" s="44"/>
      <x:c r="J172" s="44"/>
      <x:c r="K172" s="44"/>
      <x:c r="L172" s="44"/>
      <x:c r="M172" s="44"/>
      <x:c r="N172" s="44"/>
    </x:row>
    <x:row r="173">
      <x:c r="A173" s="44"/>
      <x:c r="B173" s="44"/>
      <x:c r="C173" s="44"/>
      <x:c r="D173" s="44"/>
      <x:c r="E173" s="44"/>
      <x:c r="F173" s="44"/>
      <x:c r="G173" s="44"/>
      <x:c r="H173" s="44"/>
      <x:c r="I173" s="44"/>
      <x:c r="J173" s="44"/>
      <x:c r="K173" s="44"/>
      <x:c r="L173" s="44"/>
      <x:c r="M173" s="44"/>
      <x:c r="N173" s="44"/>
    </x:row>
    <x:row r="174">
      <x:c r="A174" s="44"/>
      <x:c r="B174" s="44"/>
      <x:c r="C174" s="44"/>
      <x:c r="D174" s="44"/>
      <x:c r="E174" s="44"/>
      <x:c r="F174" s="44"/>
      <x:c r="G174" s="44"/>
      <x:c r="H174" s="44"/>
      <x:c r="I174" s="44"/>
      <x:c r="J174" s="44"/>
      <x:c r="K174" s="44"/>
      <x:c r="L174" s="44"/>
      <x:c r="M174" s="44"/>
      <x:c r="N174" s="44"/>
    </x:row>
    <x:row r="175">
      <x:c r="A175" s="44"/>
      <x:c r="B175" s="44"/>
      <x:c r="C175" s="44"/>
      <x:c r="D175" s="44"/>
      <x:c r="E175" s="44"/>
      <x:c r="F175" s="44"/>
      <x:c r="G175" s="44"/>
      <x:c r="H175" s="44"/>
      <x:c r="I175" s="44"/>
      <x:c r="J175" s="44"/>
      <x:c r="K175" s="44"/>
      <x:c r="L175" s="44"/>
      <x:c r="M175" s="44"/>
      <x:c r="N175" s="44"/>
    </x:row>
    <x:row r="176">
      <x:c r="A176" s="44"/>
      <x:c r="B176" s="44"/>
      <x:c r="C176" s="44"/>
      <x:c r="D176" s="44"/>
      <x:c r="E176" s="44"/>
      <x:c r="F176" s="44"/>
      <x:c r="G176" s="44"/>
      <x:c r="H176" s="44"/>
      <x:c r="I176" s="44"/>
      <x:c r="J176" s="44"/>
      <x:c r="K176" s="44"/>
      <x:c r="L176" s="44"/>
      <x:c r="M176" s="44"/>
      <x:c r="N176" s="44"/>
    </x:row>
    <x:row r="177">
      <x:c r="A177" s="44"/>
      <x:c r="B177" s="44"/>
      <x:c r="C177" s="44"/>
      <x:c r="D177" s="44"/>
      <x:c r="E177" s="44"/>
      <x:c r="F177" s="44"/>
      <x:c r="G177" s="44"/>
      <x:c r="H177" s="44"/>
      <x:c r="I177" s="44"/>
      <x:c r="J177" s="44"/>
      <x:c r="K177" s="44"/>
      <x:c r="L177" s="44"/>
      <x:c r="M177" s="44"/>
      <x:c r="N177" s="44"/>
    </x:row>
    <x:row r="178">
      <x:c r="A178" s="44"/>
      <x:c r="B178" s="44"/>
      <x:c r="C178" s="44"/>
      <x:c r="D178" s="44"/>
      <x:c r="E178" s="44"/>
      <x:c r="F178" s="44"/>
      <x:c r="G178" s="44"/>
      <x:c r="H178" s="44"/>
      <x:c r="I178" s="44"/>
      <x:c r="J178" s="44"/>
      <x:c r="K178" s="44"/>
      <x:c r="L178" s="44"/>
      <x:c r="M178" s="44"/>
      <x:c r="N178" s="44"/>
    </x:row>
    <x:row r="179">
      <x:c r="A179" s="44"/>
      <x:c r="B179" s="44"/>
      <x:c r="C179" s="44"/>
      <x:c r="D179" s="44"/>
      <x:c r="E179" s="44"/>
      <x:c r="F179" s="44"/>
      <x:c r="G179" s="44"/>
      <x:c r="H179" s="44"/>
      <x:c r="I179" s="44"/>
      <x:c r="J179" s="44"/>
      <x:c r="K179" s="44"/>
      <x:c r="L179" s="44"/>
      <x:c r="M179" s="44"/>
      <x:c r="N179" s="44"/>
    </x:row>
    <x:row r="180">
      <x:c r="A180" s="44"/>
      <x:c r="B180" s="44"/>
      <x:c r="C180" s="44"/>
      <x:c r="D180" s="44"/>
      <x:c r="E180" s="44"/>
      <x:c r="F180" s="44"/>
      <x:c r="G180" s="44"/>
      <x:c r="H180" s="44"/>
      <x:c r="I180" s="44"/>
      <x:c r="J180" s="44"/>
      <x:c r="K180" s="44"/>
      <x:c r="L180" s="44"/>
      <x:c r="M180" s="44"/>
      <x:c r="N180" s="44"/>
    </x:row>
    <x:row r="181">
      <x:c r="A181" s="44"/>
      <x:c r="B181" s="44"/>
      <x:c r="C181" s="44"/>
      <x:c r="D181" s="44"/>
      <x:c r="E181" s="44"/>
      <x:c r="F181" s="44"/>
      <x:c r="G181" s="44"/>
      <x:c r="H181" s="44"/>
      <x:c r="I181" s="44"/>
      <x:c r="J181" s="44"/>
      <x:c r="K181" s="44"/>
      <x:c r="L181" s="44"/>
      <x:c r="M181" s="44"/>
      <x:c r="N181" s="44"/>
    </x:row>
    <x:row r="182">
      <x:c r="A182" s="44"/>
      <x:c r="B182" s="44"/>
      <x:c r="C182" s="44"/>
      <x:c r="D182" s="44"/>
      <x:c r="E182" s="44"/>
      <x:c r="F182" s="44"/>
      <x:c r="G182" s="44"/>
      <x:c r="H182" s="44"/>
      <x:c r="I182" s="44"/>
      <x:c r="J182" s="44"/>
      <x:c r="K182" s="44"/>
      <x:c r="L182" s="44"/>
      <x:c r="M182" s="44"/>
      <x:c r="N182" s="44"/>
    </x:row>
    <x:row r="183">
      <x:c r="A183" s="44"/>
      <x:c r="B183" s="44"/>
      <x:c r="C183" s="44"/>
      <x:c r="D183" s="44"/>
      <x:c r="E183" s="44"/>
      <x:c r="F183" s="44"/>
      <x:c r="G183" s="44"/>
      <x:c r="H183" s="44"/>
      <x:c r="I183" s="44"/>
      <x:c r="J183" s="44"/>
      <x:c r="K183" s="44"/>
      <x:c r="L183" s="44"/>
      <x:c r="M183" s="44"/>
      <x:c r="N183" s="44"/>
    </x:row>
    <x:row r="184">
      <x:c r="A184" s="44"/>
      <x:c r="B184" s="44"/>
      <x:c r="C184" s="44"/>
      <x:c r="D184" s="44"/>
      <x:c r="E184" s="44"/>
      <x:c r="F184" s="44"/>
      <x:c r="G184" s="44"/>
      <x:c r="H184" s="44"/>
      <x:c r="I184" s="44"/>
      <x:c r="J184" s="44"/>
      <x:c r="K184" s="44"/>
      <x:c r="L184" s="44"/>
      <x:c r="M184" s="44"/>
      <x:c r="N184" s="44"/>
    </x:row>
    <x:row r="185">
      <x:c r="A185" s="44"/>
      <x:c r="B185" s="44"/>
      <x:c r="C185" s="44"/>
      <x:c r="D185" s="44"/>
      <x:c r="E185" s="44"/>
      <x:c r="F185" s="44"/>
      <x:c r="G185" s="44"/>
      <x:c r="H185" s="44"/>
      <x:c r="I185" s="44"/>
      <x:c r="J185" s="44"/>
      <x:c r="K185" s="44"/>
      <x:c r="L185" s="44"/>
      <x:c r="M185" s="44"/>
      <x:c r="N185" s="44"/>
    </x:row>
    <x:row r="186">
      <x:c r="A186" s="44"/>
      <x:c r="B186" s="44"/>
      <x:c r="C186" s="44"/>
      <x:c r="D186" s="44"/>
      <x:c r="E186" s="44"/>
      <x:c r="F186" s="44"/>
      <x:c r="G186" s="44"/>
      <x:c r="H186" s="44"/>
      <x:c r="I186" s="44"/>
      <x:c r="J186" s="44"/>
      <x:c r="K186" s="44"/>
      <x:c r="L186" s="44"/>
      <x:c r="M186" s="44"/>
      <x:c r="N186" s="44"/>
    </x:row>
    <x:row r="187">
      <x:c r="A187" s="44"/>
      <x:c r="B187" s="44"/>
      <x:c r="C187" s="44"/>
      <x:c r="D187" s="44"/>
      <x:c r="E187" s="44"/>
      <x:c r="F187" s="44"/>
      <x:c r="G187" s="44"/>
      <x:c r="H187" s="44"/>
      <x:c r="I187" s="44"/>
      <x:c r="J187" s="44"/>
      <x:c r="K187" s="44"/>
      <x:c r="L187" s="44"/>
      <x:c r="M187" s="44"/>
      <x:c r="N187" s="44"/>
    </x:row>
    <x:row r="188">
      <x:c r="A188" s="44"/>
      <x:c r="B188" s="44"/>
      <x:c r="C188" s="44"/>
      <x:c r="D188" s="44"/>
      <x:c r="E188" s="44"/>
      <x:c r="F188" s="44"/>
      <x:c r="G188" s="44"/>
      <x:c r="H188" s="44"/>
      <x:c r="I188" s="44"/>
      <x:c r="J188" s="44"/>
      <x:c r="K188" s="44"/>
      <x:c r="L188" s="44"/>
      <x:c r="M188" s="44"/>
      <x:c r="N188" s="44"/>
    </x:row>
    <x:row r="189">
      <x:c r="A189" s="44"/>
      <x:c r="B189" s="44"/>
      <x:c r="C189" s="44"/>
      <x:c r="D189" s="44"/>
      <x:c r="E189" s="44"/>
      <x:c r="F189" s="44"/>
      <x:c r="G189" s="44"/>
      <x:c r="H189" s="44"/>
      <x:c r="I189" s="44"/>
      <x:c r="J189" s="44"/>
      <x:c r="K189" s="44"/>
      <x:c r="L189" s="44"/>
      <x:c r="M189" s="44"/>
      <x:c r="N189" s="44"/>
    </x:row>
    <x:row r="190">
      <x:c r="A190" s="44"/>
      <x:c r="B190" s="44"/>
      <x:c r="C190" s="44"/>
      <x:c r="D190" s="44"/>
      <x:c r="E190" s="44"/>
      <x:c r="F190" s="44"/>
      <x:c r="G190" s="44"/>
      <x:c r="H190" s="44"/>
      <x:c r="I190" s="44"/>
      <x:c r="J190" s="44"/>
      <x:c r="K190" s="44"/>
      <x:c r="L190" s="44"/>
      <x:c r="M190" s="44"/>
      <x:c r="N190" s="44"/>
    </x:row>
    <x:row r="191">
      <x:c r="A191" s="44"/>
      <x:c r="B191" s="44"/>
      <x:c r="C191" s="44"/>
      <x:c r="D191" s="44"/>
      <x:c r="E191" s="44"/>
      <x:c r="F191" s="44"/>
      <x:c r="G191" s="44"/>
      <x:c r="H191" s="44"/>
      <x:c r="I191" s="44"/>
      <x:c r="J191" s="44"/>
      <x:c r="K191" s="44"/>
      <x:c r="L191" s="44"/>
      <x:c r="M191" s="44"/>
      <x:c r="N191" s="44"/>
    </x:row>
    <x:row r="192">
      <x:c r="A192" s="44"/>
      <x:c r="B192" s="44"/>
      <x:c r="C192" s="44"/>
      <x:c r="D192" s="44"/>
      <x:c r="E192" s="44"/>
      <x:c r="F192" s="44"/>
      <x:c r="G192" s="44"/>
      <x:c r="H192" s="44"/>
      <x:c r="I192" s="44"/>
      <x:c r="J192" s="44"/>
      <x:c r="K192" s="44"/>
      <x:c r="L192" s="44"/>
      <x:c r="M192" s="44"/>
      <x:c r="N192" s="44"/>
    </x:row>
    <x:row r="193">
      <x:c r="A193" s="44"/>
      <x:c r="B193" s="44"/>
      <x:c r="C193" s="44"/>
      <x:c r="D193" s="44"/>
      <x:c r="E193" s="44"/>
      <x:c r="F193" s="44"/>
      <x:c r="G193" s="44"/>
      <x:c r="H193" s="44"/>
      <x:c r="I193" s="44"/>
      <x:c r="J193" s="44"/>
      <x:c r="K193" s="44"/>
      <x:c r="L193" s="44"/>
      <x:c r="M193" s="44"/>
      <x:c r="N193" s="44"/>
    </x:row>
    <x:row r="194">
      <x:c r="A194" s="44"/>
      <x:c r="B194" s="44"/>
      <x:c r="C194" s="44"/>
      <x:c r="D194" s="44"/>
      <x:c r="E194" s="44"/>
      <x:c r="F194" s="44"/>
      <x:c r="G194" s="44"/>
      <x:c r="H194" s="44"/>
      <x:c r="I194" s="44"/>
      <x:c r="J194" s="44"/>
      <x:c r="K194" s="44"/>
      <x:c r="L194" s="44"/>
      <x:c r="M194" s="44"/>
      <x:c r="N194" s="44"/>
    </x:row>
    <x:row r="195">
      <x:c r="A195" s="44"/>
      <x:c r="B195" s="44"/>
      <x:c r="C195" s="44"/>
      <x:c r="D195" s="44"/>
      <x:c r="E195" s="44"/>
      <x:c r="F195" s="44"/>
      <x:c r="G195" s="44"/>
      <x:c r="H195" s="44"/>
      <x:c r="I195" s="44"/>
      <x:c r="J195" s="44"/>
      <x:c r="K195" s="44"/>
      <x:c r="L195" s="44"/>
      <x:c r="M195" s="44"/>
      <x:c r="N195" s="44"/>
    </x:row>
    <x:row r="196">
      <x:c r="A196" s="44"/>
      <x:c r="B196" s="44"/>
      <x:c r="C196" s="44"/>
      <x:c r="D196" s="44"/>
      <x:c r="E196" s="44"/>
      <x:c r="F196" s="44"/>
      <x:c r="G196" s="44"/>
      <x:c r="H196" s="44"/>
      <x:c r="I196" s="44"/>
      <x:c r="J196" s="44"/>
      <x:c r="K196" s="44"/>
      <x:c r="L196" s="44"/>
      <x:c r="M196" s="44"/>
      <x:c r="N196" s="44"/>
    </x:row>
    <x:row r="197">
      <x:c r="A197" s="44"/>
      <x:c r="B197" s="44"/>
      <x:c r="C197" s="44"/>
      <x:c r="D197" s="44"/>
      <x:c r="E197" s="44"/>
      <x:c r="F197" s="44"/>
      <x:c r="G197" s="44"/>
      <x:c r="H197" s="44"/>
      <x:c r="I197" s="44"/>
      <x:c r="J197" s="44"/>
      <x:c r="K197" s="44"/>
      <x:c r="L197" s="44"/>
      <x:c r="M197" s="44"/>
      <x:c r="N197" s="44"/>
    </x:row>
    <x:row r="198">
      <x:c r="A198" s="44"/>
      <x:c r="B198" s="44"/>
      <x:c r="C198" s="44"/>
      <x:c r="D198" s="44"/>
      <x:c r="E198" s="44"/>
      <x:c r="F198" s="44"/>
      <x:c r="G198" s="44"/>
      <x:c r="H198" s="44"/>
      <x:c r="I198" s="44"/>
      <x:c r="J198" s="44"/>
      <x:c r="K198" s="44"/>
      <x:c r="L198" s="44"/>
      <x:c r="M198" s="44"/>
      <x:c r="N198" s="44"/>
    </x:row>
    <x:row r="199">
      <x:c r="A199" s="44"/>
      <x:c r="B199" s="44"/>
      <x:c r="C199" s="44"/>
      <x:c r="D199" s="44"/>
      <x:c r="E199" s="44"/>
      <x:c r="F199" s="44"/>
      <x:c r="G199" s="44"/>
      <x:c r="H199" s="44"/>
      <x:c r="I199" s="44"/>
      <x:c r="J199" s="44"/>
      <x:c r="K199" s="44"/>
      <x:c r="L199" s="44"/>
      <x:c r="M199" s="44"/>
      <x:c r="N199" s="44"/>
    </x:row>
    <x:row r="200">
      <x:c r="A200" s="44"/>
      <x:c r="B200" s="44"/>
      <x:c r="C200" s="44"/>
      <x:c r="D200" s="44"/>
      <x:c r="E200" s="44"/>
      <x:c r="F200" s="44"/>
      <x:c r="G200" s="44"/>
      <x:c r="H200" s="44"/>
      <x:c r="I200" s="44"/>
      <x:c r="J200" s="44"/>
      <x:c r="K200" s="44"/>
      <x:c r="L200" s="44"/>
      <x:c r="M200" s="44"/>
      <x:c r="N200" s="44"/>
    </x:row>
    <x:row r="201">
      <x:c r="A201" s="44"/>
      <x:c r="B201" s="44"/>
      <x:c r="C201" s="44"/>
      <x:c r="D201" s="44"/>
      <x:c r="E201" s="44"/>
      <x:c r="F201" s="44"/>
      <x:c r="G201" s="44"/>
      <x:c r="H201" s="44"/>
      <x:c r="I201" s="44"/>
      <x:c r="J201" s="44"/>
      <x:c r="K201" s="44"/>
      <x:c r="L201" s="44"/>
      <x:c r="M201" s="44"/>
      <x:c r="N201" s="44"/>
    </x:row>
    <x:row r="202">
      <x:c r="A202" s="44"/>
      <x:c r="B202" s="44"/>
      <x:c r="C202" s="44"/>
      <x:c r="D202" s="44"/>
      <x:c r="E202" s="44"/>
      <x:c r="F202" s="44"/>
      <x:c r="G202" s="44"/>
      <x:c r="H202" s="44"/>
      <x:c r="I202" s="44"/>
      <x:c r="J202" s="44"/>
      <x:c r="K202" s="44"/>
      <x:c r="L202" s="44"/>
      <x:c r="M202" s="44"/>
      <x:c r="N202" s="44"/>
    </x:row>
    <x:row r="203">
      <x:c r="A203" s="44"/>
      <x:c r="B203" s="44"/>
      <x:c r="C203" s="44"/>
      <x:c r="D203" s="44"/>
      <x:c r="E203" s="44"/>
      <x:c r="F203" s="44"/>
      <x:c r="G203" s="44"/>
      <x:c r="H203" s="44"/>
      <x:c r="I203" s="44"/>
      <x:c r="J203" s="44"/>
      <x:c r="K203" s="44"/>
      <x:c r="L203" s="44"/>
      <x:c r="M203" s="44"/>
      <x:c r="N203" s="44"/>
    </x:row>
    <x:row r="204">
      <x:c r="A204" s="44"/>
      <x:c r="B204" s="44"/>
      <x:c r="C204" s="44"/>
      <x:c r="D204" s="44"/>
      <x:c r="E204" s="44"/>
      <x:c r="F204" s="44"/>
      <x:c r="G204" s="44"/>
      <x:c r="H204" s="44"/>
      <x:c r="I204" s="44"/>
      <x:c r="J204" s="44"/>
      <x:c r="K204" s="44"/>
      <x:c r="L204" s="44"/>
      <x:c r="M204" s="44"/>
      <x:c r="N204" s="44"/>
    </x:row>
    <x:row r="205">
      <x:c r="A205" s="44"/>
      <x:c r="B205" s="44"/>
      <x:c r="C205" s="44"/>
      <x:c r="D205" s="44"/>
      <x:c r="E205" s="44"/>
      <x:c r="F205" s="44"/>
      <x:c r="G205" s="44"/>
      <x:c r="H205" s="44"/>
      <x:c r="I205" s="44"/>
      <x:c r="J205" s="44"/>
      <x:c r="K205" s="44"/>
      <x:c r="L205" s="44"/>
      <x:c r="M205" s="44"/>
      <x:c r="N205" s="44"/>
    </x:row>
    <x:row r="206">
      <x:c r="A206" s="44"/>
      <x:c r="B206" s="44"/>
      <x:c r="C206" s="44"/>
      <x:c r="D206" s="44"/>
      <x:c r="E206" s="44"/>
      <x:c r="F206" s="44"/>
      <x:c r="G206" s="44"/>
      <x:c r="H206" s="44"/>
      <x:c r="I206" s="44"/>
      <x:c r="J206" s="44"/>
      <x:c r="K206" s="44"/>
      <x:c r="L206" s="44"/>
      <x:c r="M206" s="44"/>
      <x:c r="N206" s="44"/>
    </x:row>
    <x:row r="207">
      <x:c r="A207" s="44"/>
      <x:c r="B207" s="44"/>
      <x:c r="C207" s="44"/>
      <x:c r="D207" s="44"/>
      <x:c r="E207" s="44"/>
      <x:c r="F207" s="44"/>
      <x:c r="G207" s="44"/>
      <x:c r="H207" s="44"/>
      <x:c r="I207" s="44"/>
      <x:c r="J207" s="44"/>
      <x:c r="K207" s="44"/>
      <x:c r="L207" s="44"/>
      <x:c r="M207" s="44"/>
      <x:c r="N207" s="44"/>
    </x:row>
    <x:row r="208">
      <x:c r="A208" s="44"/>
      <x:c r="B208" s="44"/>
      <x:c r="C208" s="44"/>
      <x:c r="D208" s="44"/>
      <x:c r="E208" s="44"/>
      <x:c r="F208" s="44"/>
      <x:c r="G208" s="44"/>
      <x:c r="H208" s="44"/>
      <x:c r="I208" s="44"/>
      <x:c r="J208" s="44"/>
      <x:c r="K208" s="44"/>
      <x:c r="L208" s="44"/>
      <x:c r="M208" s="44"/>
      <x:c r="N208" s="44"/>
    </x:row>
    <x:row r="209">
      <x:c r="A209" s="44"/>
      <x:c r="B209" s="44"/>
      <x:c r="C209" s="44"/>
      <x:c r="D209" s="44"/>
      <x:c r="E209" s="44"/>
      <x:c r="F209" s="44"/>
      <x:c r="G209" s="44"/>
      <x:c r="H209" s="44"/>
      <x:c r="I209" s="44"/>
      <x:c r="J209" s="44"/>
      <x:c r="K209" s="44"/>
      <x:c r="L209" s="44"/>
      <x:c r="M209" s="44"/>
      <x:c r="N209" s="44"/>
    </x:row>
    <x:row r="210">
      <x:c r="A210" s="44"/>
      <x:c r="B210" s="44"/>
      <x:c r="C210" s="44"/>
      <x:c r="D210" s="44"/>
      <x:c r="E210" s="44"/>
      <x:c r="F210" s="44"/>
      <x:c r="G210" s="44"/>
      <x:c r="H210" s="44"/>
      <x:c r="I210" s="44"/>
      <x:c r="J210" s="44"/>
      <x:c r="K210" s="44"/>
      <x:c r="L210" s="44"/>
      <x:c r="M210" s="44"/>
      <x:c r="N210" s="44"/>
    </x:row>
    <x:row r="211">
      <x:c r="A211" s="44"/>
      <x:c r="B211" s="44"/>
      <x:c r="C211" s="44"/>
      <x:c r="D211" s="44"/>
      <x:c r="E211" s="44"/>
      <x:c r="F211" s="44"/>
      <x:c r="G211" s="44"/>
      <x:c r="H211" s="44"/>
      <x:c r="I211" s="44"/>
      <x:c r="J211" s="44"/>
      <x:c r="K211" s="44"/>
      <x:c r="L211" s="44"/>
      <x:c r="M211" s="44"/>
      <x:c r="N211" s="44"/>
    </x:row>
    <x:row r="212">
      <x:c r="A212" s="44"/>
      <x:c r="B212" s="44"/>
      <x:c r="C212" s="44"/>
      <x:c r="D212" s="44"/>
      <x:c r="E212" s="44"/>
      <x:c r="F212" s="44"/>
      <x:c r="G212" s="44"/>
      <x:c r="H212" s="44"/>
      <x:c r="I212" s="44"/>
      <x:c r="J212" s="44"/>
      <x:c r="K212" s="44"/>
      <x:c r="L212" s="44"/>
      <x:c r="M212" s="44"/>
      <x:c r="N212" s="44"/>
    </x:row>
    <x:row r="213">
      <x:c r="A213" s="44"/>
      <x:c r="B213" s="44"/>
      <x:c r="C213" s="44"/>
      <x:c r="D213" s="44"/>
      <x:c r="E213" s="44"/>
      <x:c r="F213" s="44"/>
      <x:c r="G213" s="44"/>
      <x:c r="H213" s="44"/>
      <x:c r="I213" s="44"/>
      <x:c r="J213" s="44"/>
      <x:c r="K213" s="44"/>
      <x:c r="L213" s="44"/>
      <x:c r="M213" s="44"/>
      <x:c r="N213" s="44"/>
    </x:row>
    <x:row r="214">
      <x:c r="A214" s="44"/>
      <x:c r="B214" s="44"/>
      <x:c r="C214" s="44"/>
      <x:c r="D214" s="44"/>
      <x:c r="E214" s="44"/>
      <x:c r="F214" s="44"/>
      <x:c r="G214" s="44"/>
      <x:c r="H214" s="44"/>
      <x:c r="I214" s="44"/>
      <x:c r="J214" s="44"/>
      <x:c r="K214" s="44"/>
      <x:c r="L214" s="44"/>
      <x:c r="M214" s="44"/>
      <x:c r="N214" s="44"/>
    </x:row>
    <x:row r="215">
      <x:c r="A215" s="44"/>
      <x:c r="B215" s="44"/>
      <x:c r="C215" s="44"/>
      <x:c r="D215" s="44"/>
      <x:c r="E215" s="44"/>
      <x:c r="F215" s="44"/>
      <x:c r="G215" s="44"/>
      <x:c r="H215" s="44"/>
      <x:c r="I215" s="44"/>
      <x:c r="J215" s="44"/>
      <x:c r="K215" s="44"/>
      <x:c r="L215" s="44"/>
      <x:c r="M215" s="44"/>
      <x:c r="N215" s="44"/>
    </x:row>
    <x:row r="216">
      <x:c r="A216" s="44"/>
      <x:c r="B216" s="44"/>
      <x:c r="C216" s="44"/>
      <x:c r="D216" s="44"/>
      <x:c r="E216" s="44"/>
      <x:c r="F216" s="44"/>
      <x:c r="G216" s="44"/>
      <x:c r="H216" s="44"/>
      <x:c r="I216" s="44"/>
      <x:c r="J216" s="44"/>
      <x:c r="K216" s="44"/>
      <x:c r="L216" s="44"/>
      <x:c r="M216" s="44"/>
      <x:c r="N216" s="44"/>
    </x:row>
    <x:row r="217">
      <x:c r="A217" s="44"/>
      <x:c r="B217" s="44"/>
      <x:c r="C217" s="44"/>
      <x:c r="D217" s="44"/>
      <x:c r="E217" s="44"/>
      <x:c r="F217" s="44"/>
      <x:c r="G217" s="44"/>
      <x:c r="H217" s="44"/>
      <x:c r="I217" s="44"/>
      <x:c r="J217" s="44"/>
      <x:c r="K217" s="44"/>
      <x:c r="L217" s="44"/>
      <x:c r="M217" s="44"/>
      <x:c r="N217" s="44"/>
    </x:row>
    <x:row r="218">
      <x:c r="A218" s="44"/>
      <x:c r="B218" s="44"/>
      <x:c r="C218" s="44"/>
      <x:c r="D218" s="44"/>
      <x:c r="E218" s="44"/>
      <x:c r="F218" s="44"/>
      <x:c r="G218" s="44"/>
      <x:c r="H218" s="44"/>
      <x:c r="I218" s="44"/>
      <x:c r="J218" s="44"/>
      <x:c r="K218" s="44"/>
      <x:c r="L218" s="44"/>
      <x:c r="M218" s="44"/>
      <x:c r="N218" s="44"/>
    </x:row>
    <x:row r="219">
      <x:c r="A219" s="44"/>
      <x:c r="B219" s="44"/>
      <x:c r="C219" s="44"/>
      <x:c r="D219" s="44"/>
      <x:c r="E219" s="44"/>
      <x:c r="F219" s="44"/>
      <x:c r="G219" s="44"/>
      <x:c r="H219" s="44"/>
      <x:c r="I219" s="44"/>
      <x:c r="J219" s="44"/>
      <x:c r="K219" s="44"/>
      <x:c r="L219" s="44"/>
      <x:c r="M219" s="44"/>
      <x:c r="N219" s="44"/>
    </x:row>
    <x:row r="220">
      <x:c r="A220" s="44"/>
      <x:c r="B220" s="44"/>
      <x:c r="C220" s="44"/>
      <x:c r="D220" s="44"/>
      <x:c r="E220" s="44"/>
      <x:c r="F220" s="44"/>
      <x:c r="G220" s="44"/>
      <x:c r="H220" s="44"/>
      <x:c r="I220" s="44"/>
      <x:c r="J220" s="44"/>
      <x:c r="K220" s="44"/>
      <x:c r="L220" s="44"/>
      <x:c r="M220" s="44"/>
      <x:c r="N220" s="44"/>
    </x:row>
    <x:row r="221">
      <x:c r="A221" s="44"/>
      <x:c r="B221" s="44"/>
      <x:c r="C221" s="44"/>
      <x:c r="D221" s="44"/>
      <x:c r="E221" s="44"/>
      <x:c r="F221" s="44"/>
      <x:c r="G221" s="44"/>
      <x:c r="H221" s="44"/>
      <x:c r="I221" s="44"/>
      <x:c r="J221" s="44"/>
      <x:c r="K221" s="44"/>
      <x:c r="L221" s="44"/>
      <x:c r="M221" s="44"/>
      <x:c r="N221" s="44"/>
    </x:row>
    <x:row r="222">
      <x:c r="A222" s="44"/>
      <x:c r="B222" s="44"/>
      <x:c r="C222" s="44"/>
      <x:c r="D222" s="44"/>
      <x:c r="E222" s="44"/>
      <x:c r="F222" s="44"/>
      <x:c r="G222" s="44"/>
      <x:c r="H222" s="44"/>
      <x:c r="I222" s="44"/>
      <x:c r="J222" s="44"/>
      <x:c r="K222" s="44"/>
      <x:c r="L222" s="44"/>
      <x:c r="M222" s="44"/>
      <x:c r="N222" s="44"/>
    </x:row>
    <x:row r="223">
      <x:c r="A223" s="44"/>
      <x:c r="B223" s="44"/>
      <x:c r="C223" s="44"/>
      <x:c r="D223" s="44"/>
      <x:c r="E223" s="44"/>
      <x:c r="F223" s="44"/>
      <x:c r="G223" s="44"/>
      <x:c r="H223" s="44"/>
      <x:c r="I223" s="44"/>
      <x:c r="J223" s="44"/>
      <x:c r="K223" s="44"/>
      <x:c r="L223" s="44"/>
      <x:c r="M223" s="44"/>
      <x:c r="N223" s="44"/>
    </x:row>
    <x:row r="224">
      <x:c r="A224" s="44"/>
      <x:c r="B224" s="44"/>
      <x:c r="C224" s="44"/>
      <x:c r="D224" s="44"/>
      <x:c r="E224" s="44"/>
      <x:c r="F224" s="44"/>
      <x:c r="G224" s="44"/>
      <x:c r="H224" s="44"/>
      <x:c r="I224" s="44"/>
      <x:c r="J224" s="44"/>
      <x:c r="K224" s="44"/>
      <x:c r="L224" s="44"/>
      <x:c r="M224" s="44"/>
      <x:c r="N224" s="44"/>
    </x:row>
    <x:row r="225">
      <x:c r="A225" s="44"/>
      <x:c r="B225" s="44"/>
      <x:c r="C225" s="44"/>
      <x:c r="D225" s="44"/>
      <x:c r="E225" s="44"/>
      <x:c r="F225" s="44"/>
      <x:c r="G225" s="44"/>
      <x:c r="H225" s="44"/>
      <x:c r="I225" s="44"/>
      <x:c r="J225" s="44"/>
      <x:c r="K225" s="44"/>
      <x:c r="L225" s="44"/>
      <x:c r="M225" s="44"/>
      <x:c r="N225" s="44"/>
    </x:row>
    <x:row r="226">
      <x:c r="A226" s="44"/>
      <x:c r="B226" s="44"/>
      <x:c r="C226" s="44"/>
      <x:c r="D226" s="44"/>
      <x:c r="E226" s="44"/>
      <x:c r="F226" s="44"/>
      <x:c r="G226" s="44"/>
      <x:c r="H226" s="44"/>
      <x:c r="I226" s="44"/>
      <x:c r="J226" s="44"/>
      <x:c r="K226" s="44"/>
      <x:c r="L226" s="44"/>
      <x:c r="M226" s="44"/>
      <x:c r="N226" s="44"/>
    </x:row>
    <x:row r="227">
      <x:c r="A227" s="44"/>
      <x:c r="B227" s="44"/>
      <x:c r="C227" s="44"/>
      <x:c r="D227" s="44"/>
      <x:c r="E227" s="44"/>
      <x:c r="F227" s="44"/>
      <x:c r="G227" s="44"/>
      <x:c r="H227" s="44"/>
      <x:c r="I227" s="44"/>
      <x:c r="J227" s="44"/>
      <x:c r="K227" s="44"/>
      <x:c r="L227" s="44"/>
      <x:c r="M227" s="44"/>
      <x:c r="N227" s="44"/>
    </x:row>
    <x:row r="228">
      <x:c r="A228" s="44"/>
      <x:c r="B228" s="44"/>
      <x:c r="C228" s="44"/>
      <x:c r="D228" s="44"/>
      <x:c r="E228" s="44"/>
      <x:c r="F228" s="44"/>
      <x:c r="G228" s="44"/>
      <x:c r="H228" s="44"/>
      <x:c r="I228" s="44"/>
      <x:c r="J228" s="44"/>
      <x:c r="K228" s="44"/>
      <x:c r="L228" s="44"/>
      <x:c r="M228" s="44"/>
      <x:c r="N228" s="44"/>
    </x:row>
    <x:row r="229">
      <x:c r="A229" s="44"/>
      <x:c r="B229" s="44"/>
      <x:c r="C229" s="44"/>
      <x:c r="D229" s="44"/>
      <x:c r="E229" s="44"/>
      <x:c r="F229" s="44"/>
      <x:c r="G229" s="44"/>
      <x:c r="H229" s="44"/>
      <x:c r="I229" s="44"/>
      <x:c r="J229" s="44"/>
      <x:c r="K229" s="44"/>
      <x:c r="L229" s="44"/>
      <x:c r="M229" s="44"/>
      <x:c r="N229" s="44"/>
    </x:row>
    <x:row r="230">
      <x:c r="A230" s="44"/>
      <x:c r="B230" s="44"/>
      <x:c r="C230" s="44"/>
      <x:c r="D230" s="44"/>
      <x:c r="E230" s="44"/>
      <x:c r="F230" s="44"/>
      <x:c r="G230" s="44"/>
      <x:c r="H230" s="44"/>
      <x:c r="I230" s="44"/>
      <x:c r="J230" s="44"/>
      <x:c r="K230" s="44"/>
      <x:c r="L230" s="44"/>
      <x:c r="M230" s="44"/>
      <x:c r="N230" s="44"/>
    </x:row>
    <x:row r="231">
      <x:c r="A231" s="44"/>
      <x:c r="B231" s="44"/>
      <x:c r="C231" s="44"/>
      <x:c r="D231" s="44"/>
      <x:c r="E231" s="44"/>
      <x:c r="F231" s="44"/>
      <x:c r="G231" s="44"/>
      <x:c r="H231" s="44"/>
      <x:c r="I231" s="44"/>
      <x:c r="J231" s="44"/>
      <x:c r="K231" s="44"/>
      <x:c r="L231" s="44"/>
      <x:c r="M231" s="44"/>
      <x:c r="N231" s="44"/>
    </x:row>
    <x:row r="232">
      <x:c r="A232" s="44"/>
      <x:c r="B232" s="44"/>
      <x:c r="C232" s="44"/>
      <x:c r="D232" s="44"/>
      <x:c r="E232" s="44"/>
      <x:c r="F232" s="44"/>
      <x:c r="G232" s="44"/>
      <x:c r="H232" s="44"/>
      <x:c r="I232" s="44"/>
      <x:c r="J232" s="44"/>
      <x:c r="K232" s="44"/>
      <x:c r="L232" s="44"/>
      <x:c r="M232" s="44"/>
      <x:c r="N232" s="44"/>
    </x:row>
    <x:row r="233">
      <x:c r="A233" s="44"/>
      <x:c r="B233" s="44"/>
      <x:c r="C233" s="44"/>
      <x:c r="D233" s="44"/>
      <x:c r="E233" s="44"/>
      <x:c r="F233" s="44"/>
      <x:c r="G233" s="44"/>
      <x:c r="H233" s="44"/>
      <x:c r="I233" s="44"/>
      <x:c r="J233" s="44"/>
      <x:c r="K233" s="44"/>
      <x:c r="L233" s="44"/>
      <x:c r="M233" s="44"/>
      <x:c r="N233" s="44"/>
    </x:row>
    <x:row r="234">
      <x:c r="A234" s="44"/>
      <x:c r="B234" s="44"/>
      <x:c r="C234" s="44"/>
      <x:c r="D234" s="44"/>
      <x:c r="E234" s="44"/>
      <x:c r="F234" s="44"/>
      <x:c r="G234" s="44"/>
      <x:c r="H234" s="44"/>
      <x:c r="I234" s="44"/>
      <x:c r="J234" s="44"/>
      <x:c r="K234" s="44"/>
      <x:c r="L234" s="44"/>
      <x:c r="M234" s="44"/>
      <x:c r="N234" s="44"/>
    </x:row>
    <x:row r="235">
      <x:c r="A235" s="44"/>
      <x:c r="B235" s="44"/>
      <x:c r="C235" s="44"/>
      <x:c r="D235" s="44"/>
      <x:c r="E235" s="44"/>
      <x:c r="F235" s="44"/>
      <x:c r="G235" s="44"/>
      <x:c r="H235" s="44"/>
      <x:c r="I235" s="44"/>
      <x:c r="J235" s="44"/>
      <x:c r="K235" s="44"/>
      <x:c r="L235" s="44"/>
      <x:c r="M235" s="44"/>
      <x:c r="N235" s="44"/>
    </x:row>
    <x:row r="236">
      <x:c r="A236" s="44"/>
      <x:c r="B236" s="44"/>
      <x:c r="C236" s="44"/>
      <x:c r="D236" s="44"/>
      <x:c r="E236" s="44"/>
      <x:c r="F236" s="44"/>
      <x:c r="G236" s="44"/>
      <x:c r="H236" s="44"/>
      <x:c r="I236" s="44"/>
      <x:c r="J236" s="44"/>
      <x:c r="K236" s="44"/>
      <x:c r="L236" s="44"/>
      <x:c r="M236" s="44"/>
      <x:c r="N236" s="44"/>
    </x:row>
    <x:row r="237">
      <x:c r="A237" s="44"/>
      <x:c r="B237" s="44"/>
      <x:c r="C237" s="44"/>
      <x:c r="D237" s="44"/>
      <x:c r="E237" s="44"/>
      <x:c r="F237" s="44"/>
      <x:c r="G237" s="44"/>
      <x:c r="H237" s="44"/>
      <x:c r="I237" s="44"/>
      <x:c r="J237" s="44"/>
      <x:c r="K237" s="44"/>
      <x:c r="L237" s="44"/>
      <x:c r="M237" s="44"/>
      <x:c r="N237" s="44"/>
    </x:row>
    <x:row r="238">
      <x:c r="A238" s="44"/>
      <x:c r="B238" s="44"/>
      <x:c r="C238" s="44"/>
      <x:c r="D238" s="44"/>
      <x:c r="E238" s="44"/>
      <x:c r="F238" s="44"/>
      <x:c r="G238" s="44"/>
      <x:c r="H238" s="44"/>
      <x:c r="I238" s="44"/>
      <x:c r="J238" s="44"/>
      <x:c r="K238" s="44"/>
      <x:c r="L238" s="44"/>
      <x:c r="M238" s="44"/>
      <x:c r="N238" s="44"/>
    </x:row>
    <x:row r="239">
      <x:c r="A239" s="44"/>
      <x:c r="B239" s="44"/>
      <x:c r="C239" s="44"/>
      <x:c r="D239" s="44"/>
      <x:c r="E239" s="44"/>
      <x:c r="F239" s="44"/>
      <x:c r="G239" s="44"/>
      <x:c r="H239" s="44"/>
      <x:c r="I239" s="44"/>
      <x:c r="J239" s="44"/>
      <x:c r="K239" s="44"/>
      <x:c r="L239" s="44"/>
      <x:c r="M239" s="44"/>
      <x:c r="N239" s="44"/>
    </x:row>
    <x:row r="240">
      <x:c r="A240" s="44"/>
      <x:c r="B240" s="44"/>
      <x:c r="C240" s="44"/>
      <x:c r="D240" s="44"/>
      <x:c r="E240" s="44"/>
      <x:c r="F240" s="44"/>
      <x:c r="G240" s="44"/>
      <x:c r="H240" s="44"/>
      <x:c r="I240" s="44"/>
      <x:c r="J240" s="44"/>
      <x:c r="K240" s="44"/>
      <x:c r="L240" s="44"/>
      <x:c r="M240" s="44"/>
      <x:c r="N240" s="44"/>
    </x:row>
    <x:row r="241">
      <x:c r="A241" s="44"/>
      <x:c r="B241" s="44"/>
      <x:c r="C241" s="44"/>
      <x:c r="D241" s="44"/>
      <x:c r="E241" s="44"/>
      <x:c r="F241" s="44"/>
      <x:c r="G241" s="44"/>
      <x:c r="H241" s="44"/>
      <x:c r="I241" s="44"/>
      <x:c r="J241" s="44"/>
      <x:c r="K241" s="44"/>
      <x:c r="L241" s="44"/>
      <x:c r="M241" s="44"/>
      <x:c r="N241" s="44"/>
    </x:row>
    <x:row r="242">
      <x:c r="A242" s="44"/>
      <x:c r="B242" s="44"/>
      <x:c r="C242" s="44"/>
      <x:c r="D242" s="44"/>
      <x:c r="E242" s="44"/>
      <x:c r="F242" s="44"/>
      <x:c r="G242" s="44"/>
      <x:c r="H242" s="44"/>
      <x:c r="I242" s="44"/>
      <x:c r="J242" s="44"/>
      <x:c r="K242" s="44"/>
      <x:c r="L242" s="44"/>
      <x:c r="M242" s="44"/>
      <x:c r="N242" s="44"/>
    </x:row>
    <x:row r="243">
      <x:c r="A243" s="44"/>
      <x:c r="B243" s="44"/>
      <x:c r="C243" s="44"/>
      <x:c r="D243" s="44"/>
      <x:c r="E243" s="44"/>
      <x:c r="F243" s="44"/>
      <x:c r="G243" s="44"/>
      <x:c r="H243" s="44"/>
      <x:c r="I243" s="44"/>
      <x:c r="J243" s="44"/>
      <x:c r="K243" s="44"/>
      <x:c r="L243" s="44"/>
      <x:c r="M243" s="44"/>
      <x:c r="N243" s="44"/>
    </x:row>
    <x:row r="244">
      <x:c r="A244" s="44"/>
      <x:c r="B244" s="44"/>
      <x:c r="C244" s="44"/>
      <x:c r="D244" s="44"/>
      <x:c r="E244" s="44"/>
      <x:c r="F244" s="44"/>
      <x:c r="G244" s="44"/>
      <x:c r="H244" s="44"/>
      <x:c r="I244" s="44"/>
      <x:c r="J244" s="44"/>
      <x:c r="K244" s="44"/>
      <x:c r="L244" s="44"/>
      <x:c r="M244" s="44"/>
      <x:c r="N244" s="44"/>
    </x:row>
    <x:row r="245">
      <x:c r="A245" s="44"/>
      <x:c r="B245" s="44"/>
      <x:c r="C245" s="44"/>
      <x:c r="D245" s="44"/>
      <x:c r="E245" s="44"/>
      <x:c r="F245" s="44"/>
      <x:c r="G245" s="44"/>
      <x:c r="H245" s="44"/>
      <x:c r="I245" s="44"/>
      <x:c r="J245" s="44"/>
      <x:c r="K245" s="44"/>
      <x:c r="L245" s="44"/>
      <x:c r="M245" s="44"/>
      <x:c r="N245" s="44"/>
    </x:row>
    <x:row r="246">
      <x:c r="A246" s="44"/>
      <x:c r="B246" s="44"/>
      <x:c r="C246" s="44"/>
      <x:c r="D246" s="44"/>
      <x:c r="E246" s="44"/>
      <x:c r="F246" s="44"/>
      <x:c r="G246" s="44"/>
      <x:c r="H246" s="44"/>
      <x:c r="I246" s="44"/>
      <x:c r="J246" s="44"/>
      <x:c r="K246" s="44"/>
      <x:c r="L246" s="44"/>
      <x:c r="M246" s="44"/>
      <x:c r="N246" s="44"/>
    </x:row>
    <x:row r="247">
      <x:c r="A247" s="44"/>
      <x:c r="B247" s="44"/>
      <x:c r="C247" s="44"/>
      <x:c r="D247" s="44"/>
      <x:c r="E247" s="44"/>
      <x:c r="F247" s="44"/>
      <x:c r="G247" s="44"/>
      <x:c r="H247" s="44"/>
      <x:c r="I247" s="44"/>
      <x:c r="J247" s="44"/>
      <x:c r="K247" s="44"/>
      <x:c r="L247" s="44"/>
      <x:c r="M247" s="44"/>
      <x:c r="N247" s="44"/>
    </x:row>
    <x:row r="248">
      <x:c r="A248" s="44"/>
      <x:c r="B248" s="44"/>
      <x:c r="C248" s="44"/>
      <x:c r="D248" s="44"/>
      <x:c r="E248" s="44"/>
      <x:c r="F248" s="44"/>
      <x:c r="G248" s="44"/>
      <x:c r="H248" s="44"/>
      <x:c r="I248" s="44"/>
      <x:c r="J248" s="44"/>
      <x:c r="K248" s="44"/>
      <x:c r="L248" s="44"/>
      <x:c r="M248" s="44"/>
      <x:c r="N248" s="44"/>
    </x:row>
    <x:row r="249">
      <x:c r="A249" s="44"/>
      <x:c r="B249" s="44"/>
      <x:c r="C249" s="44"/>
      <x:c r="D249" s="44"/>
      <x:c r="E249" s="44"/>
      <x:c r="F249" s="44"/>
      <x:c r="G249" s="44"/>
      <x:c r="H249" s="44"/>
      <x:c r="I249" s="44"/>
      <x:c r="J249" s="44"/>
      <x:c r="K249" s="44"/>
      <x:c r="L249" s="44"/>
      <x:c r="M249" s="44"/>
      <x:c r="N249" s="44"/>
    </x:row>
    <x:row r="250">
      <x:c r="A250" s="44"/>
      <x:c r="B250" s="44"/>
      <x:c r="C250" s="44"/>
      <x:c r="D250" s="44"/>
      <x:c r="E250" s="44"/>
      <x:c r="F250" s="44"/>
      <x:c r="G250" s="44"/>
      <x:c r="H250" s="44"/>
      <x:c r="I250" s="44"/>
      <x:c r="J250" s="44"/>
      <x:c r="K250" s="44"/>
      <x:c r="L250" s="44"/>
      <x:c r="M250" s="44"/>
      <x:c r="N250" s="44"/>
    </x:row>
    <x:row r="251">
      <x:c r="A251" s="44"/>
      <x:c r="B251" s="44"/>
      <x:c r="C251" s="44"/>
      <x:c r="D251" s="44"/>
      <x:c r="E251" s="44"/>
      <x:c r="F251" s="44"/>
      <x:c r="G251" s="44"/>
      <x:c r="H251" s="44"/>
      <x:c r="I251" s="44"/>
      <x:c r="J251" s="44"/>
      <x:c r="K251" s="44"/>
      <x:c r="L251" s="44"/>
      <x:c r="M251" s="44"/>
      <x:c r="N251" s="44"/>
    </x:row>
    <x:row r="252">
      <x:c r="A252" s="44"/>
      <x:c r="B252" s="44"/>
      <x:c r="C252" s="44"/>
      <x:c r="D252" s="44"/>
      <x:c r="E252" s="44"/>
      <x:c r="F252" s="44"/>
      <x:c r="G252" s="44"/>
      <x:c r="H252" s="44"/>
      <x:c r="I252" s="44"/>
      <x:c r="J252" s="44"/>
      <x:c r="K252" s="44"/>
      <x:c r="L252" s="44"/>
      <x:c r="M252" s="44"/>
      <x:c r="N252" s="44"/>
    </x:row>
    <x:row r="253">
      <x:c r="A253" s="44"/>
      <x:c r="B253" s="44"/>
      <x:c r="C253" s="44"/>
      <x:c r="D253" s="44"/>
      <x:c r="E253" s="44"/>
      <x:c r="F253" s="44"/>
      <x:c r="G253" s="44"/>
      <x:c r="H253" s="44"/>
      <x:c r="I253" s="44"/>
      <x:c r="J253" s="44"/>
      <x:c r="K253" s="44"/>
      <x:c r="L253" s="44"/>
      <x:c r="M253" s="44"/>
      <x:c r="N253" s="44"/>
    </x:row>
    <x:row r="254">
      <x:c r="A254" s="44"/>
      <x:c r="B254" s="44"/>
      <x:c r="C254" s="44"/>
      <x:c r="D254" s="44"/>
      <x:c r="E254" s="44"/>
      <x:c r="F254" s="44"/>
      <x:c r="G254" s="44"/>
      <x:c r="H254" s="44"/>
      <x:c r="I254" s="44"/>
      <x:c r="J254" s="44"/>
      <x:c r="K254" s="44"/>
      <x:c r="L254" s="44"/>
      <x:c r="M254" s="44"/>
      <x:c r="N254" s="44"/>
    </x:row>
    <x:row r="255">
      <x:c r="A255" s="44"/>
      <x:c r="B255" s="44"/>
      <x:c r="C255" s="44"/>
      <x:c r="D255" s="44"/>
      <x:c r="E255" s="44"/>
      <x:c r="F255" s="44"/>
      <x:c r="G255" s="44"/>
      <x:c r="H255" s="44"/>
      <x:c r="I255" s="44"/>
      <x:c r="J255" s="44"/>
      <x:c r="K255" s="44"/>
      <x:c r="L255" s="44"/>
      <x:c r="M255" s="44"/>
      <x:c r="N255" s="44"/>
    </x:row>
    <x:row r="256">
      <x:c r="A256" s="44"/>
      <x:c r="B256" s="44"/>
      <x:c r="C256" s="44"/>
      <x:c r="D256" s="44"/>
      <x:c r="E256" s="44"/>
      <x:c r="F256" s="44"/>
      <x:c r="G256" s="44"/>
      <x:c r="H256" s="44"/>
      <x:c r="I256" s="44"/>
      <x:c r="J256" s="44"/>
      <x:c r="K256" s="44"/>
      <x:c r="L256" s="44"/>
      <x:c r="M256" s="44"/>
      <x:c r="N256" s="44"/>
    </x:row>
    <x:row r="257">
      <x:c r="A257" s="44"/>
      <x:c r="B257" s="44"/>
      <x:c r="C257" s="44"/>
      <x:c r="D257" s="44"/>
      <x:c r="E257" s="44"/>
      <x:c r="F257" s="44"/>
      <x:c r="G257" s="44"/>
      <x:c r="H257" s="44"/>
      <x:c r="I257" s="44"/>
      <x:c r="J257" s="44"/>
      <x:c r="K257" s="44"/>
      <x:c r="L257" s="44"/>
      <x:c r="M257" s="44"/>
      <x:c r="N257" s="44"/>
    </x:row>
    <x:row r="258">
      <x:c r="A258" s="44"/>
      <x:c r="B258" s="44"/>
      <x:c r="C258" s="44"/>
      <x:c r="D258" s="44"/>
      <x:c r="E258" s="44"/>
      <x:c r="F258" s="44"/>
      <x:c r="G258" s="44"/>
      <x:c r="H258" s="44"/>
      <x:c r="I258" s="44"/>
      <x:c r="J258" s="44"/>
      <x:c r="K258" s="44"/>
      <x:c r="L258" s="44"/>
      <x:c r="M258" s="44"/>
      <x:c r="N258" s="44"/>
    </x:row>
    <x:row r="259">
      <x:c r="A259" s="44"/>
      <x:c r="B259" s="44"/>
      <x:c r="C259" s="44"/>
      <x:c r="D259" s="44"/>
      <x:c r="E259" s="44"/>
      <x:c r="F259" s="44"/>
      <x:c r="G259" s="44"/>
      <x:c r="H259" s="44"/>
      <x:c r="I259" s="44"/>
      <x:c r="J259" s="44"/>
      <x:c r="K259" s="44"/>
      <x:c r="L259" s="44"/>
      <x:c r="M259" s="44"/>
      <x:c r="N259" s="44"/>
    </x:row>
    <x:row r="260">
      <x:c r="A260" s="44"/>
      <x:c r="B260" s="44"/>
      <x:c r="C260" s="44"/>
      <x:c r="D260" s="44"/>
      <x:c r="E260" s="44"/>
      <x:c r="F260" s="44"/>
      <x:c r="G260" s="44"/>
      <x:c r="H260" s="44"/>
      <x:c r="I260" s="44"/>
      <x:c r="J260" s="44"/>
      <x:c r="K260" s="44"/>
      <x:c r="L260" s="44"/>
      <x:c r="M260" s="44"/>
      <x:c r="N260" s="44"/>
    </x:row>
    <x:row r="261">
      <x:c r="A261" s="44"/>
      <x:c r="B261" s="44"/>
      <x:c r="C261" s="44"/>
      <x:c r="D261" s="44"/>
      <x:c r="E261" s="44"/>
      <x:c r="F261" s="44"/>
      <x:c r="G261" s="44"/>
      <x:c r="H261" s="44"/>
      <x:c r="I261" s="44"/>
      <x:c r="J261" s="44"/>
      <x:c r="K261" s="44"/>
      <x:c r="L261" s="44"/>
      <x:c r="M261" s="44"/>
      <x:c r="N261" s="44"/>
    </x:row>
    <x:row r="262">
      <x:c r="A262" s="44"/>
      <x:c r="B262" s="44"/>
      <x:c r="C262" s="44"/>
      <x:c r="D262" s="44"/>
      <x:c r="E262" s="44"/>
      <x:c r="F262" s="44"/>
      <x:c r="G262" s="44"/>
      <x:c r="H262" s="44"/>
      <x:c r="I262" s="44"/>
      <x:c r="J262" s="44"/>
      <x:c r="K262" s="44"/>
      <x:c r="L262" s="44"/>
      <x:c r="M262" s="44"/>
      <x:c r="N262" s="44"/>
    </x:row>
    <x:row r="263">
      <x:c r="A263" s="44"/>
      <x:c r="B263" s="44"/>
      <x:c r="C263" s="44"/>
      <x:c r="D263" s="44"/>
      <x:c r="E263" s="44"/>
      <x:c r="F263" s="44"/>
      <x:c r="G263" s="44"/>
      <x:c r="H263" s="44"/>
      <x:c r="I263" s="44"/>
      <x:c r="J263" s="44"/>
      <x:c r="K263" s="44"/>
      <x:c r="L263" s="44"/>
      <x:c r="M263" s="44"/>
      <x:c r="N263" s="44"/>
    </x:row>
    <x:row r="264">
      <x:c r="A264" s="44"/>
      <x:c r="B264" s="44"/>
      <x:c r="C264" s="44"/>
      <x:c r="D264" s="44"/>
      <x:c r="E264" s="44"/>
      <x:c r="F264" s="44"/>
      <x:c r="G264" s="44"/>
      <x:c r="H264" s="44"/>
      <x:c r="I264" s="44"/>
      <x:c r="J264" s="44"/>
      <x:c r="K264" s="44"/>
      <x:c r="L264" s="44"/>
      <x:c r="M264" s="44"/>
      <x:c r="N264" s="44"/>
    </x:row>
    <x:row r="265">
      <x:c r="A265" s="44"/>
      <x:c r="B265" s="44"/>
      <x:c r="C265" s="44"/>
      <x:c r="D265" s="44"/>
      <x:c r="E265" s="44"/>
      <x:c r="F265" s="44"/>
      <x:c r="G265" s="44"/>
      <x:c r="H265" s="44"/>
      <x:c r="I265" s="44"/>
      <x:c r="J265" s="44"/>
      <x:c r="K265" s="44"/>
      <x:c r="L265" s="44"/>
      <x:c r="M265" s="44"/>
      <x:c r="N265" s="44"/>
    </x:row>
    <x:row r="266">
      <x:c r="A266" s="44"/>
      <x:c r="B266" s="44"/>
      <x:c r="C266" s="44"/>
      <x:c r="D266" s="44"/>
      <x:c r="E266" s="44"/>
      <x:c r="F266" s="44"/>
      <x:c r="G266" s="44"/>
      <x:c r="H266" s="44"/>
      <x:c r="I266" s="44"/>
      <x:c r="J266" s="44"/>
      <x:c r="K266" s="44"/>
      <x:c r="L266" s="44"/>
      <x:c r="M266" s="44"/>
      <x:c r="N266" s="44"/>
    </x:row>
    <x:row r="267">
      <x:c r="A267" s="44"/>
      <x:c r="B267" s="44"/>
      <x:c r="C267" s="44"/>
      <x:c r="D267" s="44"/>
      <x:c r="E267" s="44"/>
      <x:c r="F267" s="44"/>
      <x:c r="G267" s="44"/>
      <x:c r="H267" s="44"/>
      <x:c r="I267" s="44"/>
      <x:c r="J267" s="44"/>
      <x:c r="K267" s="44"/>
      <x:c r="L267" s="44"/>
      <x:c r="M267" s="44"/>
      <x:c r="N267" s="44"/>
    </x:row>
    <x:row r="268">
      <x:c r="A268" s="44"/>
      <x:c r="B268" s="44"/>
      <x:c r="C268" s="44"/>
      <x:c r="D268" s="44"/>
      <x:c r="E268" s="44"/>
      <x:c r="F268" s="44"/>
      <x:c r="G268" s="44"/>
      <x:c r="H268" s="44"/>
      <x:c r="I268" s="44"/>
      <x:c r="J268" s="44"/>
      <x:c r="K268" s="44"/>
      <x:c r="L268" s="44"/>
      <x:c r="M268" s="44"/>
      <x:c r="N268" s="44"/>
    </x:row>
    <x:row r="269">
      <x:c r="A269" s="44"/>
      <x:c r="B269" s="44"/>
      <x:c r="C269" s="44"/>
      <x:c r="D269" s="44"/>
      <x:c r="E269" s="44"/>
      <x:c r="F269" s="44"/>
      <x:c r="G269" s="44"/>
      <x:c r="H269" s="44"/>
      <x:c r="I269" s="44"/>
      <x:c r="J269" s="44"/>
      <x:c r="K269" s="44"/>
      <x:c r="L269" s="44"/>
      <x:c r="M269" s="44"/>
      <x:c r="N269" s="44"/>
    </x:row>
    <x:row r="270">
      <x:c r="A270" s="44"/>
      <x:c r="B270" s="44"/>
      <x:c r="C270" s="44"/>
      <x:c r="D270" s="44"/>
      <x:c r="E270" s="44"/>
      <x:c r="F270" s="44"/>
      <x:c r="G270" s="44"/>
      <x:c r="H270" s="44"/>
      <x:c r="I270" s="44"/>
      <x:c r="J270" s="44"/>
      <x:c r="K270" s="44"/>
      <x:c r="L270" s="44"/>
      <x:c r="M270" s="44"/>
      <x:c r="N270" s="44"/>
    </x:row>
    <x:row r="271">
      <x:c r="A271" s="44"/>
      <x:c r="B271" s="44"/>
      <x:c r="C271" s="44"/>
      <x:c r="D271" s="44"/>
      <x:c r="E271" s="44"/>
      <x:c r="F271" s="44"/>
      <x:c r="G271" s="44"/>
      <x:c r="H271" s="44"/>
      <x:c r="I271" s="44"/>
      <x:c r="J271" s="44"/>
      <x:c r="K271" s="44"/>
      <x:c r="L271" s="44"/>
      <x:c r="M271" s="44"/>
      <x:c r="N271" s="44"/>
    </x:row>
    <x:row r="272">
      <x:c r="A272" s="44"/>
      <x:c r="B272" s="44"/>
      <x:c r="C272" s="44"/>
      <x:c r="D272" s="44"/>
      <x:c r="E272" s="44"/>
      <x:c r="F272" s="44"/>
      <x:c r="G272" s="44"/>
      <x:c r="H272" s="44"/>
      <x:c r="I272" s="44"/>
      <x:c r="J272" s="44"/>
      <x:c r="K272" s="44"/>
      <x:c r="L272" s="44"/>
      <x:c r="M272" s="44"/>
      <x:c r="N272" s="44"/>
    </x:row>
    <x:row r="273">
      <x:c r="A273" s="44"/>
      <x:c r="B273" s="44"/>
      <x:c r="C273" s="44"/>
      <x:c r="D273" s="44"/>
      <x:c r="E273" s="44"/>
      <x:c r="F273" s="44"/>
      <x:c r="G273" s="44"/>
      <x:c r="H273" s="44"/>
      <x:c r="I273" s="44"/>
      <x:c r="J273" s="44"/>
      <x:c r="K273" s="44"/>
      <x:c r="L273" s="44"/>
      <x:c r="M273" s="44"/>
      <x:c r="N273" s="44"/>
    </x:row>
    <x:row r="274">
      <x:c r="A274" s="44"/>
      <x:c r="B274" s="44"/>
      <x:c r="C274" s="44"/>
      <x:c r="D274" s="44"/>
      <x:c r="E274" s="44"/>
      <x:c r="F274" s="44"/>
      <x:c r="G274" s="44"/>
      <x:c r="H274" s="44"/>
      <x:c r="I274" s="44"/>
      <x:c r="J274" s="44"/>
      <x:c r="K274" s="44"/>
      <x:c r="L274" s="44"/>
      <x:c r="M274" s="44"/>
      <x:c r="N274" s="44"/>
    </x:row>
    <x:row r="275">
      <x:c r="A275" s="44"/>
      <x:c r="B275" s="44"/>
      <x:c r="C275" s="44"/>
      <x:c r="D275" s="44"/>
      <x:c r="E275" s="44"/>
      <x:c r="F275" s="44"/>
      <x:c r="G275" s="44"/>
      <x:c r="H275" s="44"/>
      <x:c r="I275" s="44"/>
      <x:c r="J275" s="44"/>
      <x:c r="K275" s="44"/>
      <x:c r="L275" s="44"/>
      <x:c r="M275" s="44"/>
      <x:c r="N275" s="44"/>
    </x:row>
    <x:row r="276">
      <x:c r="A276" s="44"/>
      <x:c r="B276" s="44"/>
      <x:c r="C276" s="44"/>
      <x:c r="D276" s="44"/>
      <x:c r="E276" s="44"/>
      <x:c r="F276" s="44"/>
      <x:c r="G276" s="44"/>
      <x:c r="H276" s="44"/>
      <x:c r="I276" s="44"/>
      <x:c r="J276" s="44"/>
      <x:c r="K276" s="44"/>
      <x:c r="L276" s="44"/>
      <x:c r="M276" s="44"/>
      <x:c r="N276" s="44"/>
    </x:row>
    <x:row r="277">
      <x:c r="A277" s="44"/>
      <x:c r="B277" s="44"/>
      <x:c r="C277" s="44"/>
      <x:c r="D277" s="44"/>
      <x:c r="E277" s="44"/>
      <x:c r="F277" s="44"/>
      <x:c r="G277" s="44"/>
      <x:c r="H277" s="44"/>
      <x:c r="I277" s="44"/>
      <x:c r="J277" s="44"/>
      <x:c r="K277" s="44"/>
      <x:c r="L277" s="44"/>
      <x:c r="M277" s="44"/>
      <x:c r="N277" s="44"/>
    </x:row>
    <x:row r="278">
      <x:c r="A278" s="44"/>
      <x:c r="B278" s="44"/>
      <x:c r="C278" s="44"/>
      <x:c r="D278" s="44"/>
      <x:c r="E278" s="44"/>
      <x:c r="F278" s="44"/>
      <x:c r="G278" s="44"/>
      <x:c r="H278" s="44"/>
      <x:c r="I278" s="44"/>
      <x:c r="J278" s="44"/>
      <x:c r="K278" s="44"/>
      <x:c r="L278" s="44"/>
      <x:c r="M278" s="44"/>
      <x:c r="N278" s="44"/>
    </x:row>
    <x:row r="279">
      <x:c r="A279" s="44"/>
      <x:c r="B279" s="44"/>
      <x:c r="C279" s="44"/>
      <x:c r="D279" s="44"/>
      <x:c r="E279" s="44"/>
      <x:c r="F279" s="44"/>
      <x:c r="G279" s="44"/>
      <x:c r="H279" s="44"/>
      <x:c r="I279" s="44"/>
      <x:c r="J279" s="44"/>
      <x:c r="K279" s="44"/>
      <x:c r="L279" s="44"/>
      <x:c r="M279" s="44"/>
      <x:c r="N279" s="44"/>
    </x:row>
    <x:row r="280">
      <x:c r="A280" s="44"/>
      <x:c r="B280" s="44"/>
      <x:c r="C280" s="44"/>
      <x:c r="D280" s="44"/>
      <x:c r="E280" s="44"/>
      <x:c r="F280" s="44"/>
      <x:c r="G280" s="44"/>
      <x:c r="H280" s="44"/>
      <x:c r="I280" s="44"/>
      <x:c r="J280" s="44"/>
      <x:c r="K280" s="44"/>
      <x:c r="L280" s="44"/>
      <x:c r="M280" s="44"/>
      <x:c r="N280" s="44"/>
    </x:row>
    <x:row r="281">
      <x:c r="A281" s="44"/>
      <x:c r="B281" s="44"/>
      <x:c r="C281" s="44"/>
      <x:c r="D281" s="44"/>
      <x:c r="E281" s="44"/>
      <x:c r="F281" s="44"/>
      <x:c r="G281" s="44"/>
      <x:c r="H281" s="44"/>
      <x:c r="I281" s="44"/>
      <x:c r="J281" s="44"/>
      <x:c r="K281" s="44"/>
      <x:c r="L281" s="44"/>
      <x:c r="M281" s="44"/>
      <x:c r="N281" s="44"/>
    </x:row>
    <x:row r="282">
      <x:c r="A282" s="44"/>
      <x:c r="B282" s="44"/>
      <x:c r="C282" s="44"/>
      <x:c r="D282" s="44"/>
      <x:c r="E282" s="44"/>
      <x:c r="F282" s="44"/>
      <x:c r="G282" s="44"/>
      <x:c r="H282" s="44"/>
      <x:c r="I282" s="44"/>
      <x:c r="J282" s="44"/>
      <x:c r="K282" s="44"/>
      <x:c r="L282" s="44"/>
      <x:c r="M282" s="44"/>
      <x:c r="N282" s="44"/>
    </x:row>
    <x:row r="283">
      <x:c r="A283" s="44"/>
      <x:c r="B283" s="44"/>
      <x:c r="C283" s="44"/>
      <x:c r="D283" s="44"/>
      <x:c r="E283" s="44"/>
      <x:c r="F283" s="44"/>
      <x:c r="G283" s="44"/>
      <x:c r="H283" s="44"/>
      <x:c r="I283" s="44"/>
      <x:c r="J283" s="44"/>
      <x:c r="K283" s="44"/>
      <x:c r="L283" s="44"/>
      <x:c r="M283" s="44"/>
      <x:c r="N283" s="44"/>
    </x:row>
    <x:row r="284">
      <x:c r="A284" s="44"/>
      <x:c r="B284" s="44"/>
      <x:c r="C284" s="44"/>
      <x:c r="D284" s="44"/>
      <x:c r="E284" s="44"/>
      <x:c r="F284" s="44"/>
      <x:c r="G284" s="44"/>
      <x:c r="H284" s="44"/>
      <x:c r="I284" s="44"/>
      <x:c r="J284" s="44"/>
      <x:c r="K284" s="44"/>
      <x:c r="L284" s="44"/>
      <x:c r="M284" s="44"/>
      <x:c r="N284" s="44"/>
    </x:row>
    <x:row r="285">
      <x:c r="A285" s="44"/>
      <x:c r="B285" s="44"/>
      <x:c r="C285" s="44"/>
      <x:c r="D285" s="44"/>
      <x:c r="E285" s="44"/>
      <x:c r="F285" s="44"/>
      <x:c r="G285" s="44"/>
      <x:c r="H285" s="44"/>
      <x:c r="I285" s="44"/>
      <x:c r="J285" s="44"/>
      <x:c r="K285" s="44"/>
      <x:c r="L285" s="44"/>
      <x:c r="M285" s="44"/>
      <x:c r="N285" s="44"/>
    </x:row>
    <x:row r="286">
      <x:c r="A286" s="44"/>
      <x:c r="B286" s="44"/>
      <x:c r="C286" s="44"/>
      <x:c r="D286" s="44"/>
      <x:c r="E286" s="44"/>
      <x:c r="F286" s="44"/>
      <x:c r="G286" s="44"/>
      <x:c r="H286" s="44"/>
      <x:c r="I286" s="44"/>
      <x:c r="J286" s="44"/>
      <x:c r="K286" s="44"/>
      <x:c r="L286" s="44"/>
      <x:c r="M286" s="44"/>
      <x:c r="N286" s="44"/>
    </x:row>
    <x:row r="287">
      <x:c r="A287" s="44"/>
      <x:c r="B287" s="44"/>
      <x:c r="C287" s="44"/>
      <x:c r="D287" s="44"/>
      <x:c r="E287" s="44"/>
      <x:c r="F287" s="44"/>
      <x:c r="G287" s="44"/>
      <x:c r="H287" s="44"/>
      <x:c r="I287" s="44"/>
      <x:c r="J287" s="44"/>
      <x:c r="K287" s="44"/>
      <x:c r="L287" s="44"/>
      <x:c r="M287" s="44"/>
      <x:c r="N287" s="44"/>
    </x:row>
    <x:row r="288">
      <x:c r="A288" s="44"/>
      <x:c r="B288" s="44"/>
      <x:c r="C288" s="44"/>
      <x:c r="D288" s="44"/>
      <x:c r="E288" s="44"/>
      <x:c r="F288" s="44"/>
      <x:c r="G288" s="44"/>
      <x:c r="H288" s="44"/>
      <x:c r="I288" s="44"/>
      <x:c r="J288" s="44"/>
      <x:c r="K288" s="44"/>
      <x:c r="L288" s="44"/>
      <x:c r="M288" s="44"/>
      <x:c r="N288" s="44"/>
    </x:row>
    <x:row r="289">
      <x:c r="A289" s="44"/>
      <x:c r="B289" s="44"/>
      <x:c r="C289" s="44"/>
      <x:c r="D289" s="44"/>
      <x:c r="E289" s="44"/>
      <x:c r="F289" s="44"/>
      <x:c r="G289" s="44"/>
      <x:c r="H289" s="44"/>
      <x:c r="I289" s="44"/>
      <x:c r="J289" s="44"/>
      <x:c r="K289" s="44"/>
      <x:c r="L289" s="44"/>
      <x:c r="M289" s="44"/>
      <x:c r="N289" s="44"/>
    </x:row>
    <x:row r="290">
      <x:c r="A290" s="44"/>
      <x:c r="B290" s="44"/>
      <x:c r="C290" s="44"/>
      <x:c r="D290" s="44"/>
      <x:c r="E290" s="44"/>
      <x:c r="F290" s="44"/>
      <x:c r="G290" s="44"/>
      <x:c r="H290" s="44"/>
      <x:c r="I290" s="44"/>
      <x:c r="J290" s="44"/>
      <x:c r="K290" s="44"/>
      <x:c r="L290" s="44"/>
      <x:c r="M290" s="44"/>
      <x:c r="N290" s="44"/>
    </x:row>
    <x:row r="291">
      <x:c r="A291" s="44"/>
      <x:c r="B291" s="44"/>
      <x:c r="C291" s="44"/>
      <x:c r="D291" s="44"/>
      <x:c r="E291" s="44"/>
      <x:c r="F291" s="44"/>
      <x:c r="G291" s="44"/>
      <x:c r="H291" s="44"/>
      <x:c r="I291" s="44"/>
      <x:c r="J291" s="44"/>
      <x:c r="K291" s="44"/>
      <x:c r="L291" s="44"/>
      <x:c r="M291" s="44"/>
      <x:c r="N291" s="44"/>
    </x:row>
    <x:row r="292">
      <x:c r="A292" s="44"/>
      <x:c r="B292" s="44"/>
      <x:c r="C292" s="44"/>
      <x:c r="D292" s="44"/>
      <x:c r="E292" s="44"/>
      <x:c r="F292" s="44"/>
      <x:c r="G292" s="44"/>
      <x:c r="H292" s="44"/>
      <x:c r="I292" s="44"/>
      <x:c r="J292" s="44"/>
      <x:c r="K292" s="44"/>
      <x:c r="L292" s="44"/>
      <x:c r="M292" s="44"/>
      <x:c r="N292" s="44"/>
    </x:row>
    <x:row r="293">
      <x:c r="A293" s="44"/>
      <x:c r="B293" s="44"/>
      <x:c r="C293" s="44"/>
      <x:c r="D293" s="44"/>
      <x:c r="E293" s="44"/>
      <x:c r="F293" s="44"/>
      <x:c r="G293" s="44"/>
      <x:c r="H293" s="44"/>
      <x:c r="I293" s="44"/>
      <x:c r="J293" s="44"/>
      <x:c r="K293" s="44"/>
      <x:c r="L293" s="44"/>
      <x:c r="M293" s="44"/>
      <x:c r="N293" s="44"/>
    </x:row>
    <x:row r="294">
      <x:c r="A294" s="44"/>
      <x:c r="B294" s="44"/>
      <x:c r="C294" s="44"/>
      <x:c r="D294" s="44"/>
      <x:c r="E294" s="44"/>
      <x:c r="F294" s="44"/>
      <x:c r="G294" s="44"/>
      <x:c r="H294" s="44"/>
      <x:c r="I294" s="44"/>
      <x:c r="J294" s="44"/>
      <x:c r="K294" s="44"/>
      <x:c r="L294" s="44"/>
      <x:c r="M294" s="44"/>
      <x:c r="N294" s="44"/>
    </x:row>
    <x:row r="295">
      <x:c r="A295" s="44"/>
      <x:c r="B295" s="44"/>
      <x:c r="C295" s="44"/>
      <x:c r="D295" s="44"/>
      <x:c r="E295" s="44"/>
      <x:c r="F295" s="44"/>
      <x:c r="G295" s="44"/>
      <x:c r="H295" s="44"/>
      <x:c r="I295" s="44"/>
      <x:c r="J295" s="44"/>
      <x:c r="K295" s="44"/>
      <x:c r="L295" s="44"/>
      <x:c r="M295" s="44"/>
      <x:c r="N295" s="44"/>
    </x:row>
    <x:row r="296">
      <x:c r="A296" s="44"/>
      <x:c r="B296" s="44"/>
      <x:c r="C296" s="44"/>
      <x:c r="D296" s="44"/>
      <x:c r="E296" s="44"/>
      <x:c r="F296" s="44"/>
      <x:c r="G296" s="44"/>
      <x:c r="H296" s="44"/>
      <x:c r="I296" s="44"/>
      <x:c r="J296" s="44"/>
      <x:c r="K296" s="44"/>
      <x:c r="L296" s="44"/>
      <x:c r="M296" s="44"/>
      <x:c r="N296" s="44"/>
    </x:row>
    <x:row r="297">
      <x:c r="A297" s="44"/>
      <x:c r="B297" s="44"/>
      <x:c r="C297" s="44"/>
      <x:c r="D297" s="44"/>
      <x:c r="E297" s="44"/>
      <x:c r="F297" s="44"/>
      <x:c r="G297" s="44"/>
      <x:c r="H297" s="44"/>
      <x:c r="I297" s="44"/>
      <x:c r="J297" s="44"/>
      <x:c r="K297" s="44"/>
      <x:c r="L297" s="44"/>
      <x:c r="M297" s="44"/>
      <x:c r="N297" s="44"/>
    </x:row>
    <x:row r="298">
      <x:c r="A298" s="44"/>
      <x:c r="B298" s="44"/>
      <x:c r="C298" s="44"/>
      <x:c r="D298" s="44"/>
      <x:c r="E298" s="44"/>
      <x:c r="F298" s="44"/>
      <x:c r="G298" s="44"/>
      <x:c r="H298" s="44"/>
      <x:c r="I298" s="44"/>
      <x:c r="J298" s="44"/>
      <x:c r="K298" s="44"/>
      <x:c r="L298" s="44"/>
      <x:c r="M298" s="44"/>
      <x:c r="N298" s="44"/>
    </x:row>
    <x:row r="299">
      <x:c r="A299" s="44"/>
      <x:c r="B299" s="44"/>
      <x:c r="C299" s="44"/>
      <x:c r="D299" s="44"/>
      <x:c r="E299" s="44"/>
      <x:c r="F299" s="44"/>
      <x:c r="G299" s="44"/>
      <x:c r="H299" s="44"/>
      <x:c r="I299" s="44"/>
      <x:c r="J299" s="44"/>
      <x:c r="K299" s="44"/>
      <x:c r="L299" s="44"/>
      <x:c r="M299" s="44"/>
      <x:c r="N299" s="44"/>
    </x:row>
    <x:row r="300">
      <x:c r="A300" s="45"/>
      <x:c r="B300" s="45"/>
      <x:c r="C300" s="45"/>
      <x:c r="D300" s="45"/>
      <x:c r="E300" s="45"/>
      <x:c r="F300" s="45"/>
      <x:c r="G300" s="45"/>
      <x:c r="H300" s="45"/>
      <x:c r="I300" s="45"/>
      <x:c r="J300" s="45"/>
      <x:c r="K300" s="45"/>
      <x:c r="L300" s="45"/>
      <x:c r="M300" s="45"/>
      <x:c r="N300" s="45"/>
    </x:row>
  </x:sheetData>
  <x:mergeCells>
    <x:mergeCell ref="A1:N1"/>
    <x:mergeCell ref="A2:N2"/>
  </x:mergeCells>
  <x:dataValidations count="4">
    <x:dataValidation type="list" sqref="C5:C300">
      <x:formula1>"Documento,Canvas,Entrevista,Prueba,Prototipo,Dato,Acta,Reporte,Archivo multimedia,Otro"</x:formula1>
    </x:dataValidation>
    <x:dataValidation type="list" sqref="J5:J300">
      <x:formula1>"Usuario,Equipo CEDIA,Experto CEDIA,Tercero,Automática,Por definir"</x:formula1>
    </x:dataValidation>
    <x:dataValidation type="list" sqref="K5:K300">
      <x:formula1>"Sí,No,Condicional"</x:formula1>
    </x:dataValidation>
    <x:dataValidation type="list" sqref="L5:L300">
      <x:formula1>"Preliminar,Por validar CEDIA,Validado CEDIA"</x:formula1>
    </x:dataValidation>
  </x:dataValidations>
  <x:pageMargins left="0.7" right="0.7" top="0.75" bottom="0.75" header="0.3" footer="0.3"/>
  <x:tableParts count="1">
    <x:tablePart xmlns:r="http://schemas.openxmlformats.org/officeDocument/2006/relationships" r:id="R55808c66d7ea41f0"/>
  </x:tableParts>
</x:worksheet>
</file>

<file path=xl/worksheets/sheet6.xml><?xml version="1.0" encoding="utf-8"?>
<x:worksheet xmlns:x="http://schemas.openxmlformats.org/spreadsheetml/2006/main">
  <x:sheetFormatPr defaultRowHeight="15"/>
  <x:cols>
    <x:col min="1" max="1" width="15" hidden="0" customWidth="1"/>
    <x:col min="2" max="2" width="22" hidden="0" customWidth="1"/>
    <x:col min="3" max="3" width="10" hidden="0" customWidth="1"/>
    <x:col min="4" max="4" width="24" hidden="0" customWidth="1"/>
    <x:col min="5" max="5" width="15" hidden="0" customWidth="1"/>
    <x:col min="6" max="6" width="9" hidden="0" customWidth="1"/>
    <x:col min="7" max="7" width="9" hidden="0" customWidth="1"/>
    <x:col min="8" max="8" width="9" hidden="0" customWidth="1"/>
    <x:col min="9" max="9" width="9" hidden="0" customWidth="1"/>
    <x:col min="10" max="10" width="55" hidden="0" customWidth="1"/>
    <x:col min="11" max="11" width="36" hidden="0" customWidth="1"/>
    <x:col min="12" max="12" width="18" hidden="0" customWidth="1"/>
    <x:col min="13" max="13" width="18" hidden="0" customWidth="1"/>
    <x:col min="14" max="14" width="52" hidden="0" customWidth="1"/>
    <x:col min="15" max="15" width="50" hidden="0" customWidth="1"/>
    <x:col min="16" max="16" width="50" hidden="0" customWidth="1"/>
    <x:col min="17" max="17" width="50" hidden="0" customWidth="1"/>
    <x:col min="18" max="18" width="18" hidden="0" customWidth="1"/>
    <x:col min="19" max="19" width="14" hidden="0" customWidth="1"/>
    <x:col min="20" max="20" width="10" hidden="0" customWidth="1"/>
    <x:col min="21" max="21" width="48" hidden="0" customWidth="1"/>
    <x:col min="22" max="22" width="42" hidden="0" customWidth="1"/>
    <x:col min="23" max="23" width="50" hidden="0" customWidth="1"/>
    <x:col min="24" max="24" width="45" hidden="0" customWidth="1"/>
    <x:col min="25" max="25" width="48" hidden="0" customWidth="1"/>
    <x:col min="26" max="26" width="34" hidden="0" customWidth="1"/>
    <x:col min="27" max="27" width="42" hidden="0" customWidth="1"/>
    <x:col min="28" max="28" width="38" hidden="0" customWidth="1"/>
    <x:col min="29" max="29" width="55" hidden="0" customWidth="1"/>
    <x:col min="30" max="30" width="48" hidden="0" customWidth="1"/>
    <x:col min="31" max="31" width="46" hidden="0" customWidth="1"/>
    <x:col min="32" max="32" width="62" hidden="0" customWidth="1"/>
    <x:col min="33" max="33" width="28" hidden="0" customWidth="1"/>
    <x:col min="34" max="34" width="22" hidden="0" customWidth="1"/>
  </x:cols>
  <x:sheetData>
    <x:row r="1" ht="28" customHeight="1">
      <x:c r="A1" s="248" t="str">
        <x:v>05 — REGLAS DE RECOMENDACIÓN — MOTOR RUTA CEDIA</x:v>
      </x:c>
      <x:c r="B1" s="248" t="str">
        <x:v>05 — REGLAS DE RECOMENDACIÓN — MOTOR RUTA CEDIA</x:v>
      </x:c>
      <x:c r="C1" s="248" t="str">
        <x:v>05 — REGLAS DE RECOMENDACIÓN — MOTOR RUTA CEDIA</x:v>
      </x:c>
      <x:c r="D1" s="248" t="str">
        <x:v>05 — REGLAS DE RECOMENDACIÓN — MOTOR RUTA CEDIA</x:v>
      </x:c>
      <x:c r="E1" s="248" t="str">
        <x:v>05 — REGLAS DE RECOMENDACIÓN — MOTOR RUTA CEDIA</x:v>
      </x:c>
      <x:c r="F1" s="248" t="str">
        <x:v>05 — REGLAS DE RECOMENDACIÓN — MOTOR RUTA CEDIA</x:v>
      </x:c>
      <x:c r="G1" s="248" t="str">
        <x:v>05 — REGLAS DE RECOMENDACIÓN — MOTOR RUTA CEDIA</x:v>
      </x:c>
      <x:c r="H1" s="248" t="str">
        <x:v>05 — REGLAS DE RECOMENDACIÓN — MOTOR RUTA CEDIA</x:v>
      </x:c>
      <x:c r="I1" s="248" t="str">
        <x:v>05 — REGLAS DE RECOMENDACIÓN — MOTOR RUTA CEDIA</x:v>
      </x:c>
      <x:c r="J1" s="248" t="str">
        <x:v>05 — REGLAS DE RECOMENDACIÓN — MOTOR RUTA CEDIA</x:v>
      </x:c>
      <x:c r="K1" s="248" t="str">
        <x:v>05 — REGLAS DE RECOMENDACIÓN — MOTOR RUTA CEDIA</x:v>
      </x:c>
      <x:c r="L1" s="248" t="str">
        <x:v>05 — REGLAS DE RECOMENDACIÓN — MOTOR RUTA CEDIA</x:v>
      </x:c>
      <x:c r="M1" s="248" t="str">
        <x:v>05 — REGLAS DE RECOMENDACIÓN — MOTOR RUTA CEDIA</x:v>
      </x:c>
      <x:c r="N1" s="248" t="str">
        <x:v>05 — REGLAS DE RECOMENDACIÓN — MOTOR RUTA CEDIA</x:v>
      </x:c>
      <x:c r="O1" s="248" t="str">
        <x:v>05 — REGLAS DE RECOMENDACIÓN — MOTOR RUTA CEDIA</x:v>
      </x:c>
      <x:c r="P1" s="248" t="str">
        <x:v>05 — REGLAS DE RECOMENDACIÓN — MOTOR RUTA CEDIA</x:v>
      </x:c>
      <x:c r="Q1" s="248" t="str">
        <x:v>05 — REGLAS DE RECOMENDACIÓN — MOTOR RUTA CEDIA</x:v>
      </x:c>
      <x:c r="R1" s="248" t="str">
        <x:v>05 — REGLAS DE RECOMENDACIÓN — MOTOR RUTA CEDIA</x:v>
      </x:c>
      <x:c r="S1" s="248" t="str">
        <x:v>05 — REGLAS DE RECOMENDACIÓN — MOTOR RUTA CEDIA</x:v>
      </x:c>
      <x:c r="T1" s="248" t="str">
        <x:v>05 — REGLAS DE RECOMENDACIÓN — MOTOR RUTA CEDIA</x:v>
      </x:c>
      <x:c r="U1" s="248" t="str">
        <x:v>05 — REGLAS DE RECOMENDACIÓN — MOTOR RUTA CEDIA</x:v>
      </x:c>
      <x:c r="V1" s="251" t="str">
        <x:v>05 — REGLAS DE RECOMENDACIÓN — MOTOR RUTA CEDIA</x:v>
      </x:c>
      <x:c r="W1" s="251" t="str">
        <x:v>05 — REGLAS DE RECOMENDACIÓN — MOTOR RUTA CEDIA</x:v>
      </x:c>
      <x:c r="X1" s="251" t="str">
        <x:v>05 — REGLAS DE RECOMENDACIÓN — MOTOR RUTA CEDIA</x:v>
      </x:c>
      <x:c r="Y1" s="251" t="str">
        <x:v>05 — REGLAS DE RECOMENDACIÓN — MOTOR RUTA CEDIA</x:v>
      </x:c>
      <x:c r="Z1" s="251" t="str">
        <x:v>05 — REGLAS DE RECOMENDACIÓN — MOTOR RUTA CEDIA</x:v>
      </x:c>
      <x:c r="AA1" s="251" t="str">
        <x:v>05 — REGLAS DE RECOMENDACIÓN — MOTOR RUTA CEDIA</x:v>
      </x:c>
      <x:c r="AB1" s="251" t="str">
        <x:v>05 — REGLAS DE RECOMENDACIÓN — MOTOR RUTA CEDIA</x:v>
      </x:c>
      <x:c r="AC1" s="251" t="str">
        <x:v>05 — REGLAS DE RECOMENDACIÓN — MOTOR RUTA CEDIA</x:v>
      </x:c>
      <x:c r="AD1" s="251" t="str">
        <x:v>05 — REGLAS DE RECOMENDACIÓN — MOTOR RUTA CEDIA</x:v>
      </x:c>
      <x:c r="AE1" s="251" t="str">
        <x:v>05 — REGLAS DE RECOMENDACIÓN — MOTOR RUTA CEDIA</x:v>
      </x:c>
      <x:c r="AF1" s="251" t="str">
        <x:v>05 — REGLAS DE RECOMENDACIÓN — MOTOR RUTA CEDIA</x:v>
      </x:c>
      <x:c r="AG1" s="251" t="str">
        <x:v>05 — REGLAS DE RECOMENDACIÓN — MOTOR RUTA CEDIA</x:v>
      </x:c>
    </x:row>
    <x:row r="2" ht="40" customHeight="1">
      <x:c r="A2" s="254" t="str">
        <x:v>Reglas dinámicas basadas en brecha + evidencia + prerrequisitos + objetivo + tipo de proyecto. TRL/CRL se utilizan como contexto de madurez y desempate, no como secuencia rígida. Ninguna regla debe automatizarse hasta validación metodológica de CEDIA.</x:v>
      </x:c>
      <x:c r="B2" s="254" t="str">
        <x:v>Reglas dinámicas basadas en brecha + evidencia + prerrequisitos + objetivo + tipo de proyecto. TRL/CRL se utilizan como contexto de madurez y desempate, no como secuencia rígida. Ninguna regla debe automatizarse hasta validación metodológica de CEDIA.</x:v>
      </x:c>
      <x:c r="C2" s="254" t="str">
        <x:v>Reglas dinámicas basadas en brecha + evidencia + prerrequisitos + objetivo + tipo de proyecto. TRL/CRL se utilizan como contexto de madurez y desempate, no como secuencia rígida. Ninguna regla debe automatizarse hasta validación metodológica de CEDIA.</x:v>
      </x:c>
      <x:c r="D2" s="254" t="str">
        <x:v>Reglas dinámicas basadas en brecha + evidencia + prerrequisitos + objetivo + tipo de proyecto. TRL/CRL se utilizan como contexto de madurez y desempate, no como secuencia rígida. Ninguna regla debe automatizarse hasta validación metodológica de CEDIA.</x:v>
      </x:c>
      <x:c r="E2" s="254" t="str">
        <x:v>Reglas dinámicas basadas en brecha + evidencia + prerrequisitos + objetivo + tipo de proyecto. TRL/CRL se utilizan como contexto de madurez y desempate, no como secuencia rígida. Ninguna regla debe automatizarse hasta validación metodológica de CEDIA.</x:v>
      </x:c>
      <x:c r="F2" s="254" t="str">
        <x:v>Reglas dinámicas basadas en brecha + evidencia + prerrequisitos + objetivo + tipo de proyecto. TRL/CRL se utilizan como contexto de madurez y desempate, no como secuencia rígida. Ninguna regla debe automatizarse hasta validación metodológica de CEDIA.</x:v>
      </x:c>
      <x:c r="G2" s="254" t="str">
        <x:v>Reglas dinámicas basadas en brecha + evidencia + prerrequisitos + objetivo + tipo de proyecto. TRL/CRL se utilizan como contexto de madurez y desempate, no como secuencia rígida. Ninguna regla debe automatizarse hasta validación metodológica de CEDIA.</x:v>
      </x:c>
      <x:c r="H2" s="254" t="str">
        <x:v>Reglas dinámicas basadas en brecha + evidencia + prerrequisitos + objetivo + tipo de proyecto. TRL/CRL se utilizan como contexto de madurez y desempate, no como secuencia rígida. Ninguna regla debe automatizarse hasta validación metodológica de CEDIA.</x:v>
      </x:c>
      <x:c r="I2" s="254" t="str">
        <x:v>Reglas dinámicas basadas en brecha + evidencia + prerrequisitos + objetivo + tipo de proyecto. TRL/CRL se utilizan como contexto de madurez y desempate, no como secuencia rígida. Ninguna regla debe automatizarse hasta validación metodológica de CEDIA.</x:v>
      </x:c>
      <x:c r="J2" s="254" t="str">
        <x:v>Reglas dinámicas basadas en brecha + evidencia + prerrequisitos + objetivo + tipo de proyecto. TRL/CRL se utilizan como contexto de madurez y desempate, no como secuencia rígida. Ninguna regla debe automatizarse hasta validación metodológica de CEDIA.</x:v>
      </x:c>
      <x:c r="K2" s="254" t="str">
        <x:v>Reglas dinámicas basadas en brecha + evidencia + prerrequisitos + objetivo + tipo de proyecto. TRL/CRL se utilizan como contexto de madurez y desempate, no como secuencia rígida. Ninguna regla debe automatizarse hasta validación metodológica de CEDIA.</x:v>
      </x:c>
      <x:c r="L2" s="254" t="str">
        <x:v>Reglas dinámicas basadas en brecha + evidencia + prerrequisitos + objetivo + tipo de proyecto. TRL/CRL se utilizan como contexto de madurez y desempate, no como secuencia rígida. Ninguna regla debe automatizarse hasta validación metodológica de CEDIA.</x:v>
      </x:c>
      <x:c r="M2" s="254" t="str">
        <x:v>Reglas dinámicas basadas en brecha + evidencia + prerrequisitos + objetivo + tipo de proyecto. TRL/CRL se utilizan como contexto de madurez y desempate, no como secuencia rígida. Ninguna regla debe automatizarse hasta validación metodológica de CEDIA.</x:v>
      </x:c>
      <x:c r="N2" s="254" t="str">
        <x:v>Reglas dinámicas basadas en brecha + evidencia + prerrequisitos + objetivo + tipo de proyecto. TRL/CRL se utilizan como contexto de madurez y desempate, no como secuencia rígida. Ninguna regla debe automatizarse hasta validación metodológica de CEDIA.</x:v>
      </x:c>
      <x:c r="O2" s="254" t="str">
        <x:v>Reglas dinámicas basadas en brecha + evidencia + prerrequisitos + objetivo + tipo de proyecto. TRL/CRL se utilizan como contexto de madurez y desempate, no como secuencia rígida. Ninguna regla debe automatizarse hasta validación metodológica de CEDIA.</x:v>
      </x:c>
      <x:c r="P2" s="254" t="str">
        <x:v>Reglas dinámicas basadas en brecha + evidencia + prerrequisitos + objetivo + tipo de proyecto. TRL/CRL se utilizan como contexto de madurez y desempate, no como secuencia rígida. Ninguna regla debe automatizarse hasta validación metodológica de CEDIA.</x:v>
      </x:c>
      <x:c r="Q2" s="254" t="str">
        <x:v>Reglas dinámicas basadas en brecha + evidencia + prerrequisitos + objetivo + tipo de proyecto. TRL/CRL se utilizan como contexto de madurez y desempate, no como secuencia rígida. Ninguna regla debe automatizarse hasta validación metodológica de CEDIA.</x:v>
      </x:c>
      <x:c r="R2" s="254" t="str">
        <x:v>Reglas dinámicas basadas en brecha + evidencia + prerrequisitos + objetivo + tipo de proyecto. TRL/CRL se utilizan como contexto de madurez y desempate, no como secuencia rígida. Ninguna regla debe automatizarse hasta validación metodológica de CEDIA.</x:v>
      </x:c>
      <x:c r="S2" s="254" t="str">
        <x:v>Reglas dinámicas basadas en brecha + evidencia + prerrequisitos + objetivo + tipo de proyecto. TRL/CRL se utilizan como contexto de madurez y desempate, no como secuencia rígida. Ninguna regla debe automatizarse hasta validación metodológica de CEDIA.</x:v>
      </x:c>
      <x:c r="T2" s="254" t="str">
        <x:v>Reglas dinámicas basadas en brecha + evidencia + prerrequisitos + objetivo + tipo de proyecto. TRL/CRL se utilizan como contexto de madurez y desempate, no como secuencia rígida. Ninguna regla debe automatizarse hasta validación metodológica de CEDIA.</x:v>
      </x:c>
      <x:c r="U2" s="254" t="str">
        <x:v>Reglas dinámicas basadas en brecha + evidencia + prerrequisitos + objetivo + tipo de proyecto. TRL/CRL se utilizan como contexto de madurez y desempate, no como secuencia rígida. Ninguna regla debe automatizarse hasta validación metodológica de CEDIA.</x:v>
      </x:c>
      <x:c r="V2" s="254" t="str">
        <x:v>Reglas dinámicas basadas en brecha + evidencia + prerrequisitos + objetivo + tipo de proyecto. TRL/CRL se utilizan como contexto de madurez y desempate, no como secuencia rígida. Ninguna regla debe automatizarse hasta validación metodológica de CEDIA.</x:v>
      </x:c>
      <x:c r="W2" s="254" t="str">
        <x:v>Reglas dinámicas basadas en brecha + evidencia + prerrequisitos + objetivo + tipo de proyecto. TRL/CRL se utilizan como contexto de madurez y desempate, no como secuencia rígida. Ninguna regla debe automatizarse hasta validación metodológica de CEDIA.</x:v>
      </x:c>
      <x:c r="X2" s="254" t="str">
        <x:v>Reglas dinámicas basadas en brecha + evidencia + prerrequisitos + objetivo + tipo de proyecto. TRL/CRL se utilizan como contexto de madurez y desempate, no como secuencia rígida. Ninguna regla debe automatizarse hasta validación metodológica de CEDIA.</x:v>
      </x:c>
      <x:c r="Y2" s="254" t="str">
        <x:v>Reglas dinámicas basadas en brecha + evidencia + prerrequisitos + objetivo + tipo de proyecto. TRL/CRL se utilizan como contexto de madurez y desempate, no como secuencia rígida. Ninguna regla debe automatizarse hasta validación metodológica de CEDIA.</x:v>
      </x:c>
      <x:c r="Z2" s="254" t="str">
        <x:v>Reglas dinámicas basadas en brecha + evidencia + prerrequisitos + objetivo + tipo de proyecto. TRL/CRL se utilizan como contexto de madurez y desempate, no como secuencia rígida. Ninguna regla debe automatizarse hasta validación metodológica de CEDIA.</x:v>
      </x:c>
      <x:c r="AA2" s="254" t="str">
        <x:v>Reglas dinámicas basadas en brecha + evidencia + prerrequisitos + objetivo + tipo de proyecto. TRL/CRL se utilizan como contexto de madurez y desempate, no como secuencia rígida. Ninguna regla debe automatizarse hasta validación metodológica de CEDIA.</x:v>
      </x:c>
      <x:c r="AB2" s="254" t="str">
        <x:v>Reglas dinámicas basadas en brecha + evidencia + prerrequisitos + objetivo + tipo de proyecto. TRL/CRL se utilizan como contexto de madurez y desempate, no como secuencia rígida. Ninguna regla debe automatizarse hasta validación metodológica de CEDIA.</x:v>
      </x:c>
      <x:c r="AC2" s="254" t="str">
        <x:v>Reglas dinámicas basadas en brecha + evidencia + prerrequisitos + objetivo + tipo de proyecto. TRL/CRL se utilizan como contexto de madurez y desempate, no como secuencia rígida. Ninguna regla debe automatizarse hasta validación metodológica de CEDIA.</x:v>
      </x:c>
      <x:c r="AD2" s="254" t="str">
        <x:v>Reglas dinámicas basadas en brecha + evidencia + prerrequisitos + objetivo + tipo de proyecto. TRL/CRL se utilizan como contexto de madurez y desempate, no como secuencia rígida. Ninguna regla debe automatizarse hasta validación metodológica de CEDIA.</x:v>
      </x:c>
      <x:c r="AE2" s="254" t="str">
        <x:v>Reglas dinámicas basadas en brecha + evidencia + prerrequisitos + objetivo + tipo de proyecto. TRL/CRL se utilizan como contexto de madurez y desempate, no como secuencia rígida. Ninguna regla debe automatizarse hasta validación metodológica de CEDIA.</x:v>
      </x:c>
      <x:c r="AF2" s="254" t="str">
        <x:v>Reglas dinámicas basadas en brecha + evidencia + prerrequisitos + objetivo + tipo de proyecto. TRL/CRL se utilizan como contexto de madurez y desempate, no como secuencia rígida. Ninguna regla debe automatizarse hasta validación metodológica de CEDIA.</x:v>
      </x:c>
      <x:c r="AG2" s="254" t="str">
        <x:v>Reglas dinámicas basadas en brecha + evidencia + prerrequisitos + objetivo + tipo de proyecto. TRL/CRL se utilizan como contexto de madurez y desempate, no como secuencia rígida. Ninguna regla debe automatizarse hasta validación metodológica de CEDIA.</x:v>
      </x:c>
    </x:row>
    <x:row r="4" ht="38" customHeight="1">
      <x:c r="A4" s="261" t="str">
        <x:v>ID_REGLA</x:v>
      </x:c>
      <x:c r="B4" s="262" t="str">
        <x:v>ESTADO_REGLA</x:v>
      </x:c>
      <x:c r="C4" s="262" t="str">
        <x:v>PRIORIDAD</x:v>
      </x:c>
      <x:c r="D4" s="262" t="str">
        <x:v>DIMENSION</x:v>
      </x:c>
      <x:c r="E4" s="262" t="str">
        <x:v>ID_BRECHA</x:v>
      </x:c>
      <x:c r="F4" s="262" t="str">
        <x:v>TRL_MIN</x:v>
      </x:c>
      <x:c r="G4" s="262" t="str">
        <x:v>TRL_MAX</x:v>
      </x:c>
      <x:c r="H4" s="262" t="str">
        <x:v>CRL_MIN</x:v>
      </x:c>
      <x:c r="I4" s="262" t="str">
        <x:v>CRL_MAX</x:v>
      </x:c>
      <x:c r="J4" s="262" t="str">
        <x:v>CONDICION_EVIDENCIA</x:v>
      </x:c>
      <x:c r="K4" s="262" t="str">
        <x:v>CONDICION_TIPO_PROYECTO</x:v>
      </x:c>
      <x:c r="L4" s="262" t="str">
        <x:v>ID_HERRAMIENTA_RECOMENDADA</x:v>
      </x:c>
      <x:c r="M4" s="262" t="str">
        <x:v>TIPO_RECOMENDACION</x:v>
      </x:c>
      <x:c r="N4" s="262" t="str">
        <x:v>JUSTIFICACION_PARA_USUARIO</x:v>
      </x:c>
      <x:c r="O4" s="262" t="str">
        <x:v>PRERREQUISITOS</x:v>
      </x:c>
      <x:c r="P4" s="262" t="str">
        <x:v>CRITERIO_SALIDA</x:v>
      </x:c>
      <x:c r="Q4" s="262" t="str">
        <x:v>SIGUIENTE_EVALUACION</x:v>
      </x:c>
      <x:c r="R4" s="262" t="str">
        <x:v>VALIDADO_POR</x:v>
      </x:c>
      <x:c r="S4" s="262" t="str">
        <x:v>FECHA_VALIDACION</x:v>
      </x:c>
      <x:c r="T4" s="262" t="str">
        <x:v>VERSION</x:v>
      </x:c>
      <x:c r="U4" s="262" t="str">
        <x:v>NOTAS</x:v>
      </x:c>
      <x:c r="V4" s="262" t="str">
        <x:v>OBJETIVO_USUARIO</x:v>
      </x:c>
      <x:c r="W4" s="262" t="str">
        <x:v>CONDICION_EXCLUSION</x:v>
      </x:c>
      <x:c r="X4" s="262" t="str">
        <x:v>DEPENDENCIAS_CRITICAS</x:v>
      </x:c>
      <x:c r="Y4" s="262" t="str">
        <x:v>DIMENSION_MADUREZ_RELEVANTE</x:v>
      </x:c>
      <x:c r="Z4" s="262" t="str">
        <x:v>VENTANA_TRL_CRL_REFERENCIAL</x:v>
      </x:c>
      <x:c r="AA4" s="262" t="str">
        <x:v>DIMENSION_CADENA_RELEVANTE</x:v>
      </x:c>
      <x:c r="AB4" s="262" t="str">
        <x:v>TIPO_SUSTENTO</x:v>
      </x:c>
      <x:c r="AC4" s="262" t="str">
        <x:v>FUENTES_REGLA</x:v>
      </x:c>
      <x:c r="AD4" s="262" t="str">
        <x:v>DISPARADOR_ITERACION</x:v>
      </x:c>
      <x:c r="AE4" s="262" t="str">
        <x:v>LOGICA_PRIORIDAD</x:v>
      </x:c>
      <x:c r="AF4" s="262" t="str">
        <x:v>PSEUDOCODIGO_REGLA</x:v>
      </x:c>
      <x:c r="AG4" s="269" t="str">
        <x:v>ESTADO_AUTOMATIZACION</x:v>
      </x:c>
      <x:c r="AH4" s="322" t="str">
        <x:v>ID_PRERREQUISITO_EVIDENCIA</x:v>
      </x:c>
    </x:row>
    <x:row r="5">
      <x:c r="A5" s="136" t="str">
        <x:v>R-ACT-001</x:v>
      </x:c>
      <x:c r="B5" s="136" t="str">
        <x:v>Borrador sustentado</x:v>
      </x:c>
      <x:c r="C5" s="136" t="str">
        <x:v>P3</x:v>
      </x:c>
      <x:c r="D5" s="136" t="str">
        <x:v>Problema</x:v>
      </x:c>
      <x:c r="E5" s="136" t="str">
        <x:v>B-PRO-001</x:v>
      </x:c>
      <x:c r="F5" s="136"/>
      <x:c r="G5" s="136"/>
      <x:c r="H5" s="136"/>
      <x:c r="I5" s="136"/>
      <x:c r="J5" s="136" t="str">
        <x:v>Activar si Respuesta incompleta o mezcla de síntomas, causas y problema central. y no existe «Árbol de Problemas.» ni evidencia equivalente que cumpla el criterio de calidad: Existe una única problemática central claramente definida y se han organizado causas y efectos relacionados.</x:v>
      </x:c>
      <x:c r="K5" s="136" t="str">
        <x:v>Cualquiera; la herramienta se activa por brecha/evidencia y no por una categoría tecnológica exclusiva.</x:v>
      </x:c>
      <x:c r="L5" s="136" t="str">
        <x:v>IDE-001</x:v>
      </x:c>
      <x:c r="M5" s="136" t="str">
        <x:v>Complementaria</x:v>
      </x:c>
      <x:c r="N5" s="136" t="str">
        <x:v>Se recomienda Árbol de Problemas porque la brecha detectada es «Problema central, causas y efectos no estructurados» y la herramienta está diseñada para investigar y analizar los elementos que influyen en una problemática, identificando y organizando causas y consecuencias. Su resultado esperado es: Árbol estructurado con problema central, causas y efectos relacionados.</x:v>
      </x:c>
      <x:c r="O5" s="136" t="str">
        <x:v>Problema central suficientemente delimitado. Si todavía es amplio, completar primero Planteamiento del Problema o aportar evidencia equivalente.</x:v>
      </x:c>
      <x:c r="P5" s="136" t="str">
        <x:v>Existe una única problemática central claramente definida y se han organizado causas y efectos relacionados.</x:v>
      </x:c>
      <x:c r="Q5" s="136" t="str">
        <x:v>Reevaluar la brecha de comprensión causal. Si las causas necesitan mayor clasificación/profundidad, considerar Diagrama de Ishikawa; si ya hay claridad, avanzar según la siguiente brecha.</x:v>
      </x:c>
      <x:c r="R5" s="136"/>
      <x:c r="S5" s="273"/>
      <x:c r="T5" s="136" t="str">
        <x:v>v1.0</x:v>
      </x:c>
      <x:c r="U5" s="136" t="str">
        <x:v>Sustentada en fuente CEDIA para propósito, entrada, salida, brecha y evidencia; la lógica de secuenciación es inferencia metodológica — Por validar CEDIA. La ventana TRL/CRL procede de referencia externa y no debe operar como filtro rígido.</x:v>
      </x:c>
      <x:c r="V5" s="136" t="str">
        <x:v>Entender y estructurar causas y efectos de un problema ya delimitado.</x:v>
      </x:c>
      <x:c r="W5" s="136" t="str">
        <x:v>No recomendar si ya existe un análisis causa–efecto vigente y suficiente; tampoco si el problema central aún no puede definirse.</x:v>
      </x:c>
      <x:c r="X5" s="136" t="str">
        <x:v>Planteamiento del Problema: antecedente condicional (DEP-001); puede sustituirse por evidencia equivalente.</x:v>
      </x:c>
      <x:c r="Y5" s="136" t="str">
        <x:v>TRL contextual; sin dimensión TRL directa. Puede aportar indirectamente a claridad del concepto. CRL no es criterio principal.</x:v>
      </x:c>
      <x:c r="Z5" s="136" t="str">
        <x:v>TRL 1 / No aplica — guía orientativa, no normativa.</x:v>
      </x:c>
      <x:c r="AA5" s="136" t="str">
        <x:v>Estado del Concepto y Definición de la Idea; Validación Técnica y Estudios de Viabilidad (contextual).</x:v>
      </x:c>
      <x:c r="AB5" s="136" t="str">
        <x:v>Sustentada en fuente CEDIA + inferencia metodológica — por validar CEDIA</x:v>
      </x:c>
      <x:c r="AC5" s="136" t="str">
        <x:v>IDEACIÓN - ÁRBOL DE PROBLEMAS.pdf; IDEACIÓN - ÁRBOL DE PROBLEMAS.pdf; IDEACIÓN - ÁRBOL DE PROBLEMAS.pdf; dependencias DEP-001; CALCULADORA TRL Y CRLS.xlsx (solo contexto de dimensiones); Herramientas_TRL_CRL.docx (ventana orientativa no normativa)</x:v>
      </x:c>
      <x:c r="AD5" s="136" t="str"/>
      <x:c r="AE5" s="136" t="str">
        <x:v>Prioridad base P3. Escalar a P1 si esta brecha impide directamente el objetivo actual o bloquea una herramienta necesaria. Reducir a P4 si la evidencia existe parcialmente y el uso solo aportaría mejora marginal.</x:v>
      </x:c>
      <x:c r="AF5" s="136" t="str">
        <x:v>SI brecha=B-PRO-001 Y evidencia_valida(EV-001)=NO Y prerrequisitos=OK Y tipo_proyecto=COMPATIBLE ENTONCES recomendar IDE-001; SI evidencia_valida=SI Y sin_disparador_iteracion ENTONCES excluir; SI prerrequisito_critico=NO ENTONCES recomendar primero el antecedente/evidencia faltante.</x:v>
      </x:c>
      <x:c r="AG5" s="136" t="str">
        <x:v>NO AUTOMATIZAR hasta validación CEDIA</x:v>
      </x:c>
      <x:c r="AH5" s="207" t="str">
        <x:v>PRE-001</x:v>
      </x:c>
    </x:row>
    <x:row r="6">
      <x:c r="A6" s="136" t="str">
        <x:v>R-ACT-002</x:v>
      </x:c>
      <x:c r="B6" s="136" t="str">
        <x:v>Borrador sustentado</x:v>
      </x:c>
      <x:c r="C6" s="136" t="str">
        <x:v>P3</x:v>
      </x:c>
      <x:c r="D6" s="136" t="str">
        <x:v>Ideación / Alternativas</x:v>
      </x:c>
      <x:c r="E6" s="136" t="str">
        <x:v>B-IDE-001</x:v>
      </x:c>
      <x:c r="F6" s="136"/>
      <x:c r="G6" s="136"/>
      <x:c r="H6" s="136"/>
      <x:c r="I6" s="136"/>
      <x:c r="J6" s="136" t="str">
        <x:v>Activar si Pocas alternativas o ideas repetitivas. y no existe «Registro de ideas generadas y selección/priorización posterior.» ni evidencia equivalente que cumpla el criterio de calidad: Se ha generado un conjunto suficiente de ideas y existe una selección de las más relevantes para continuar.</x:v>
      </x:c>
      <x:c r="K6" s="136" t="str">
        <x:v>Cualquiera; la herramienta se activa por brecha/evidencia y no por una categoría tecnológica exclusiva.</x:v>
      </x:c>
      <x:c r="L6" s="136" t="str">
        <x:v>IDE-002</x:v>
      </x:c>
      <x:c r="M6" s="136" t="str">
        <x:v>Complementaria</x:v>
      </x:c>
      <x:c r="N6" s="136" t="str">
        <x:v>Se recomienda Brainstorming porque la brecha detectada es «Falta de alternativas de solución» y la herramienta está diseñada para generar ideas de manera sencilla aprovechando el pensamiento colectivo. Su resultado esperado es: Conjunto amplio de ideas para análisis y selección posterior.</x:v>
      </x:c>
      <x:c r="O6" s="136" t="str">
        <x:v>Reto, problema o pregunta de oportunidad claramente formulada. How Might We puede servir como antecedente, pero no es obligatorio.</x:v>
      </x:c>
      <x:c r="P6" s="136" t="str">
        <x:v>Se ha generado un conjunto suficiente de ideas y existe una selección de las más relevantes para continuar.</x:v>
      </x:c>
      <x:c r="Q6" s="136" t="str">
        <x:v>Comprobar si ya existe una idea candidata. Si sí, evaluar potencial con Tres Lupas u otra validación pertinente; si se requiere expansión estructurada, Lotus Blossom es alternativa.</x:v>
      </x:c>
      <x:c r="R6" s="136"/>
      <x:c r="S6" s="273"/>
      <x:c r="T6" s="136" t="str">
        <x:v>v1.0</x:v>
      </x:c>
      <x:c r="U6" s="136" t="str">
        <x:v>Sustentada en fuente CEDIA para propósito, entrada, salida, brecha y evidencia; la lógica de secuenciación es inferencia metodológica — Por validar CEDIA. La ventana TRL/CRL procede de referencia externa y no debe operar como filtro rígido.</x:v>
      </x:c>
      <x:c r="V6" s="136" t="str">
        <x:v>Generar múltiples alternativas ante un reto o pregunta definida.</x:v>
      </x:c>
      <x:c r="W6" s="136" t="str">
        <x:v>No recomendar si el objetivo actual es validar, seleccionar o demostrar viabilidad de una idea; tampoco si ya existe un conjunto suficiente de alternativas y el siguiente problema es priorizarlas/validarlas.</x:v>
      </x:c>
      <x:c r="X6" s="136" t="str">
        <x:v>How Might We: antecedente condicional (DEP-005); puede sustituirse por evidencia equivalente.</x:v>
      </x:c>
      <x:c r="Y6" s="136" t="str">
        <x:v>TRL contextual; no dimensión directa. CRL no es criterio principal.</x:v>
      </x:c>
      <x:c r="Z6" s="136" t="str">
        <x:v>TRL 1 / No aplica — guía orientativa, no normativa.</x:v>
      </x:c>
      <x:c r="AA6" s="136" t="str">
        <x:v>Estado del Concepto y Definición de la Idea (contextual).</x:v>
      </x:c>
      <x:c r="AB6" s="136" t="str">
        <x:v>Sustentada en fuente CEDIA + inferencia metodológica — por validar CEDIA</x:v>
      </x:c>
      <x:c r="AC6" s="136" t="str">
        <x:v>IDEACIÓN - Brainstorming.pdf; IDEACIÓN - Brainstorming.pdf; IDEACIÓN - Brainstorming.pdf; dependencias DEP-005; CALCULADORA TRL Y CRLS.xlsx (solo contexto de dimensiones); Herramientas_TRL_CRL.docx (ventana orientativa no normativa)</x:v>
      </x:c>
      <x:c r="AD6" s="136" t="str"/>
      <x:c r="AE6" s="136" t="str">
        <x:v>Prioridad base P3. Escalar a P1 si esta brecha impide directamente el objetivo actual o bloquea una herramienta necesaria. Reducir a P4 si la evidencia existe parcialmente y el uso solo aportaría mejora marginal.</x:v>
      </x:c>
      <x:c r="AF6" s="136" t="str">
        <x:v>SI brecha=B-IDE-001 Y evidencia_valida(EV-002)=NO Y prerrequisitos=OK Y tipo_proyecto=COMPATIBLE ENTONCES recomendar IDE-002; SI evidencia_valida=SI Y sin_disparador_iteracion ENTONCES excluir; SI prerrequisito_critico=NO ENTONCES recomendar primero el antecedente/evidencia faltante.</x:v>
      </x:c>
      <x:c r="AG6" s="136" t="str">
        <x:v>NO AUTOMATIZAR hasta validación CEDIA</x:v>
      </x:c>
      <x:c r="AH6" s="207" t="str">
        <x:v>PRE-002</x:v>
      </x:c>
    </x:row>
    <x:row r="7">
      <x:c r="A7" s="136" t="str">
        <x:v>R-ACT-003</x:v>
      </x:c>
      <x:c r="B7" s="136" t="str">
        <x:v>Borrador sustentado</x:v>
      </x:c>
      <x:c r="C7" s="136" t="str">
        <x:v>P2</x:v>
      </x:c>
      <x:c r="D7" s="136" t="str">
        <x:v>Investigación / Evidencia</x:v>
      </x:c>
      <x:c r="E7" s="136" t="str">
        <x:v>B-INV-001</x:v>
      </x:c>
      <x:c r="F7" s="136"/>
      <x:c r="G7" s="136"/>
      <x:c r="H7" s="136"/>
      <x:c r="I7" s="136"/>
      <x:c r="J7" s="136" t="str">
        <x:v>Activar si Ausencia de uno o más componentes del brief. y no existe «Brief de Investigación.» ni evidencia equivalente que cumpla el criterio de calidad: El brief contiene antecedentes, objetivo, información buscada, público, hipótesis, plan de análisis y metodología.</x:v>
      </x:c>
      <x:c r="K7" s="136" t="str">
        <x:v>Cualquiera; la herramienta se activa por brecha/evidencia y no por una categoría tecnológica exclusiva.</x:v>
      </x:c>
      <x:c r="L7" s="136" t="str">
        <x:v>IDE-003</x:v>
      </x:c>
      <x:c r="M7" s="136" t="str">
        <x:v>Prioritaria</x:v>
      </x:c>
      <x:c r="N7" s="136" t="str">
        <x:v>Se recomienda Brief de investigación porque la brecha detectada es «Investigación inicial no estructurada» y la herramienta está diseñada para recopilar datos clave para la organización mediante un plan de investigación estructurado. Su resultado esperado es: Brief de investigación con objetivos, preguntas, público, hipótesis, análisis esperado y metodología.</x:v>
      </x:c>
      <x:c r="O7" s="136" t="str">
        <x:v>Problema, decisión o incertidumbre a investigar y contexto mínimo del proyecto.</x:v>
      </x:c>
      <x:c r="P7" s="136" t="str">
        <x:v>El brief contiene antecedentes, objetivo, información buscada, público, hipótesis, plan de análisis y metodología.</x:v>
      </x:c>
      <x:c r="Q7" s="136" t="str">
        <x:v>Revisar la calidad de las preguntas. Si son débiles o sesgadas, recomendar Componentes de Preguntas Poderosas; después ejecutar la investigación fuera de esta herramienta.</x:v>
      </x:c>
      <x:c r="R7" s="136"/>
      <x:c r="S7" s="273"/>
      <x:c r="T7" s="136" t="str">
        <x:v>v1.0</x:v>
      </x:c>
      <x:c r="U7" s="136" t="str">
        <x:v>Sustentada en fuente CEDIA para propósito, entrada, salida, brecha y evidencia; la lógica de secuenciación es inferencia metodológica — Por validar CEDIA. La ventana TRL/CRL procede de referencia externa y no debe operar como filtro rígido.</x:v>
      </x:c>
      <x:c r="V7" s="136" t="str">
        <x:v>Planificar una investigación y definir qué aprender, de quién y mediante qué método.</x:v>
      </x:c>
      <x:c r="W7" s="136" t="str">
        <x:v>No recomendar si el estudio ya cuenta con objetivos, participantes/público, hipótesis o preguntas, método y plan de análisis suficientemente documentados.</x:v>
      </x:c>
      <x:c r="X7" s="136" t="str">
        <x:v>Sin dependencia crítica registrada; aplicar únicamente los prerrequisitos de contenido de la herramienta.</x:v>
      </x:c>
      <x:c r="Y7" s="136" t="str">
        <x:v>TRL contextual; puede relacionarse con Documentación y soporte cuando formaliza investigación, pero no determina nivel. CRL depende del objeto de investigación.</x:v>
      </x:c>
      <x:c r="Z7" s="136" t="str">
        <x:v>TRL 1 / No aplica — guía orientativa, no normativa.</x:v>
      </x:c>
      <x:c r="AA7" s="136" t="str">
        <x:v>Investigación / soporte a Estado del Concepto y Validación Técnica (contextual).</x:v>
      </x:c>
      <x:c r="AB7" s="136" t="str">
        <x:v>Sustentada en fuente CEDIA + inferencia metodológica — por validar CEDIA</x:v>
      </x:c>
      <x:c r="AC7" s="136" t="str">
        <x:v>IDEACIÓN - Brief de investigación.pdf; IDEACIÓN - Brief de investigación.pdf; IDEACIÓN - Brief de investigación.pdf; CALCULADORA TRL Y CRLS.xlsx (solo contexto de dimensiones); Herramientas_TRL_CRL.docx (ventana orientativa no normativa)</x:v>
      </x:c>
      <x:c r="AD7" s="136" t="str"/>
      <x:c r="AE7" s="136" t="str">
        <x:v>Prioridad base P2. Escalar a P1 si esta brecha impide directamente el objetivo actual o bloquea una herramienta necesaria. Reducir a P4 si la evidencia existe parcialmente y el uso solo aportaría mejora marginal.</x:v>
      </x:c>
      <x:c r="AF7" s="136" t="str">
        <x:v>SI brecha=B-INV-001 Y evidencia_valida(EV-003)=NO Y prerrequisitos=OK Y tipo_proyecto=COMPATIBLE ENTONCES recomendar IDE-003; SI evidencia_valida=SI Y sin_disparador_iteracion ENTONCES excluir; SI prerrequisito_critico=NO ENTONCES recomendar primero el antecedente/evidencia faltante.</x:v>
      </x:c>
      <x:c r="AG7" s="136" t="str">
        <x:v>NO AUTOMATIZAR hasta validación CEDIA</x:v>
      </x:c>
      <x:c r="AH7" s="207" t="str">
        <x:v>PRE-003</x:v>
      </x:c>
    </x:row>
    <x:row r="8">
      <x:c r="A8" s="136" t="str">
        <x:v>R-ACT-004</x:v>
      </x:c>
      <x:c r="B8" s="136" t="str">
        <x:v>Borrador sustentado</x:v>
      </x:c>
      <x:c r="C8" s="136" t="str">
        <x:v>P3</x:v>
      </x:c>
      <x:c r="D8" s="136" t="str">
        <x:v>Investigación / Evidencia</x:v>
      </x:c>
      <x:c r="E8" s="136" t="str">
        <x:v>B-INV-002</x:v>
      </x:c>
      <x:c r="F8" s="136"/>
      <x:c r="G8" s="136"/>
      <x:c r="H8" s="136"/>
      <x:c r="I8" s="136"/>
      <x:c r="J8" s="136" t="str">
        <x:v>Activar si Preguntas cerradas, ambiguas o cargadas de supuestos. y no existe «Matriz de Componentes de Preguntas Poderosas.» ni evidencia equivalente que cumpla el criterio de calidad: Las preguntas incluyen interrogante, extensión adecuada y revisión de supuestos/proyecciones.</x:v>
      </x:c>
      <x:c r="K8" s="136" t="str">
        <x:v>Cualquiera; la herramienta se activa por brecha/evidencia y no por una categoría tecnológica exclusiva.</x:v>
      </x:c>
      <x:c r="L8" s="136" t="str">
        <x:v>IDE-004</x:v>
      </x:c>
      <x:c r="M8" s="136" t="str">
        <x:v>Complementaria</x:v>
      </x:c>
      <x:c r="N8" s="136" t="str">
        <x:v>Se recomienda Componentes de Preguntas Poderosas porque la brecha detectada es «Preguntas que no generan información suficiente» y la herramienta está diseñada para diseñar preguntas efectivas para captar información valiosa de los usuarios. Su resultado esperado es: Conjunto de preguntas más claras, progresivas y orientadas a generar información.</x:v>
      </x:c>
      <x:c r="O8" s="136" t="str">
        <x:v>Objetivo de aprendizaje o investigación claro. Puede provenir de un Brief de investigación o evidencia equivalente.</x:v>
      </x:c>
      <x:c r="P8" s="136" t="str">
        <x:v>Las preguntas incluyen interrogante, extensión adecuada y revisión de supuestos/proyecciones.</x:v>
      </x:c>
      <x:c r="Q8" s="136" t="str">
        <x:v>Volver al Brief o ejecutar la investigación. Registrar qué pregunta responde a qué objetivo de aprendizaje.</x:v>
      </x:c>
      <x:c r="R8" s="136"/>
      <x:c r="S8" s="273"/>
      <x:c r="T8" s="136" t="str">
        <x:v>v1.0</x:v>
      </x:c>
      <x:c r="U8" s="136" t="str">
        <x:v>Sustentada en fuente CEDIA para propósito, entrada, salida, brecha y evidencia; la lógica de secuenciación es inferencia metodológica — Por validar CEDIA. La ventana TRL/CRL procede de referencia externa y no debe operar como filtro rígido.</x:v>
      </x:c>
      <x:c r="V8" s="136" t="str">
        <x:v>Mejorar las preguntas utilizadas para obtener información útil y reducir sesgos.</x:v>
      </x:c>
      <x:c r="W8" s="136" t="str">
        <x:v>No recomendar si no está claro qué se necesita aprender; tampoco si las preguntas ya son abiertas, comprensibles y adecuadas al objetivo.</x:v>
      </x:c>
      <x:c r="X8" s="136" t="str">
        <x:v>Sin dependencia crítica registrada; aplicar únicamente los prerrequisitos de contenido de la herramienta.</x:v>
      </x:c>
      <x:c r="Y8" s="136" t="str">
        <x:v>TRL/CRL contextuales; la dimensión depende de aquello que se investigue.</x:v>
      </x:c>
      <x:c r="Z8" s="136" t="str">
        <x:v>TRL 1 / No aplica — guía orientativa, no normativa.</x:v>
      </x:c>
      <x:c r="AA8" s="136" t="str">
        <x:v>Investigación; transversal a validación técnica y de mercado.</x:v>
      </x:c>
      <x:c r="AB8" s="136" t="str">
        <x:v>Sustentada en fuente CEDIA + inferencia metodológica — por validar CEDIA</x:v>
      </x:c>
      <x:c r="AC8" s="136" t="str">
        <x:v>IDEACIÓN - Componentes de Preguntas Poderosas.pdf; IDEACIÓN - Componentes de Preguntas Poderosas.pdf; IDEACIÓN - Componentes de Preguntas Poderosas.pdf; dependencias DEP-003; CALCULADORA TRL Y CRLS.xlsx (solo contexto de dimensiones); Herramientas_TRL_CRL.docx (ventana orientativa no normativa)</x:v>
      </x:c>
      <x:c r="AD8" s="136" t="str"/>
      <x:c r="AE8" s="136" t="str">
        <x:v>Prioridad base P3. Escalar a P1 si esta brecha impide directamente el objetivo actual o bloquea una herramienta necesaria. Reducir a P4 si la evidencia existe parcialmente y el uso solo aportaría mejora marginal.</x:v>
      </x:c>
      <x:c r="AF8" s="136" t="str">
        <x:v>SI brecha=B-INV-002 Y evidencia_valida(EV-004)=NO Y prerrequisitos=OK Y tipo_proyecto=COMPATIBLE ENTONCES recomendar IDE-004; SI evidencia_valida=SI Y sin_disparador_iteracion ENTONCES excluir; SI prerrequisito_critico=NO ENTONCES recomendar primero el antecedente/evidencia faltante.</x:v>
      </x:c>
      <x:c r="AG8" s="136" t="str">
        <x:v>NO AUTOMATIZAR hasta validación CEDIA</x:v>
      </x:c>
      <x:c r="AH8" s="207" t="str">
        <x:v>PRE-004</x:v>
      </x:c>
    </x:row>
    <x:row r="9">
      <x:c r="A9" s="136" t="str">
        <x:v>R-ACT-005</x:v>
      </x:c>
      <x:c r="B9" s="136" t="str">
        <x:v>Borrador sustentado</x:v>
      </x:c>
      <x:c r="C9" s="136" t="str">
        <x:v>P2</x:v>
      </x:c>
      <x:c r="D9" s="136" t="str">
        <x:v>Problema</x:v>
      </x:c>
      <x:c r="E9" s="136" t="str">
        <x:v>B-PRO-002</x:v>
      </x:c>
      <x:c r="F9" s="136"/>
      <x:c r="G9" s="136"/>
      <x:c r="H9" s="136"/>
      <x:c r="I9" s="136"/>
      <x:c r="J9" s="136" t="str">
        <x:v>Activar si Causas sueltas o sin jerarquía. y no existe «Diagrama de Ishikawa.» ni evidencia equivalente que cumpla el criterio de calidad: El problema está definido y las causas relevantes se encuentran organizadas en categorías y niveles de causalidad.</x:v>
      </x:c>
      <x:c r="K9" s="136" t="str">
        <x:v>Cualquiera; la herramienta se activa por brecha/evidencia y no por una categoría tecnológica exclusiva.</x:v>
      </x:c>
      <x:c r="L9" s="136" t="str">
        <x:v>IDE-005</x:v>
      </x:c>
      <x:c r="M9" s="136" t="str">
        <x:v>Prioritaria</x:v>
      </x:c>
      <x:c r="N9" s="136" t="str">
        <x:v>Se recomienda Diagrama de Ishikawa porque la brecha detectada es «Causas del problema no analizadas sistemáticamente» y la herramienta está diseñada para identificar las causas de un problema. Su resultado esperado es: Diagrama de Ishikawa con problema, categorías de causas, causas principales y secundarias.</x:v>
      </x:c>
      <x:c r="O9" s="136" t="str">
        <x:v>Problema definido y conocimiento preliminar de posibles factores causales. Árbol de Problemas puede aportar causas iniciales.</x:v>
      </x:c>
      <x:c r="P9" s="136" t="str">
        <x:v>El problema está definido y las causas relevantes se encuentran organizadas en categorías y niveles de causalidad.</x:v>
      </x:c>
      <x:c r="Q9" s="136" t="str">
        <x:v>Contrastar las causas prioritarias con datos/pruebas. Si se confirma la necesidad de investigar, estructurar un Brief de investigación.</x:v>
      </x:c>
      <x:c r="R9" s="136"/>
      <x:c r="S9" s="273"/>
      <x:c r="T9" s="136" t="str">
        <x:v>v1.0</x:v>
      </x:c>
      <x:c r="U9" s="136" t="str">
        <x:v>Sustentada en fuente CEDIA para propósito, entrada, salida, brecha y evidencia; la lógica de secuenciación es inferencia metodológica — Por validar CEDIA. La ventana TRL/CRL procede de referencia externa y no debe operar como filtro rígido.</x:v>
      </x:c>
      <x:c r="V9" s="136" t="str">
        <x:v>Profundizar y clasificar causas potenciales de un problema técnico, operativo o de proceso.</x:v>
      </x:c>
      <x:c r="W9" s="136" t="str">
        <x:v>No recomendar para demostrar causalidad; si todavía no existe un problema definido, delimitarlo primero.</x:v>
      </x:c>
      <x:c r="X9" s="136" t="str">
        <x:v>Sin dependencia crítica registrada; aplicar únicamente los prerrequisitos de contenido de la herramienta.</x:v>
      </x:c>
      <x:c r="Y9" s="136" t="str">
        <x:v>TRL contextual; puede aportar a claridad del concepto o validación técnica según el problema. CRL no suele ser el criterio principal.</x:v>
      </x:c>
      <x:c r="Z9" s="136" t="str">
        <x:v>TRL 1–2 / No aplica — guía orientativa, no normativa.</x:v>
      </x:c>
      <x:c r="AA9" s="136" t="str">
        <x:v>Validación Técnica y Estudios de Viabilidad (contextual).</x:v>
      </x:c>
      <x:c r="AB9" s="136" t="str">
        <x:v>Sustentada en fuente CEDIA + inferencia metodológica — por validar CEDIA</x:v>
      </x:c>
      <x:c r="AC9" s="136" t="str">
        <x:v>IDEACIÓN - Diagrama de Ishikawa.pdf; IDEACIÓN - Diagrama de Ishikawa.pdf; IDEACIÓN - Diagrama de Ishikawa.pdf; dependencias DEP-002; CALCULADORA TRL Y CRLS.xlsx (solo contexto de dimensiones); Herramientas_TRL_CRL.docx (ventana orientativa no normativa)</x:v>
      </x:c>
      <x:c r="AD9" s="136" t="str"/>
      <x:c r="AE9" s="136" t="str">
        <x:v>Prioridad base P2. Escalar a P1 si esta brecha impide directamente el objetivo actual o bloquea una herramienta necesaria. Reducir a P4 si la evidencia existe parcialmente y el uso solo aportaría mejora marginal.</x:v>
      </x:c>
      <x:c r="AF9" s="136" t="str">
        <x:v>SI brecha=B-PRO-002 Y evidencia_valida(EV-005)=NO Y prerrequisitos=OK Y tipo_proyecto=COMPATIBLE ENTONCES recomendar IDE-005; SI evidencia_valida=SI Y sin_disparador_iteracion ENTONCES excluir; SI prerrequisito_critico=NO ENTONCES recomendar primero el antecedente/evidencia faltante.</x:v>
      </x:c>
      <x:c r="AG9" s="136" t="str">
        <x:v>NO AUTOMATIZAR hasta validación CEDIA</x:v>
      </x:c>
      <x:c r="AH9" s="207" t="str">
        <x:v>PRE-005</x:v>
      </x:c>
    </x:row>
    <x:row r="10">
      <x:c r="A10" s="136" t="str">
        <x:v>R-ACT-006</x:v>
      </x:c>
      <x:c r="B10" s="136" t="str">
        <x:v>Borrador sustentado</x:v>
      </x:c>
      <x:c r="C10" s="136" t="str">
        <x:v>P3</x:v>
      </x:c>
      <x:c r="D10" s="136" t="str">
        <x:v>Ideación / Alternativas</x:v>
      </x:c>
      <x:c r="E10" s="136" t="str">
        <x:v>B-IDE-002</x:v>
      </x:c>
      <x:c r="F10" s="136"/>
      <x:c r="G10" s="136"/>
      <x:c r="H10" s="136"/>
      <x:c r="I10" s="136"/>
      <x:c r="J10" s="136" t="str">
        <x:v>Activar si Insights sin formulación de oportunidad. y no existe «Matriz de insights y preguntas «¿Cómo podríamos…?».» ni evidencia equivalente que cumpla el criterio de calidad: Cada insight relevante se ha traducido en una pregunta abierta que permite explorar soluciones.</x:v>
      </x:c>
      <x:c r="K10" s="136" t="str">
        <x:v>Cualquiera; la herramienta se activa por brecha/evidencia y no por una categoría tecnológica exclusiva.</x:v>
      </x:c>
      <x:c r="L10" s="136" t="str">
        <x:v>IDE-006</x:v>
      </x:c>
      <x:c r="M10" s="136" t="str">
        <x:v>Complementaria</x:v>
      </x:c>
      <x:c r="N10" s="136" t="str">
        <x:v>Se recomienda How Might We porque la brecha detectada es «Insights no convertidos en preguntas de oportunidad» y la herramienta está diseñada para resolver un problema de manera innovadora a partir de insights detectados. Su resultado esperado es: Preguntas de oportunidad tipo «¿Cómo podríamos…?» derivadas de insights.</x:v>
      </x:c>
      <x:c r="O10" s="136" t="str">
        <x:v>Problema delimitado y al menos un insight/aprendizaje relevante. Planteamiento del Problema puede ayudar a delimitarlo.</x:v>
      </x:c>
      <x:c r="P10" s="136" t="str">
        <x:v>Cada insight relevante se ha traducido en una pregunta abierta que permite explorar soluciones.</x:v>
      </x:c>
      <x:c r="Q10" s="136" t="str">
        <x:v>Generar alternativas con Brainstorming o Lotus Blossom, según se prefiera exploración libre o estructurada.</x:v>
      </x:c>
      <x:c r="R10" s="136"/>
      <x:c r="S10" s="273"/>
      <x:c r="T10" s="136" t="str">
        <x:v>v1.0</x:v>
      </x:c>
      <x:c r="U10" s="136" t="str">
        <x:v>Sustentada en fuente CEDIA para propósito, entrada, salida, brecha y evidencia; la lógica de secuenciación es inferencia metodológica — Por validar CEDIA. La ventana TRL/CRL procede de referencia externa y no debe operar como filtro rígido.</x:v>
      </x:c>
      <x:c r="V10" s="136" t="str">
        <x:v>Convertir un problema o insight en preguntas de oportunidad que abran espacio de solución.</x:v>
      </x:c>
      <x:c r="W10" s="136" t="str">
        <x:v>No recomendar si todavía no existe claridad sobre el problema/insight o si la pregunta ya contiene una solución predeterminada.</x:v>
      </x:c>
      <x:c r="X10" s="136" t="str">
        <x:v>Planteamiento del Problema: antecedente condicional (DEP-004); puede sustituirse por evidencia equivalente.</x:v>
      </x:c>
      <x:c r="Y10" s="136" t="str">
        <x:v>TRL contextual; no dimensión directa. CRL depende del origen de los insights.</x:v>
      </x:c>
      <x:c r="Z10" s="136" t="str">
        <x:v>TRL 2 / No aplica — guía orientativa, no normativa.</x:v>
      </x:c>
      <x:c r="AA10" s="136" t="str">
        <x:v>Estado del Concepto y Definición de la Idea (contextual).</x:v>
      </x:c>
      <x:c r="AB10" s="136" t="str">
        <x:v>Sustentada en fuente CEDIA + inferencia metodológica — por validar CEDIA</x:v>
      </x:c>
      <x:c r="AC10" s="136" t="str">
        <x:v>IDEACIÓN - How might we.pdf; IDEACIÓN - How might we.pdf; IDEACIÓN - How might we.pdf; dependencias DEP-004; CALCULADORA TRL Y CRLS.xlsx (solo contexto de dimensiones); Herramientas_TRL_CRL.docx (ventana orientativa no normativa)</x:v>
      </x:c>
      <x:c r="AD10" s="136" t="str"/>
      <x:c r="AE10" s="136" t="str">
        <x:v>Prioridad base P3. Escalar a P1 si esta brecha impide directamente el objetivo actual o bloquea una herramienta necesaria. Reducir a P4 si la evidencia existe parcialmente y el uso solo aportaría mejora marginal.</x:v>
      </x:c>
      <x:c r="AF10" s="136" t="str">
        <x:v>SI brecha=B-IDE-002 Y evidencia_valida(EV-006)=NO Y prerrequisitos=OK Y tipo_proyecto=COMPATIBLE ENTONCES recomendar IDE-006; SI evidencia_valida=SI Y sin_disparador_iteracion ENTONCES excluir; SI prerrequisito_critico=NO ENTONCES recomendar primero el antecedente/evidencia faltante.</x:v>
      </x:c>
      <x:c r="AG10" s="136" t="str">
        <x:v>NO AUTOMATIZAR hasta validación CEDIA</x:v>
      </x:c>
      <x:c r="AH10" s="207" t="str">
        <x:v>PRE-006</x:v>
      </x:c>
    </x:row>
    <x:row r="11">
      <x:c r="A11" s="136" t="str">
        <x:v>R-ACT-007</x:v>
      </x:c>
      <x:c r="B11" s="136" t="str">
        <x:v>Borrador sustentado</x:v>
      </x:c>
      <x:c r="C11" s="136" t="str">
        <x:v>P3</x:v>
      </x:c>
      <x:c r="D11" s="136" t="str">
        <x:v>Ideación / Alternativas</x:v>
      </x:c>
      <x:c r="E11" s="136" t="str">
        <x:v>B-IDE-003</x:v>
      </x:c>
      <x:c r="F11" s="136"/>
      <x:c r="G11" s="136"/>
      <x:c r="H11" s="136"/>
      <x:c r="I11" s="136"/>
      <x:c r="J11" s="136" t="str">
        <x:v>Activar si Pocas perspectivas o ausencia de priorización. y no existe «Matriz Lotus Blossom y priorizada.» ni evidencia equivalente que cumpla el criterio de calidad: El concepto central fue expandido en ideas relacionadas y se realizó una priorización final.</x:v>
      </x:c>
      <x:c r="K11" s="136" t="str">
        <x:v>Cualquiera; la herramienta se activa por brecha/evidencia y no por una categoría tecnológica exclusiva.</x:v>
      </x:c>
      <x:c r="L11" s="136" t="str">
        <x:v>IDE-007</x:v>
      </x:c>
      <x:c r="M11" s="136" t="str">
        <x:v>Complementaria</x:v>
      </x:c>
      <x:c r="N11" s="136" t="str">
        <x:v>Se recomienda Lotus Blossom porque la brecha detectada es «Concepto o reto insuficientemente expandido» y la herramienta está diseñada para visualizar relaciones entre un concepto central y subconceptos asociados para expandir y analizar ideas. Su resultado esperado es: Mapa expandido de ideas/subconceptos con priorización de los más relevantes.</x:v>
      </x:c>
      <x:c r="O11" s="136" t="str">
        <x:v>Concepto, problema o pregunta central claramente definida. How Might We puede ser una entrada; Brainstorming es una alternativa, no requisito.</x:v>
      </x:c>
      <x:c r="P11" s="136" t="str">
        <x:v>El concepto central fue expandido en ideas relacionadas y se realizó una priorización final.</x:v>
      </x:c>
      <x:c r="Q11" s="136" t="str">
        <x:v>Priorizar ideas y, para candidatas relevantes, evaluar potencial con Tres Lupas.</x:v>
      </x:c>
      <x:c r="R11" s="136"/>
      <x:c r="S11" s="273"/>
      <x:c r="T11" s="136" t="str">
        <x:v>v1.0</x:v>
      </x:c>
      <x:c r="U11" s="136" t="str">
        <x:v>Sustentada en fuente CEDIA para propósito, entrada, salida, brecha y evidencia; la lógica de secuenciación es inferencia metodológica — Por validar CEDIA. La ventana TRL/CRL procede de referencia externa y no debe operar como filtro rígido.</x:v>
      </x:c>
      <x:c r="V11" s="136" t="str">
        <x:v>Expandir sistemáticamente un reto central en líneas de ideas y subconceptos.</x:v>
      </x:c>
      <x:c r="W11" s="136" t="str">
        <x:v>No recomendar si la necesidad actual es validar una idea ya seleccionada o si no existe un reto central suficientemente claro.</x:v>
      </x:c>
      <x:c r="X11" s="136" t="str">
        <x:v>How Might We: antecedente condicional (DEP-006); puede sustituirse por evidencia equivalente.</x:v>
      </x:c>
      <x:c r="Y11" s="136" t="str">
        <x:v>TRL contextual; no dimensión directa.</x:v>
      </x:c>
      <x:c r="Z11" s="136" t="str">
        <x:v>TRL 2 / No aplica — guía orientativa, no normativa.</x:v>
      </x:c>
      <x:c r="AA11" s="136" t="str">
        <x:v>Estado del Concepto y Definición de la Idea (contextual).</x:v>
      </x:c>
      <x:c r="AB11" s="136" t="str">
        <x:v>Sustentada en fuente CEDIA + inferencia metodológica — por validar CEDIA</x:v>
      </x:c>
      <x:c r="AC11" s="136" t="str">
        <x:v>IDEACIÓN - Lotus Blossom.pdf; IDEACIÓN - Lotus Blossom.pdf; IDEACIÓN - Lotus Blossom.pdf; dependencias DEP-006, DEP-007; CALCULADORA TRL Y CRLS.xlsx (solo contexto de dimensiones); Herramientas_TRL_CRL.docx (ventana orientativa no normativa)</x:v>
      </x:c>
      <x:c r="AD11" s="136" t="str"/>
      <x:c r="AE11" s="136" t="str">
        <x:v>Prioridad base P3. Escalar a P1 si esta brecha impide directamente el objetivo actual o bloquea una herramienta necesaria. Reducir a P4 si la evidencia existe parcialmente y el uso solo aportaría mejora marginal.</x:v>
      </x:c>
      <x:c r="AF11" s="136" t="str">
        <x:v>SI brecha=B-IDE-003 Y evidencia_valida(EV-007)=NO Y prerrequisitos=OK Y tipo_proyecto=COMPATIBLE ENTONCES recomendar IDE-007; SI evidencia_valida=SI Y sin_disparador_iteracion ENTONCES excluir; SI prerrequisito_critico=NO ENTONCES recomendar primero el antecedente/evidencia faltante.</x:v>
      </x:c>
      <x:c r="AG11" s="136" t="str">
        <x:v>NO AUTOMATIZAR hasta validación CEDIA</x:v>
      </x:c>
      <x:c r="AH11" s="207" t="str">
        <x:v>PRE-007</x:v>
      </x:c>
    </x:row>
    <x:row r="12">
      <x:c r="A12" s="136" t="str">
        <x:v>R-ACT-008</x:v>
      </x:c>
      <x:c r="B12" s="136" t="str">
        <x:v>Borrador sustentado</x:v>
      </x:c>
      <x:c r="C12" s="136" t="str">
        <x:v>P2</x:v>
      </x:c>
      <x:c r="D12" s="136" t="str">
        <x:v>Problema</x:v>
      </x:c>
      <x:c r="E12" s="136" t="str">
        <x:v>B-PRO-003</x:v>
      </x:c>
      <x:c r="F12" s="136"/>
      <x:c r="G12" s="136"/>
      <x:c r="H12" s="136"/>
      <x:c r="I12" s="136"/>
      <x:c r="J12" s="136" t="str">
        <x:v>Activar si Descripción genérica o centrada prematuramente en la solución. y no existe «Lienzo de Planteamiento del Problema.» ni evidencia equivalente que cumpla el criterio de calidad: Los seis elementos están definidos de forma coherente y sin anticipar una solución específica en el beneficio deseado.</x:v>
      </x:c>
      <x:c r="K12" s="136" t="str">
        <x:v>Cualquiera; la herramienta se activa por brecha/evidencia y no por una categoría tecnológica exclusiva.</x:v>
      </x:c>
      <x:c r="L12" s="136" t="str">
        <x:v>IDE-008</x:v>
      </x:c>
      <x:c r="M12" s="136" t="str">
        <x:v>Prioritaria</x:v>
      </x:c>
      <x:c r="N12" s="136" t="str">
        <x:v>Se recomienda Planteamiento del Problema porque la brecha detectada es «Problema, beneficiario y contexto insuficientemente definidos» y la herramienta está diseñada para entender a detalle la problemática que se desea mitigar. Su resultado esperado es: Planteamiento estructurado del problema, beneficiarios, contexto, beneficio deseado e impacto esperado.</x:v>
      </x:c>
      <x:c r="O12" s="136" t="str">
        <x:v>Tema o problemática inicial y conocimiento preliminar sobre personas afectadas y contexto.</x:v>
      </x:c>
      <x:c r="P12" s="136" t="str">
        <x:v>Los seis elementos están definidos de forma coherente y sin anticipar una solución específica en el beneficio deseado.</x:v>
      </x:c>
      <x:c r="Q12" s="136" t="str">
        <x:v>Si se necesita causa–efecto, Árbol de Problemas; si ya existen insights, How Might We; si se necesita investigación, Brief.</x:v>
      </x:c>
      <x:c r="R12" s="136"/>
      <x:c r="S12" s="273"/>
      <x:c r="T12" s="136" t="str">
        <x:v>v1.0</x:v>
      </x:c>
      <x:c r="U12" s="136" t="str">
        <x:v>Sustentada en fuente CEDIA para propósito, entrada, salida, brecha y evidencia; la lógica de secuenciación es inferencia metodológica — Por validar CEDIA. La ventana TRL/CRL procede de referencia externa y no debe operar como filtro rígido.</x:v>
      </x:c>
      <x:c r="V12" s="136" t="str">
        <x:v>Delimitar formalmente quién vive el problema, qué ocurre, en qué contexto y qué cambio sería deseable.</x:v>
      </x:c>
      <x:c r="W12" s="136" t="str">
        <x:v>No recomendar si ya existe un planteamiento vigente, delimitado y sin solución predeterminada; si faltan escenarios/contexto, Future Compass puede complementar.</x:v>
      </x:c>
      <x:c r="X12" s="136" t="str">
        <x:v>Sin dependencia crítica registrada; aplicar únicamente los prerrequisitos de contenido de la herramienta.</x:v>
      </x:c>
      <x:c r="Y12" s="136" t="str">
        <x:v>TRL contextual; especialmente útil cuando la claridad del concepto/problema es baja. CRL no es condición de acceso.</x:v>
      </x:c>
      <x:c r="Z12" s="136" t="str">
        <x:v>TRL 1 / No aplica — guía orientativa, no normativa.</x:v>
      </x:c>
      <x:c r="AA12" s="136" t="str">
        <x:v>Estado del Concepto y Definición de la Idea.</x:v>
      </x:c>
      <x:c r="AB12" s="136" t="str">
        <x:v>Sustentada en fuente CEDIA + inferencia metodológica — por validar CEDIA</x:v>
      </x:c>
      <x:c r="AC12" s="136" t="str">
        <x:v>IDEACIÓN - Planteamiento del Problema.pdf; IDEACIÓN - Planteamiento del Problema.pdf; IDEACIÓN - Planteamiento del Problema.pdf; dependencias DEP-030; CALCULADORA TRL Y CRLS.xlsx (solo contexto de dimensiones); Herramientas_TRL_CRL.docx (ventana orientativa no normativa)</x:v>
      </x:c>
      <x:c r="AD12" s="136" t="str"/>
      <x:c r="AE12" s="136" t="str">
        <x:v>Prioridad base P2. Escalar a P1 si esta brecha impide directamente el objetivo actual o bloquea una herramienta necesaria. Reducir a P4 si la evidencia existe parcialmente y el uso solo aportaría mejora marginal.</x:v>
      </x:c>
      <x:c r="AF12" s="136" t="str">
        <x:v>SI brecha=B-PRO-003 Y evidencia_valida(EV-008)=NO Y prerrequisitos=OK Y tipo_proyecto=COMPATIBLE ENTONCES recomendar IDE-008; SI evidencia_valida=SI Y sin_disparador_iteracion ENTONCES excluir; SI prerrequisito_critico=NO ENTONCES recomendar primero el antecedente/evidencia faltante.</x:v>
      </x:c>
      <x:c r="AG12" s="136" t="str">
        <x:v>NO AUTOMATIZAR hasta validación CEDIA</x:v>
      </x:c>
      <x:c r="AH12" s="207" t="str">
        <x:v>PRE-008</x:v>
      </x:c>
    </x:row>
    <x:row r="13">
      <x:c r="A13" s="136" t="str">
        <x:v>R-ACT-009</x:v>
      </x:c>
      <x:c r="B13" s="136" t="str">
        <x:v>Borrador sustentado</x:v>
      </x:c>
      <x:c r="C13" s="136" t="str">
        <x:v>P2</x:v>
      </x:c>
      <x:c r="D13" s="136" t="str">
        <x:v>Mercado</x:v>
      </x:c>
      <x:c r="E13" s="136" t="str">
        <x:v>B-MER-001</x:v>
      </x:c>
      <x:c r="F13" s="136"/>
      <x:c r="G13" s="136"/>
      <x:c r="H13" s="136"/>
      <x:c r="I13" s="136"/>
      <x:c r="J13" s="136" t="str">
        <x:v>Activar si Segmentación superficial o exclusivamente demográfica. y no existe «Ficha de Buyer Persona.» ni evidencia equivalente que cumpla el criterio de calidad: El perfil contiene los elementos definidos por la herramienta y representa un segmento específico con necesidades particulares.</x:v>
      </x:c>
      <x:c r="K13" s="136" t="str">
        <x:v>Cualquiera; la herramienta se activa por brecha/evidencia y no por una categoría tecnológica exclusiva.</x:v>
      </x:c>
      <x:c r="L13" s="136" t="str">
        <x:v>MKT-001</x:v>
      </x:c>
      <x:c r="M13" s="136" t="str">
        <x:v>Prioritaria</x:v>
      </x:c>
      <x:c r="N13" s="136" t="str">
        <x:v>Se recomienda Buyer Persona porque la brecha detectada es «Cliente ideal insuficientemente caracterizado» y la herramienta está diseñada para definir con precisión las características del cliente ideal para cada producto. Su resultado esperado es: Perfil de Buyer Persona completo para un segmento específico.</x:v>
      </x:c>
      <x:c r="O13" s="136" t="str">
        <x:v>Segmento definido y evidencia real o cualitativa suficiente sobre características, objetivos, retos, objeciones y comportamiento. Mapa de Empatía puede aportar insumos.</x:v>
      </x:c>
      <x:c r="P13" s="136" t="str">
        <x:v>El perfil contiene los elementos definidos por la herramienta y representa un segmento específico con necesidades particulares.</x:v>
      </x:c>
      <x:c r="Q13" s="136" t="str">
        <x:v>Si falta entender jobs, considerar Job To Be Done; si se trabaja valor, Lienzo de Propuesta de Valor; si se trabaja competencia, Mapa de Posicionamiento.</x:v>
      </x:c>
      <x:c r="R13" s="136"/>
      <x:c r="S13" s="273"/>
      <x:c r="T13" s="136" t="str">
        <x:v>v1.0</x:v>
      </x:c>
      <x:c r="U13" s="136" t="str">
        <x:v>Sustentada en fuente CEDIA para propósito, entrada, salida, brecha y evidencia; la lógica de secuenciación es inferencia metodológica — Por validar CEDIA. La ventana TRL/CRL procede de referencia externa y no debe operar como filtro rígido.</x:v>
      </x:c>
      <x:c r="V13" s="136" t="str">
        <x:v>Formalizar un segmento de cliente en un perfil accionable para diseño, marketing o ventas.</x:v>
      </x:c>
      <x:c r="W13" s="136" t="str">
        <x:v>No recomendar una persona construida solo con suposiciones; tampoco si ya existe un perfil vigente y suficientemente sustentado del mismo segmento.</x:v>
      </x:c>
      <x:c r="X13" s="136" t="str">
        <x:v>Mapa de Empatía: antecedente condicional (DEP-018); puede sustituirse por evidencia equivalente.</x:v>
      </x:c>
      <x:c r="Y13" s="136" t="str">
        <x:v>CRL-01 Comprensión del Mercado y Necesidades del Cliente es la dimensión más relacionada. TRL solo contextual.</x:v>
      </x:c>
      <x:c r="Z13" s="136" t="str">
        <x:v>TRL 3–4 / CRL 1–2 — guía orientativa, no normativa.</x:v>
      </x:c>
      <x:c r="AA13" s="136" t="str">
        <x:v>Interacción y Validación de Mercado.</x:v>
      </x:c>
      <x:c r="AB13" s="136" t="str">
        <x:v>Sustentada en fuente CEDIA + inferencia metodológica — por validar CEDIA</x:v>
      </x:c>
      <x:c r="AC13" s="136" t="str">
        <x:v>MARKETING - Buyer Persona.pdf; MARKETING - Buyer Persona.pdf; MARKETING - Buyer Persona.pdf; dependencias DEP-018; CALCULADORA TRL Y CRLS.xlsx (solo contexto de dimensiones); Herramientas_TRL_CRL.docx (ventana orientativa no normativa)</x:v>
      </x:c>
      <x:c r="AD13" s="136" t="str">
        <x:v>Actualizar si cambia el segmento objetivo, aparecen entrevistas/datos nuevos o evidencia que contradice objetivos, retos, objeciones o comportamiento del perfil.</x:v>
      </x:c>
      <x:c r="AE13" s="136" t="str">
        <x:v>Prioridad base P2. Escalar a P1 si esta brecha impide directamente el objetivo actual o bloquea una herramienta necesaria. Reducir a P4 si la evidencia existe parcialmente y el uso solo aportaría mejora marginal.</x:v>
      </x:c>
      <x:c r="AF13" s="136" t="str">
        <x:v>SI brecha=B-MER-001 Y evidencia_valida(EV-009)=NO Y prerrequisitos=OK Y tipo_proyecto=COMPATIBLE ENTONCES recomendar MKT-001; SI evidencia_valida=SI Y sin_disparador_iteracion ENTONCES excluir; SI prerrequisito_critico=NO ENTONCES recomendar primero el antecedente/evidencia faltante.</x:v>
      </x:c>
      <x:c r="AG13" s="136" t="str">
        <x:v>NO AUTOMATIZAR hasta validación CEDIA</x:v>
      </x:c>
      <x:c r="AH13" s="207" t="str">
        <x:v>PRE-009</x:v>
      </x:c>
    </x:row>
    <x:row r="14">
      <x:c r="A14" s="136" t="str">
        <x:v>R-ACT-010</x:v>
      </x:c>
      <x:c r="B14" s="136" t="str">
        <x:v>Borrador sustentado</x:v>
      </x:c>
      <x:c r="C14" s="136" t="str">
        <x:v>P3</x:v>
      </x:c>
      <x:c r="D14" s="136" t="str">
        <x:v>Comunicación / Pitch</x:v>
      </x:c>
      <x:c r="E14" s="136" t="str">
        <x:v>B-COM-001</x:v>
      </x:c>
      <x:c r="F14" s="136"/>
      <x:c r="G14" s="136"/>
      <x:c r="H14" s="136"/>
      <x:c r="I14" s="136"/>
      <x:c r="J14" s="136" t="str">
        <x:v>Activar si Mensajes centrados solo en características o sin propósito. y no existe «Lienzo de Círculo de Oro.» ni evidencia equivalente que cumpla el criterio de calidad: Qué, cómo y por qué están definidos y permiten formular una declaración de propósito coherente.</x:v>
      </x:c>
      <x:c r="K14" s="136" t="str">
        <x:v>Cualquiera; la herramienta se activa por brecha/evidencia y no por una categoría tecnológica exclusiva.</x:v>
      </x:c>
      <x:c r="L14" s="136" t="str">
        <x:v>MKT-002</x:v>
      </x:c>
      <x:c r="M14" s="136" t="str">
        <x:v>Complementaria</x:v>
      </x:c>
      <x:c r="N14" s="136" t="str">
        <x:v>Se recomienda Círculo de Oro porque la brecha detectada es «Propósito y diferenciación no articulados» y la herramienta está diseñada para definir el propósito de una organización, dirección, área o departamento. Su resultado esperado es: Círculo de Oro y declaración de propósito.</x:v>
      </x:c>
      <x:c r="O14" s="136" t="str">
        <x:v>Información suficiente sobre qué hace el proyecto/organización, cómo aporta valor y por qué existe.</x:v>
      </x:c>
      <x:c r="P14" s="136" t="str">
        <x:v>Qué, cómo y por qué están definidos y permiten formular una declaración de propósito coherente.</x:v>
      </x:c>
      <x:c r="Q14" s="136" t="str">
        <x:v>Usar la narrativa como insumo de comunicación. Si el objetivo es presentar el proyecto y ya existe evidencia suficiente, puede alimentar Pitch Canvas.</x:v>
      </x:c>
      <x:c r="R14" s="136"/>
      <x:c r="S14" s="273"/>
      <x:c r="T14" s="136" t="str">
        <x:v>v1.0</x:v>
      </x:c>
      <x:c r="U14" s="136" t="str">
        <x:v>Sustentada en fuente CEDIA para propósito, entrada, salida, brecha y evidencia; la lógica de secuenciación es inferencia metodológica — Por validar CEDIA. La ventana TRL/CRL procede de referencia externa y no debe operar como filtro rígido.</x:v>
      </x:c>
      <x:c r="V14" s="136" t="str">
        <x:v>Definir y comunicar propósito, forma diferencial de actuar y oferta.</x:v>
      </x:c>
      <x:c r="W14" s="136" t="str">
        <x:v>No recomendar como herramienta de validación de mercado, precio o demanda; tampoco si propósito, cómo y qué ya están claramente documentados.</x:v>
      </x:c>
      <x:c r="X14" s="136" t="str">
        <x:v>Sin dependencia crítica registrada; aplicar únicamente los prerrequisitos de contenido de la herramienta.</x:v>
      </x:c>
      <x:c r="Y14" s="136" t="str">
        <x:v>CRL contextual, especialmente comprensión inicial del mercado/propósito. No determina TRL.</x:v>
      </x:c>
      <x:c r="Z14" s="136" t="str">
        <x:v>TRL 2–3 / CRL 1 — guía orientativa, no normativa.</x:v>
      </x:c>
      <x:c r="AA14" s="136" t="str">
        <x:v>Estado del Concepto y Definición de la Idea; Plan de Comercialización y Escalabilidad (contextual).</x:v>
      </x:c>
      <x:c r="AB14" s="136" t="str">
        <x:v>Sustentada en fuente CEDIA + inferencia metodológica — por validar CEDIA</x:v>
      </x:c>
      <x:c r="AC14" s="136" t="str">
        <x:v>MARKETING - Circulo de Oro.pdf; MARKETING - Circulo de Oro.pdf; MARKETING - Circulo de Oro.pdf; CALCULADORA TRL Y CRLS.xlsx (solo contexto de dimensiones); Herramientas_TRL_CRL.docx (ventana orientativa no normativa)</x:v>
      </x:c>
      <x:c r="AD14" s="136" t="str"/>
      <x:c r="AE14" s="136" t="str">
        <x:v>Prioridad base P3. Escalar a P1 si esta brecha impide directamente el objetivo actual o bloquea una herramienta necesaria. Reducir a P4 si la evidencia existe parcialmente y el uso solo aportaría mejora marginal.</x:v>
      </x:c>
      <x:c r="AF14" s="136" t="str">
        <x:v>SI brecha=B-COM-001 Y evidencia_valida(EV-010)=NO Y prerrequisitos=OK Y tipo_proyecto=COMPATIBLE ENTONCES recomendar MKT-002; SI evidencia_valida=SI Y sin_disparador_iteracion ENTONCES excluir; SI prerrequisito_critico=NO ENTONCES recomendar primero el antecedente/evidencia faltante.</x:v>
      </x:c>
      <x:c r="AG14" s="136" t="str">
        <x:v>NO AUTOMATIZAR hasta validación CEDIA</x:v>
      </x:c>
      <x:c r="AH14" s="207" t="str">
        <x:v>PRE-010</x:v>
      </x:c>
    </x:row>
    <x:row r="15">
      <x:c r="A15" s="136" t="str">
        <x:v>R-ACT-011</x:v>
      </x:c>
      <x:c r="B15" s="136" t="str">
        <x:v>Borrador sustentado</x:v>
      </x:c>
      <x:c r="C15" s="136" t="str">
        <x:v>P3</x:v>
      </x:c>
      <x:c r="D15" s="136" t="str">
        <x:v>Estrategia</x:v>
      </x:c>
      <x:c r="E15" s="136" t="str">
        <x:v>B-EST-001</x:v>
      </x:c>
      <x:c r="F15" s="136"/>
      <x:c r="G15" s="136"/>
      <x:c r="H15" s="136"/>
      <x:c r="I15" s="136"/>
      <x:c r="J15" s="136" t="str">
        <x:v>Activar si Factores mezclados o análisis parcial. y no existe «Matriz FODA.» ni evidencia equivalente que cumpla el criterio de calidad: Se han identificado y diferenciado factores internos (F/D) y externos (O/A) relevantes para el negocio.</x:v>
      </x:c>
      <x:c r="K15" s="136" t="str">
        <x:v>Cualquiera; la herramienta se activa por brecha/evidencia y no por una categoría tecnológica exclusiva.</x:v>
      </x:c>
      <x:c r="L15" s="136" t="str">
        <x:v>MKT-003</x:v>
      </x:c>
      <x:c r="M15" s="136" t="str">
        <x:v>Complementaria</x:v>
      </x:c>
      <x:c r="N15" s="136" t="str">
        <x:v>Se recomienda FODA porque la brecha detectada es «Situación interna y externa no estructurada» y la herramienta está diseñada para definir la situación de un negocio mediante análisis interno y externo. Su resultado esperado es: Matriz FODA con factores internos y externos.</x:v>
      </x:c>
      <x:c r="O15" s="136" t="str">
        <x:v>Información interna y externa suficientemente confiable; cada factor debe poder asociarse a evidencia o fuente.</x:v>
      </x:c>
      <x:c r="P15" s="136" t="str">
        <x:v>Se han identificado y diferenciado factores internos (F/D) y externos (O/A) relevantes para el negocio.</x:v>
      </x:c>
      <x:c r="Q15" s="136" t="str">
        <x:v>Traducir hallazgos en decisiones. Puede complementar Business Model Canvas y apoyar priorización de oportunidades/amenazas.</x:v>
      </x:c>
      <x:c r="R15" s="136"/>
      <x:c r="S15" s="273"/>
      <x:c r="T15" s="136" t="str">
        <x:v>v1.0</x:v>
      </x:c>
      <x:c r="U15" s="136" t="str">
        <x:v>Sustentada en fuente CEDIA para propósito, entrada, salida, brecha y evidencia; la lógica de secuenciación es inferencia metodológica — Por validar CEDIA. La ventana TRL/CRL procede de referencia externa y no debe operar como filtro rígido.</x:v>
      </x:c>
      <x:c r="V15" s="136" t="str">
        <x:v>Diagnosticar situación estratégica interna y externa del proyecto o negocio.</x:v>
      </x:c>
      <x:c r="W15" s="136" t="str">
        <x:v>No recomendar un FODA basado solo en opiniones. Si ya existe uno vigente y no ha cambiado el contexto interno/externo, evitar repetirlo.</x:v>
      </x:c>
      <x:c r="X15" s="136" t="str">
        <x:v>Sin dependencia crítica registrada; aplicar únicamente los prerrequisitos de contenido de la herramienta.</x:v>
      </x:c>
      <x:c r="Y15" s="136" t="str">
        <x:v>CRL-03 Desarrollo Comercial y Escalabilidad de Ventas es relevante en etapas comerciales; TRL solo contextual.</x:v>
      </x:c>
      <x:c r="Z15" s="136" t="str">
        <x:v>TRL 5–9 / CRL 3–6 — guía orientativa, no normativa.</x:v>
      </x:c>
      <x:c r="AA15" s="136" t="str">
        <x:v>Plan de Comercialización y Escalabilidad; Interacción y Validación de Mercado.</x:v>
      </x:c>
      <x:c r="AB15" s="136" t="str">
        <x:v>Sustentada en fuente CEDIA + inferencia metodológica — por validar CEDIA</x:v>
      </x:c>
      <x:c r="AC15" s="136" t="str">
        <x:v>MARKETING - FODA.pdf; MARKETING - FODA.pdf; MARKETING - FODA.pdf; dependencias DEP-033; CALCULADORA TRL Y CRLS.xlsx (solo contexto de dimensiones); Herramientas_TRL_CRL.docx (ventana orientativa no normativa)</x:v>
      </x:c>
      <x:c r="AD15" s="136" t="str">
        <x:v>Actualizar ante cambios relevantes del entorno, capacidades internas, competidores, regulación o hitos de madurez que alteren fortalezas/debilidades/oportunidades/amenazas.</x:v>
      </x:c>
      <x:c r="AE15" s="136" t="str">
        <x:v>Prioridad base P3. Escalar a P1 si esta brecha impide directamente el objetivo actual o bloquea una herramienta necesaria. Reducir a P4 si la evidencia existe parcialmente y el uso solo aportaría mejora marginal.</x:v>
      </x:c>
      <x:c r="AF15" s="136" t="str">
        <x:v>SI brecha=B-EST-001 Y evidencia_valida(EV-011)=NO Y prerrequisitos=OK Y tipo_proyecto=COMPATIBLE ENTONCES recomendar MKT-003; SI evidencia_valida=SI Y sin_disparador_iteracion ENTONCES excluir; SI prerrequisito_critico=NO ENTONCES recomendar primero el antecedente/evidencia faltante.</x:v>
      </x:c>
      <x:c r="AG15" s="136" t="str">
        <x:v>NO AUTOMATIZAR hasta validación CEDIA</x:v>
      </x:c>
      <x:c r="AH15" s="207" t="str">
        <x:v>PRE-011</x:v>
      </x:c>
    </x:row>
    <x:row r="16">
      <x:c r="A16" s="136" t="str">
        <x:v>R-ACT-012</x:v>
      </x:c>
      <x:c r="B16" s="136" t="str">
        <x:v>Borrador sustentado</x:v>
      </x:c>
      <x:c r="C16" s="136" t="str">
        <x:v>P2</x:v>
      </x:c>
      <x:c r="D16" s="136" t="str">
        <x:v>Posicionamiento</x:v>
      </x:c>
      <x:c r="E16" s="136" t="str">
        <x:v>B-POS-001</x:v>
      </x:c>
      <x:c r="F16" s="136"/>
      <x:c r="G16" s="136"/>
      <x:c r="H16" s="136"/>
      <x:c r="I16" s="136"/>
      <x:c r="J16" s="136" t="str">
        <x:v>Activar si Comparación anecdótica o sin ejes relevantes. y no existe «Mapa de Posicionamiento con ejes y actores ubicados.» ni evidencia equivalente que cumpla el criterio de calidad: Los ejes representan atributos relevantes y la posición de competidores y marca propia está justificada con información de mercado/percepción.</x:v>
      </x:c>
      <x:c r="K16" s="136" t="str">
        <x:v>Cualquiera; la herramienta se activa por brecha/evidencia y no por una categoría tecnológica exclusiva.</x:v>
      </x:c>
      <x:c r="L16" s="136" t="str">
        <x:v>MKT-004</x:v>
      </x:c>
      <x:c r="M16" s="136" t="str">
        <x:v>Prioritaria</x:v>
      </x:c>
      <x:c r="N16" s="136" t="str">
        <x:v>Se recomienda Mapa de Posicionamiento porque la brecha detectada es «Competencia y posicionamiento relativo poco claros» y la herramienta está diseñada para reconocer a la competencia. Su resultado esperado es: Mapa de posicionamiento de competidores y oferta propia.</x:v>
      </x:c>
      <x:c r="O16" s="136" t="str">
        <x:v>Competidores identificados, atributos relevantes y alguna evidencia de percepción/mercado. Buyer Persona o Lienzo de Propuesta de Valor pueden ayudar a definir atributos.</x:v>
      </x:c>
      <x:c r="P16" s="136" t="str">
        <x:v>Los ejes representan atributos relevantes y la posición de competidores y marca propia está justificada con información de mercado/percepción.</x:v>
      </x:c>
      <x:c r="Q16" s="136" t="str">
        <x:v>Revisar diferenciación de la propuesta y, si el objetivo es comunicarla, utilizar el resultado en Pitch Canvas.</x:v>
      </x:c>
      <x:c r="R16" s="136"/>
      <x:c r="S16" s="273"/>
      <x:c r="T16" s="136" t="str">
        <x:v>v1.0</x:v>
      </x:c>
      <x:c r="U16" s="136" t="str">
        <x:v>Sustentada en fuente CEDIA para propósito, entrada, salida, brecha y evidencia; la lógica de secuenciación es inferencia metodológica — Por validar CEDIA. La ventana TRL/CRL procede de referencia externa y no debe operar como filtro rígido.</x:v>
      </x:c>
      <x:c r="V16" s="136" t="str">
        <x:v>Definir la posición relativa de la oferta frente a competidores usando atributos relevantes para clientes.</x:v>
      </x:c>
      <x:c r="W16" s="136" t="str">
        <x:v>No recomendar si no hay competidores comparables o los ejes se basan solo en percepción interna; tampoco si ya existe un mapa vigente y el mercado no ha cambiado.</x:v>
      </x:c>
      <x:c r="X16" s="136" t="str">
        <x:v>Buyer Persona: antecedente condicional (DEP-034); puede sustituirse por evidencia equivalente.</x:v>
      </x:c>
      <x:c r="Y16" s="136" t="str">
        <x:v>CRL-01 y CRL-03 son relevantes; el nivel CRL sirve como contexto, no como filtro rígido. TRL contextual.</x:v>
      </x:c>
      <x:c r="Z16" s="136" t="str">
        <x:v>TRL 6–8 / CRL 4–6 — guía orientativa, no normativa.</x:v>
      </x:c>
      <x:c r="AA16" s="136" t="str">
        <x:v>Interacción y Validación de Mercado; Plan de Comercialización y Escalabilidad.</x:v>
      </x:c>
      <x:c r="AB16" s="136" t="str">
        <x:v>Sustentada en fuente CEDIA + inferencia metodológica — por validar CEDIA</x:v>
      </x:c>
      <x:c r="AC16" s="136" t="str">
        <x:v>MARKETING - Mapa de Posicionamiento.pdf; MARKETING - Mapa de Posicionamiento.pdf; MARKETING - Mapa de Posicionamiento.pdf; dependencias DEP-034, DEP-035; CALCULADORA TRL Y CRLS.xlsx (solo contexto de dimensiones); Herramientas_TRL_CRL.docx (ventana orientativa no normativa)</x:v>
      </x:c>
      <x:c r="AD16" s="136" t="str">
        <x:v>Actualizar si cambian competidores, atributos valorados, percepción del cliente o posición de la propia oferta.</x:v>
      </x:c>
      <x:c r="AE16" s="136" t="str">
        <x:v>Prioridad base P2. Escalar a P1 si esta brecha impide directamente el objetivo actual o bloquea una herramienta necesaria. Reducir a P4 si la evidencia existe parcialmente y el uso solo aportaría mejora marginal.</x:v>
      </x:c>
      <x:c r="AF16" s="136" t="str">
        <x:v>SI brecha=B-POS-001 Y evidencia_valida(EV-012)=NO Y prerrequisitos=OK Y tipo_proyecto=COMPATIBLE ENTONCES recomendar MKT-004; SI evidencia_valida=SI Y sin_disparador_iteracion ENTONCES excluir; SI prerrequisito_critico=NO ENTONCES recomendar primero el antecedente/evidencia faltante.</x:v>
      </x:c>
      <x:c r="AG16" s="136" t="str">
        <x:v>NO AUTOMATIZAR hasta validación CEDIA</x:v>
      </x:c>
      <x:c r="AH16" s="207" t="str">
        <x:v>PRE-012</x:v>
      </x:c>
    </x:row>
    <x:row r="17">
      <x:c r="A17" s="136" t="str">
        <x:v>R-ACT-013</x:v>
      </x:c>
      <x:c r="B17" s="136" t="str">
        <x:v>Borrador sustentado</x:v>
      </x:c>
      <x:c r="C17" s="136" t="str">
        <x:v>P3</x:v>
      </x:c>
      <x:c r="D17" s="136" t="str">
        <x:v>Comunicación / Pitch</x:v>
      </x:c>
      <x:c r="E17" s="136" t="str">
        <x:v>B-COM-002</x:v>
      </x:c>
      <x:c r="F17" s="136"/>
      <x:c r="G17" s="136"/>
      <x:c r="H17" s="136"/>
      <x:c r="I17" s="136"/>
      <x:c r="J17" s="136" t="str">
        <x:v>Activar si Pitch incompleto o disperso. y no existe «Pitch Canvas.» ni evidencia equivalente que cumpla el criterio de calidad: Los 11 bloques están cubiertos y permiten comunicar el proyecto de forma clara y concisa.</x:v>
      </x:c>
      <x:c r="K17" s="136" t="str">
        <x:v>Cualquiera; la herramienta se activa por brecha/evidencia y no por una categoría tecnológica exclusiva.</x:v>
      </x:c>
      <x:c r="L17" s="136" t="str">
        <x:v>MKT-005</x:v>
      </x:c>
      <x:c r="M17" s="136" t="str">
        <x:v>Complementaria</x:v>
      </x:c>
      <x:c r="N17" s="136" t="str">
        <x:v>Se recomienda Pitch Canvas porque la brecha detectada es «Presentación integral del proyecto incompleta» y la herramienta está diseñada para facilitar la creación de una presentación que abarque los aspectos fundamentales de un proyecto. Su resultado esperado es: Pitch estructurado del proyecto.</x:v>
      </x:c>
      <x:c r="O17" s="136" t="str">
        <x:v>Problema, solución, evidencia/prototipo si aplica, diferenciación, tracción disponible, modelo de negocio, equipo y llamada a la acción. Círculo de Oro, Posicionamiento, BMC y VPC pueden aportar insumos.</x:v>
      </x:c>
      <x:c r="P17" s="136" t="str">
        <x:v>Los 11 bloques están cubiertos y permiten comunicar el proyecto de forma clara y concisa.</x:v>
      </x:c>
      <x:c r="Q17" s="136" t="str">
        <x:v>Registrar objeciones y vacíos detectados por la audiencia; convertirlos en nuevas brechas y actualizar herramientas fuente cuando corresponda.</x:v>
      </x:c>
      <x:c r="R17" s="136"/>
      <x:c r="S17" s="273"/>
      <x:c r="T17" s="136" t="str">
        <x:v>v1.0</x:v>
      </x:c>
      <x:c r="U17" s="136" t="str">
        <x:v>Sustentada en fuente CEDIA para propósito, entrada, salida, brecha y evidencia; la lógica de secuenciación es inferencia metodológica — Por validar CEDIA. La ventana TRL/CRL procede de referencia externa y no debe operar como filtro rígido.</x:v>
      </x:c>
      <x:c r="V17" s="136" t="str">
        <x:v>Preparar una presentación integral del proyecto para inversión, clientes, aliados o decisión ejecutiva.</x:v>
      </x:c>
      <x:c r="W17" s="136" t="str">
        <x:v>No recomendar si la necesidad actual no es presentar/vender la iniciativa o si faltan datos fundamentales que obligarían a inventar mercado, tracción, inversión o modelo.</x:v>
      </x:c>
      <x:c r="X17" s="136" t="str">
        <x:v>Círculo de Oro: antecedente condicional (DEP-036); puede sustituirse por evidencia equivalente. Mapa de Posicionamiento: antecedente condicional (DEP-037); puede sustituirse por evidencia equivalente. Business Model Canvas: antecedente condicional (DEP-038); puede sustituirse por evidencia equivalente.</x:v>
      </x:c>
      <x:c r="Y17" s="136" t="str">
        <x:v>CRL-03 es la dimensión más relacionada; usar TRL/CRL para contextualizar cuánta evidencia debería contener el pitch, no para impedir su uso.</x:v>
      </x:c>
      <x:c r="Z17" s="136" t="str">
        <x:v>TRL 7–9 / CRL 5–7 — guía orientativa, no normativa.</x:v>
      </x:c>
      <x:c r="AA17" s="136" t="str">
        <x:v>Plan de Comercialización y Escalabilidad; Transferencia como contexto frecuente, no exclusivo.</x:v>
      </x:c>
      <x:c r="AB17" s="136" t="str">
        <x:v>Sustentada en fuente CEDIA + inferencia metodológica — por validar CEDIA</x:v>
      </x:c>
      <x:c r="AC17" s="136" t="str">
        <x:v>MARKETING - Pitch Canvas.pdf; MARKETING - Pitch Canvas.pdf; MARKETING - Pitch Canvas.pdf; dependencias DEP-036, DEP-037, DEP-038, DEP-039; CALCULADORA TRL Y CRLS.xlsx (solo contexto de dimensiones); Herramientas_TRL_CRL.docx (ventana orientativa no normativa)</x:v>
      </x:c>
      <x:c r="AD17" s="136" t="str"/>
      <x:c r="AE17" s="136" t="str">
        <x:v>Prioridad base P3. Escalar a P1 si esta brecha impide directamente el objetivo actual o bloquea una herramienta necesaria. Reducir a P4 si la evidencia existe parcialmente y el uso solo aportaría mejora marginal.</x:v>
      </x:c>
      <x:c r="AF17" s="136" t="str">
        <x:v>SI brecha=B-COM-002 Y evidencia_valida(EV-013)=NO Y prerrequisitos=OK Y tipo_proyecto=COMPATIBLE ENTONCES recomendar MKT-005; SI evidencia_valida=SI Y sin_disparador_iteracion ENTONCES excluir; SI prerrequisito_critico=NO ENTONCES recomendar primero el antecedente/evidencia faltante.</x:v>
      </x:c>
      <x:c r="AG17" s="136" t="str">
        <x:v>NO AUTOMATIZAR hasta validación CEDIA</x:v>
      </x:c>
      <x:c r="AH17" s="207" t="str">
        <x:v>PRE-013</x:v>
      </x:c>
    </x:row>
    <x:row r="18">
      <x:c r="A18" s="136" t="str">
        <x:v>R-ACT-014</x:v>
      </x:c>
      <x:c r="B18" s="136" t="str">
        <x:v>Borrador sustentado</x:v>
      </x:c>
      <x:c r="C18" s="136" t="str">
        <x:v>P2</x:v>
      </x:c>
      <x:c r="D18" s="136" t="str">
        <x:v>Modelo de negocio</x:v>
      </x:c>
      <x:c r="E18" s="136" t="str">
        <x:v>B-NEG-001</x:v>
      </x:c>
      <x:c r="F18" s="136"/>
      <x:c r="G18" s="136"/>
      <x:c r="H18" s="136"/>
      <x:c r="I18" s="136"/>
      <x:c r="J18" s="136" t="str">
        <x:v>Activar si Uno o más bloques relevantes están ausentes o desconectados. y no existe «Business Model Canvas.» ni evidencia equivalente que cumpla el criterio de calidad: Los nueve bloques están definidos y existe coherencia básica entre segmento, propuesta de valor, forma de entrega, operación, ingresos y costos.</x:v>
      </x:c>
      <x:c r="K18" s="136" t="str">
        <x:v>Cualquier tipo de proyecto cuando el objetivo incluya diseñar, revisar o escalar su modelo de negocio.</x:v>
      </x:c>
      <x:c r="L18" s="136" t="str">
        <x:v>NEG-001</x:v>
      </x:c>
      <x:c r="M18" s="136" t="str">
        <x:v>Prioritaria</x:v>
      </x:c>
      <x:c r="N18" s="136" t="str">
        <x:v>Se recomienda Business Model Canvas porque la brecha detectada es «Modelo de negocio no estructurado integralmente» y la herramienta está diseñada para agilizar el modelo de negocio de una organización. Su resultado esperado es: Business Model Canvas integrado con los nueve bloques del modelo de negocio.</x:v>
      </x:c>
      <x:c r="O18" s="136" t="str">
        <x:v>Información mínima sobre cliente/segmento y propuesta de valor; el BMC puede iniciarse como hipótesis y profundizarse con VPC, FODA, Posicionamiento, Servucción o Tres Lupas.</x:v>
      </x:c>
      <x:c r="P18" s="136" t="str">
        <x:v>Los nueve bloques están definidos y existe coherencia básica entre segmento, propuesta de valor, forma de entrega, operación, ingresos y costos.</x:v>
      </x:c>
      <x:c r="Q18" s="136" t="str">
        <x:v>Identificar los bloques más débiles y convertirlos en brechas específicas; priorizar validación de cliente, ingresos, canales, socios o costos según corresponda.</x:v>
      </x:c>
      <x:c r="R18" s="136"/>
      <x:c r="S18" s="273"/>
      <x:c r="T18" s="136" t="str">
        <x:v>v1.0</x:v>
      </x:c>
      <x:c r="U18" s="136" t="str">
        <x:v>Sustentada en fuente CEDIA para propósito, entrada, salida, brecha y evidencia; la lógica de secuenciación es inferencia metodológica — Por validar CEDIA. La ventana TRL/CRL procede de referencia externa y no debe operar como filtro rígido.</x:v>
      </x:c>
      <x:c r="V18" s="136" t="str">
        <x:v>Estructurar o refinar cómo el proyecto crea, entrega y captura valor.</x:v>
      </x:c>
      <x:c r="W18" s="136" t="str">
        <x:v>No tratar el BMC como modelo validado si los bloques siguen siendo hipótesis. No repetir si no existe nueva evidencia o cambio relevante.</x:v>
      </x:c>
      <x:c r="X18" s="136" t="str">
        <x:v>Lienzo de Propuesta de Valor: antecedente condicional (DEP-024); puede sustituirse por evidencia equivalente.</x:v>
      </x:c>
      <x:c r="Y18" s="136" t="str">
        <x:v>CRL-03 Desarrollo Comercial y Escalabilidad de Ventas es la relación principal. TRL contextual.</x:v>
      </x:c>
      <x:c r="Z18" s="136" t="str">
        <x:v>TRL 6–9 / CRL 4–9 — guía orientativa, no normativa.</x:v>
      </x:c>
      <x:c r="AA18" s="136" t="str">
        <x:v>Plan de Comercialización y Escalabilidad.</x:v>
      </x:c>
      <x:c r="AB18" s="136" t="str">
        <x:v>Sustentada en fuente CEDIA + inferencia metodológica — por validar CEDIA</x:v>
      </x:c>
      <x:c r="AC18" s="136" t="str">
        <x:v>MODELO DE NEGOCIO - Busines Model Canvas.pdf; MODELO DE NEGOCIO - Busines Model Canvas.pdf; MODELO DE NEGOCIO - Busines Model Canvas.pdf; dependencias DEP-024, DEP-025, DEP-026, DEP-043, DEP-044, DEP-045; CALCULADORA TRL Y CRLS.xlsx (solo contexto de dimensiones); Herramientas_TRL_CRL.docx (ventana orientativa no normativa)</x:v>
      </x:c>
      <x:c r="AD18" s="136" t="str">
        <x:v>Actualizar cuando cambie segmento, propuesta de valor, canal, ingresos, costos, socios, recursos o actividades; también cuando nueva evidencia invalide una hipótesis del modelo.</x:v>
      </x:c>
      <x:c r="AE18" s="136" t="str">
        <x:v>Prioridad base P2. Escalar a P1 si esta brecha impide directamente el objetivo actual o bloquea una herramienta necesaria. Reducir a P4 si la evidencia existe parcialmente y el uso solo aportaría mejora marginal.</x:v>
      </x:c>
      <x:c r="AF18" s="136" t="str">
        <x:v>SI brecha=B-NEG-001 Y evidencia_valida(EV-020)=NO Y prerrequisitos=OK Y tipo_proyecto=COMPATIBLE ENTONCES recomendar NEG-001; SI evidencia_valida=SI Y sin_disparador_iteracion ENTONCES excluir; SI prerrequisito_critico=NO ENTONCES recomendar primero el antecedente/evidencia faltante.</x:v>
      </x:c>
      <x:c r="AG18" s="136" t="str">
        <x:v>NO AUTOMATIZAR hasta validación CEDIA</x:v>
      </x:c>
      <x:c r="AH18" s="207" t="str">
        <x:v>PRE-014</x:v>
      </x:c>
    </x:row>
    <x:row r="19">
      <x:c r="A19" s="136" t="str">
        <x:v>R-ACT-015</x:v>
      </x:c>
      <x:c r="B19" s="136" t="str">
        <x:v>Borrador sustentado</x:v>
      </x:c>
      <x:c r="C19" s="136" t="str">
        <x:v>P2</x:v>
      </x:c>
      <x:c r="D19" s="136" t="str">
        <x:v>Propuesta de valor</x:v>
      </x:c>
      <x:c r="E19" s="136" t="str">
        <x:v>B-VAL-001</x:v>
      </x:c>
      <x:c r="F19" s="136"/>
      <x:c r="G19" s="136"/>
      <x:c r="H19" s="136"/>
      <x:c r="I19" s="136"/>
      <x:c r="J19" s="136" t="str">
        <x:v>Activar si Mapa de valor y perfil del cliente desconectados o incompletos. y no existe «Lienzo de Propuesta de Valor.» ni evidencia equivalente que cumpla el criterio de calidad: Los seis componentes están documentados y la propuesta muestra una relación clara entre lo que el cliente intenta lograr y cómo la oferta alivia frustraciones o crea beneficios.</x:v>
      </x:c>
      <x:c r="K19" s="136" t="str">
        <x:v>Cualquiera; la herramienta se activa por brecha/evidencia y no por una categoría tecnológica exclusiva.</x:v>
      </x:c>
      <x:c r="L19" s="136" t="str">
        <x:v>NEG-002</x:v>
      </x:c>
      <x:c r="M19" s="136" t="str">
        <x:v>Prioritaria</x:v>
      </x:c>
      <x:c r="N19" s="136" t="str">
        <x:v>Se recomienda Lienzo de Propuesta de Valor porque la brecha detectada es «Propuesta de valor no alineada con el perfil del cliente» y la herramienta está diseñada para validar la propuesta de valor. Su resultado esperado es: Lienzo de Propuesta de Valor con perfil del cliente y mapa de valor relacionados.</x:v>
      </x:c>
      <x:c r="O19" s="136" t="str">
        <x:v>Segmento específico y evidencia sobre jobs, pains y gains; puede provenir de JTBD, Mapa de Empatía, Buyer Persona o investigación equivalente. Debe existir una oferta preliminar.</x:v>
      </x:c>
      <x:c r="P19" s="136" t="str">
        <x:v>Los seis componentes están documentados y la propuesta muestra una relación clara entre lo que el cliente intenta lograr y cómo la oferta alivia frustraciones o crea beneficios.</x:v>
      </x:c>
      <x:c r="Q19" s="136" t="str">
        <x:v>Definir qué hipótesis del encaje necesitan prueba con clientes. Si el modelo debe ampliarse, llevar los aprendizajes al Business Model Canvas.</x:v>
      </x:c>
      <x:c r="R19" s="136"/>
      <x:c r="S19" s="273"/>
      <x:c r="T19" s="136" t="str">
        <x:v>v1.0</x:v>
      </x:c>
      <x:c r="U19" s="136" t="str">
        <x:v>Sustentada en fuente CEDIA para propósito, entrada, salida, brecha y evidencia; la lógica de secuenciación es inferencia metodológica — Por validar CEDIA. La ventana TRL/CRL procede de referencia externa y no debe operar como filtro rígido.</x:v>
      </x:c>
      <x:c r="V19" s="136" t="str">
        <x:v>Comprobar la coherencia entre trabajos/frustraciones/beneficios del cliente y la forma en que la oferta crea valor.</x:v>
      </x:c>
      <x:c r="W19" s="136" t="str">
        <x:v>No afirmar fit producto‑mercado solo por completar el lienzo. Si no existe evidencia de cliente suficiente, recomendar primero comprender al usuario.</x:v>
      </x:c>
      <x:c r="X19" s="136" t="str">
        <x:v>Job To Be Done: antecedente condicional (DEP-020); puede sustituirse por evidencia equivalente. Mapa de Empatía: antecedente condicional (DEP-021); puede sustituirse por evidencia equivalente. Buyer Persona: antecedente condicional (DEP-022); puede sustituirse por evidencia equivalente.</x:v>
      </x:c>
      <x:c r="Y19" s="136" t="str">
        <x:v>CRL-01 y CRL-02 son las dimensiones más relacionadas. TRL contextual según el grado de definición/prototipo.</x:v>
      </x:c>
      <x:c r="Z19" s="136" t="str">
        <x:v>TRL 5–6 / CRL 3–4 — guía orientativa, no normativa.</x:v>
      </x:c>
      <x:c r="AA19" s="136" t="str">
        <x:v>Interacción y Validación de Mercado; Plan de Comercialización y Escalabilidad.</x:v>
      </x:c>
      <x:c r="AB19" s="136" t="str">
        <x:v>Sustentada en fuente CEDIA + inferencia metodológica — por validar CEDIA</x:v>
      </x:c>
      <x:c r="AC19" s="136" t="str">
        <x:v>MODELO DE NEGOCIO - Lienzo de Propuesta de Valor.pdf; MODELO DE NEGOCIO - Lienzo de Propuesta de Valor.pdf; MODELO DE NEGOCIO - Lienzo de Propuesta de Valor.pdf; dependencias DEP-020, DEP-021, DEP-022, DEP-023, DEP-032; CALCULADORA TRL Y CRLS.xlsx (solo contexto de dimensiones); Herramientas_TRL_CRL.docx (ventana orientativa no normativa)</x:v>
      </x:c>
      <x:c r="AD19" s="136" t="str">
        <x:v>Actualizar cuando cambien el segmento, el prototipo/oferta o la evidencia sobre jobs, pains y gains.</x:v>
      </x:c>
      <x:c r="AE19" s="136" t="str">
        <x:v>Prioridad base P2. Escalar a P1 si esta brecha impide directamente el objetivo actual o bloquea una herramienta necesaria. Reducir a P4 si la evidencia existe parcialmente y el uso solo aportaría mejora marginal.</x:v>
      </x:c>
      <x:c r="AF19" s="136" t="str">
        <x:v>SI brecha=B-VAL-001 Y evidencia_valida(EV-021)=NO Y prerrequisitos=OK Y tipo_proyecto=COMPATIBLE ENTONCES recomendar NEG-002; SI evidencia_valida=SI Y sin_disparador_iteracion ENTONCES excluir; SI prerrequisito_critico=NO ENTONCES recomendar primero el antecedente/evidencia faltante.</x:v>
      </x:c>
      <x:c r="AG19" s="136" t="str">
        <x:v>NO AUTOMATIZAR hasta validación CEDIA</x:v>
      </x:c>
      <x:c r="AH19" s="207" t="str">
        <x:v>PRE-015</x:v>
      </x:c>
    </x:row>
    <x:row r="20">
      <x:c r="A20" s="136" t="str">
        <x:v>R-ACT-016</x:v>
      </x:c>
      <x:c r="B20" s="136" t="str">
        <x:v>Borrador sustentado</x:v>
      </x:c>
      <x:c r="C20" s="136" t="str">
        <x:v>P2</x:v>
      </x:c>
      <x:c r="D20" s="136" t="str">
        <x:v>Usuario</x:v>
      </x:c>
      <x:c r="E20" s="136" t="str">
        <x:v>B-USR-001</x:v>
      </x:c>
      <x:c r="F20" s="136"/>
      <x:c r="G20" s="136"/>
      <x:c r="H20" s="136"/>
      <x:c r="I20" s="136"/>
      <x:c r="J20" s="136" t="str">
        <x:v>Activar si Necesidades genéricas sin priorización. y no existe «Lienzo Job To Be Done.» ni evidencia equivalente que cumpla el criterio de calidad: Los trabajos están clasificados y priorizados y existe una formulación clara de usuario-necesidad-job.</x:v>
      </x:c>
      <x:c r="K20" s="136" t="str">
        <x:v>Cualquiera; la herramienta se activa por brecha/evidencia y no por una categoría tecnológica exclusiva.</x:v>
      </x:c>
      <x:c r="L20" s="136" t="str">
        <x:v>PRO-001</x:v>
      </x:c>
      <x:c r="M20" s="136" t="str">
        <x:v>Prioritaria</x:v>
      </x:c>
      <x:c r="N20" s="136" t="str">
        <x:v>Se recomienda Job To Be Done porque la brecha detectada es «Trabajos y necesidades prioritarias del cliente no definidos» y la herramienta está diseñada para definir necesidades prioritarias de clientes. Su resultado esperado es: Jobs priorizados, perfil «Soy/Necesito/Para» y boceto preliminar de solución.</x:v>
      </x:c>
      <x:c r="O20" s="136" t="str">
        <x:v>Información real o investigada sobre usuario, motivaciones, barreras, ganancias y contexto.</x:v>
      </x:c>
      <x:c r="P20" s="136" t="str">
        <x:v>Los trabajos están clasificados y priorizados y existe una formulación clara de usuario-necesidad-job.</x:v>
      </x:c>
      <x:c r="Q20" s="136" t="str">
        <x:v>Traducir jobs a atributos mediante ¿Qué debe hacer mi solución? o incorporarlos al Lienzo de Propuesta de Valor.</x:v>
      </x:c>
      <x:c r="R20" s="136"/>
      <x:c r="S20" s="273"/>
      <x:c r="T20" s="136" t="str">
        <x:v>v1.0</x:v>
      </x:c>
      <x:c r="U20" s="136" t="str">
        <x:v>Sustentada en fuente CEDIA para propósito, entrada, salida, brecha y evidencia; la lógica de secuenciación es inferencia metodológica — Por validar CEDIA. La ventana TRL/CRL procede de referencia externa y no debe operar como filtro rígido.</x:v>
      </x:c>
      <x:c r="V20" s="136" t="str">
        <x:v>Identificar y priorizar los trabajos funcionales, emocionales y sociales del cliente.</x:v>
      </x:c>
      <x:c r="W20" s="136" t="str">
        <x:v>No recomendar si solo se dispone de características del producto y no de evidencia del cliente; evitar repetir si los jobs del mismo segmento siguen vigentes.</x:v>
      </x:c>
      <x:c r="X20" s="136" t="str">
        <x:v>Sin dependencia crítica registrada; aplicar únicamente los prerrequisitos de contenido de la herramienta.</x:v>
      </x:c>
      <x:c r="Y20" s="136" t="str">
        <x:v>CRL-01 Comprensión del Mercado y Necesidades del Cliente es la dimensión principal. TRL contextual.</x:v>
      </x:c>
      <x:c r="Z20" s="136" t="str">
        <x:v>TRL 3–4 / CRL 2 — guía orientativa, no normativa.</x:v>
      </x:c>
      <x:c r="AA20" s="136" t="str">
        <x:v>Interacción y Validación de Mercado.</x:v>
      </x:c>
      <x:c r="AB20" s="136" t="str">
        <x:v>Sustentada en fuente CEDIA + inferencia metodológica — por validar CEDIA</x:v>
      </x:c>
      <x:c r="AC20" s="136" t="str">
        <x:v>PROTOTIPADO - Job To Be Donde.pdf; PROTOTIPADO - Job To Be Donde.pdf; PROTOTIPADO - Job To Be Donde.pdf; CALCULADORA TRL Y CRLS.xlsx (solo contexto de dimensiones); Herramientas_TRL_CRL.docx (ventana orientativa no normativa)</x:v>
      </x:c>
      <x:c r="AD20" s="136" t="str">
        <x:v>Actualizar cuando nueva investigación cambie la prioridad de los jobs o revele trabajos adicionales.</x:v>
      </x:c>
      <x:c r="AE20" s="136" t="str">
        <x:v>Prioridad base P2. Escalar a P1 si esta brecha impide directamente el objetivo actual o bloquea una herramienta necesaria. Reducir a P4 si la evidencia existe parcialmente y el uso solo aportaría mejora marginal.</x:v>
      </x:c>
      <x:c r="AF20" s="136" t="str">
        <x:v>SI brecha=B-USR-001 Y evidencia_valida(EV-014)=NO Y prerrequisitos=OK Y tipo_proyecto=COMPATIBLE ENTONCES recomendar PRO-001; SI evidencia_valida=SI Y sin_disparador_iteracion ENTONCES excluir; SI prerrequisito_critico=NO ENTONCES recomendar primero el antecedente/evidencia faltante.</x:v>
      </x:c>
      <x:c r="AG20" s="136" t="str">
        <x:v>NO AUTOMATIZAR hasta validación CEDIA</x:v>
      </x:c>
      <x:c r="AH20" s="207" t="str">
        <x:v>PRE-016</x:v>
      </x:c>
    </x:row>
    <x:row r="21">
      <x:c r="A21" s="136" t="str">
        <x:v>R-ACT-017</x:v>
      </x:c>
      <x:c r="B21" s="136" t="str">
        <x:v>Borrador sustentado</x:v>
      </x:c>
      <x:c r="C21" s="136" t="str">
        <x:v>P2</x:v>
      </x:c>
      <x:c r="D21" s="136" t="str">
        <x:v>Usuario</x:v>
      </x:c>
      <x:c r="E21" s="136" t="str">
        <x:v>B-USR-002</x:v>
      </x:c>
      <x:c r="F21" s="136"/>
      <x:c r="G21" s="136"/>
      <x:c r="H21" s="136"/>
      <x:c r="I21" s="136"/>
      <x:c r="J21" s="136" t="str">
        <x:v>Activar si Perfil superficial del usuario. y no existe «Mapa de Empatía.» ni evidencia equivalente que cumpla el criterio de calidad: Los seis bloques están documentados y permiten describir motivaciones, barreras, entorno y comportamientos del cliente.</x:v>
      </x:c>
      <x:c r="K21" s="136" t="str">
        <x:v>Cualquiera; la herramienta se activa por brecha/evidencia y no por una categoría tecnológica exclusiva.</x:v>
      </x:c>
      <x:c r="L21" s="136" t="str">
        <x:v>PRO-002</x:v>
      </x:c>
      <x:c r="M21" s="136" t="str">
        <x:v>Prioritaria</x:v>
      </x:c>
      <x:c r="N21" s="136" t="str">
        <x:v>Se recomienda Mapa de Empatía porque la brecha detectada es «Motivaciones y frustraciones del cliente no comprendidas» y la herramienta está diseñada para conocer las motivaciones y frustraciones de los clientes para diseñar nuevos o mejores productos. Su resultado esperado es: Mapa de Empatía del segmento objetivo.</x:v>
      </x:c>
      <x:c r="O21" s="136" t="str">
        <x:v>Idea/propuesta suficientemente definida para saber a qué usuario estudiar y segmento objetivo claramente identificado; usar investigación cualitativa cuando sea posible.</x:v>
      </x:c>
      <x:c r="P21" s="136" t="str">
        <x:v>Los seis bloques están documentados y permiten describir motivaciones, barreras, entorno y comportamientos del cliente.</x:v>
      </x:c>
      <x:c r="Q21" s="136" t="str">
        <x:v>Según la brecha restante, formalizar Buyer Persona, profundizar Jobs to Be Done o alimentar Propuesta de Valor.</x:v>
      </x:c>
      <x:c r="R21" s="136"/>
      <x:c r="S21" s="273"/>
      <x:c r="T21" s="136" t="str">
        <x:v>v1.0</x:v>
      </x:c>
      <x:c r="U21" s="136" t="str">
        <x:v>Sustentada en fuente CEDIA para propósito, entrada, salida, brecha y evidencia; la lógica de secuenciación es inferencia metodológica — Por validar CEDIA. La ventana TRL/CRL procede de referencia externa y no debe operar como filtro rígido.</x:v>
      </x:c>
      <x:c r="V21" s="136" t="str">
        <x:v>Comprender profundamente motivaciones, frustraciones, comportamientos y contexto del usuario.</x:v>
      </x:c>
      <x:c r="W21" s="136" t="str">
        <x:v>No recomendar como sustituto de investigación real ni mezclar varios segmentos en un mismo mapa; evitar repetir si el mapa sigue vigente y sustentado.</x:v>
      </x:c>
      <x:c r="X21" s="136" t="str">
        <x:v>Sin dependencia crítica registrada; aplicar únicamente los prerrequisitos de contenido de la herramienta.</x:v>
      </x:c>
      <x:c r="Y21" s="136" t="str">
        <x:v>CRL-01 es la dimensión principal. Para software puede complementar SOF-02 Pruebas de Usabilidad y SOF-06 UI/UX; para producto puede apoyar TEC-08 Validación con usuarios, sin sustituir pruebas.</x:v>
      </x:c>
      <x:c r="Z21" s="136" t="str">
        <x:v>TRL 3 / CRL 1–2 — guía orientativa, no normativa.</x:v>
      </x:c>
      <x:c r="AA21" s="136" t="str">
        <x:v>Interacción y Validación de Mercado.</x:v>
      </x:c>
      <x:c r="AB21" s="136" t="str">
        <x:v>Sustentada en fuente CEDIA + inferencia metodológica — por validar CEDIA</x:v>
      </x:c>
      <x:c r="AC21" s="136" t="str">
        <x:v>PROTOTIPADO - Mapa de Empatía.pdf; PROTOTIPADO - Mapa de Empatía.pdf; PROTOTIPADO - Mapa de Empatía.pdf; dependencias DEP-008; CALCULADORA TRL Y CRLS.xlsx (solo contexto de dimensiones); Herramientas_TRL_CRL.docx (ventana orientativa no normativa)</x:v>
      </x:c>
      <x:c r="AD21" s="136" t="str">
        <x:v>Actualizar cuando cambie el segmento o nueva investigación revele motivaciones, frustraciones, comportamientos o contexto distintos.</x:v>
      </x:c>
      <x:c r="AE21" s="136" t="str">
        <x:v>Prioridad base P2. Escalar a P1 si esta brecha impide directamente el objetivo actual o bloquea una herramienta necesaria. Reducir a P4 si la evidencia existe parcialmente y el uso solo aportaría mejora marginal.</x:v>
      </x:c>
      <x:c r="AF21" s="136" t="str">
        <x:v>SI brecha=B-USR-002 Y evidencia_valida(EV-015)=NO Y prerrequisitos=OK Y tipo_proyecto=COMPATIBLE ENTONCES recomendar PRO-002; SI evidencia_valida=SI Y sin_disparador_iteracion ENTONCES excluir; SI prerrequisito_critico=NO ENTONCES recomendar primero el antecedente/evidencia faltante.</x:v>
      </x:c>
      <x:c r="AG21" s="136" t="str">
        <x:v>NO AUTOMATIZAR hasta validación CEDIA</x:v>
      </x:c>
      <x:c r="AH21" s="207" t="str">
        <x:v>PRE-017</x:v>
      </x:c>
    </x:row>
    <x:row r="22">
      <x:c r="A22" s="136" t="str">
        <x:v>R-ACT-018</x:v>
      </x:c>
      <x:c r="B22" s="136" t="str">
        <x:v>Borrador sustentado</x:v>
      </x:c>
      <x:c r="C22" s="136" t="str">
        <x:v>P2</x:v>
      </x:c>
      <x:c r="D22" s="136" t="str">
        <x:v>Solución</x:v>
      </x:c>
      <x:c r="E22" s="136" t="str">
        <x:v>B-SOL-001</x:v>
      </x:c>
      <x:c r="F22" s="136"/>
      <x:c r="G22" s="136"/>
      <x:c r="H22" s="136"/>
      <x:c r="I22" s="136"/>
      <x:c r="J22" s="136" t="str">
        <x:v>Activar si Lista de funciones sin conexión con necesidades. y no existe «Lienzo «¿Qué debe hacer mi solución?».» ni evidencia equivalente que cumpla el criterio de calidad: El trabajo a resolver y los atributos de la solución están vinculados con necesidades del cliente y se han considerado alternativas actuales.</x:v>
      </x:c>
      <x:c r="K22" s="136" t="str">
        <x:v>Cualquiera; la herramienta se activa por brecha/evidencia y no por una categoría tecnológica exclusiva.</x:v>
      </x:c>
      <x:c r="L22" s="136" t="str">
        <x:v>PRO-003</x:v>
      </x:c>
      <x:c r="M22" s="136" t="str">
        <x:v>Prioritaria</x:v>
      </x:c>
      <x:c r="N22" s="136" t="str">
        <x:v>Se recomienda ¿Qué debe hacer mi solución? porque la brecha detectada es «Atributos de solución no alineados con necesidades» y la herramienta está diseñada para definir los principales atributos del producto o servicio. Su resultado esperado es: Definición estructurada del trabajo, atributos funcionales/emocionales, necesidades y soluciones actuales.</x:v>
      </x:c>
      <x:c r="O22" s="136" t="str">
        <x:v>Trabajo/necesidad del cliente suficientemente entendido. JTBD es antecedente fuerte; Mapa de Empatía y Buyer Persona pueden complementar.</x:v>
      </x:c>
      <x:c r="P22" s="136" t="str">
        <x:v>El trabajo a resolver y los atributos de la solución están vinculados con necesidades del cliente y se han considerado alternativas actuales.</x:v>
      </x:c>
      <x:c r="Q22" s="136" t="str">
        <x:v>Convertir atributos priorizados en Requisitos de Solución; si corresponde, representar la interacción mediante Storyboard.</x:v>
      </x:c>
      <x:c r="R22" s="136"/>
      <x:c r="S22" s="273"/>
      <x:c r="T22" s="136" t="str">
        <x:v>v1.0</x:v>
      </x:c>
      <x:c r="U22" s="136" t="str">
        <x:v>Sustentada en fuente CEDIA para propósito, entrada, salida, brecha y evidencia; la lógica de secuenciación es inferencia metodológica — Por validar CEDIA. La ventana TRL/CRL procede de referencia externa y no debe operar como filtro rígido.</x:v>
      </x:c>
      <x:c r="V22" s="136" t="str">
        <x:v>Traducir trabajos y necesidades del usuario en atributos funcionales y emocionales de la solución.</x:v>
      </x:c>
      <x:c r="W22" s="136" t="str">
        <x:v>No recomendar si todavía no se conoce qué trabajo debe resolver la solución o si los atributos ya están claros y el problema actual es especificarlos técnicamente.</x:v>
      </x:c>
      <x:c r="X22" s="136" t="str">
        <x:v>Job To Be Done: antecedente condicional (DEP-009); puede sustituirse por evidencia equivalente.</x:v>
      </x:c>
      <x:c r="Y22" s="136" t="str">
        <x:v>Para producto puede relacionarse con TEC-02 Claridad del concepto; para software con SOF-01 Funcionalidad y Desarrollo. CRL-02 es contextual.</x:v>
      </x:c>
      <x:c r="Z22" s="136" t="str">
        <x:v>TRL 4–5 / CRL 2 — guía orientativa, no normativa.</x:v>
      </x:c>
      <x:c r="AA22" s="136" t="str">
        <x:v>Estado del Concepto y Definición de la Idea; Desarrollo del Prototipo.</x:v>
      </x:c>
      <x:c r="AB22" s="136" t="str">
        <x:v>Sustentada en fuente CEDIA + inferencia metodológica — por validar CEDIA</x:v>
      </x:c>
      <x:c r="AC22" s="136" t="str">
        <x:v>PROTOTIPADO - Que debe hacer mi solución.docx.pdf; PROTOTIPADO - Que debe hacer mi solución.docx.pdf; PROTOTIPADO - Que debe hacer mi solución.docx.pdf; dependencias DEP-009, DEP-010, DEP-019; CALCULADORA TRL Y CRLS.xlsx (solo contexto de dimensiones); Herramientas_TRL_CRL.docx (ventana orientativa no normativa)</x:v>
      </x:c>
      <x:c r="AD22" s="136" t="str"/>
      <x:c r="AE22" s="136" t="str">
        <x:v>Prioridad base P2. Escalar a P1 si esta brecha impide directamente el objetivo actual o bloquea una herramienta necesaria. Reducir a P4 si la evidencia existe parcialmente y el uso solo aportaría mejora marginal.</x:v>
      </x:c>
      <x:c r="AF22" s="136" t="str">
        <x:v>SI brecha=B-SOL-001 Y evidencia_valida(EV-016)=NO Y prerrequisitos=OK Y tipo_proyecto=COMPATIBLE ENTONCES recomendar PRO-003; SI evidencia_valida=SI Y sin_disparador_iteracion ENTONCES excluir; SI prerrequisito_critico=NO ENTONCES recomendar primero el antecedente/evidencia faltante.</x:v>
      </x:c>
      <x:c r="AG22" s="136" t="str">
        <x:v>NO AUTOMATIZAR hasta validación CEDIA</x:v>
      </x:c>
      <x:c r="AH22" s="207" t="str">
        <x:v>PRE-018</x:v>
      </x:c>
    </x:row>
    <x:row r="23">
      <x:c r="A23" s="136" t="str">
        <x:v>R-ACT-019</x:v>
      </x:c>
      <x:c r="B23" s="136" t="str">
        <x:v>Borrador sustentado</x:v>
      </x:c>
      <x:c r="C23" s="136" t="str">
        <x:v>P2</x:v>
      </x:c>
      <x:c r="D23" s="136" t="str">
        <x:v>Solución</x:v>
      </x:c>
      <x:c r="E23" s="136" t="str">
        <x:v>B-SOL-002</x:v>
      </x:c>
      <x:c r="F23" s="136"/>
      <x:c r="G23" s="136"/>
      <x:c r="H23" s="136"/>
      <x:c r="I23" s="136"/>
      <x:c r="J23" s="136" t="str">
        <x:v>Activar si Requisitos parciales o ambiguos. y no existe «Matriz/listado de Requisitos de Solución.» ni evidencia equivalente que cumpla el criterio de calidad: Las tres categorías de requisitos han sido definidas con criterios suficientes para orientar diseño y mejora.</x:v>
      </x:c>
      <x:c r="K23" s="136" t="str">
        <x:v>Cualquiera; adaptar requisitos al tipo de desarrollo (Tecnología/Producto, Software, Farmacéutico, Servicio u otro).</x:v>
      </x:c>
      <x:c r="L23" s="136" t="str">
        <x:v>PRO-004</x:v>
      </x:c>
      <x:c r="M23" s="136" t="str">
        <x:v>Prioritaria</x:v>
      </x:c>
      <x:c r="N23" s="136" t="str">
        <x:v>Se recomienda Requisitos de Solución porque la brecha detectada es «Requisitos de solución insuficientemente especificados» y la herramienta está diseñada para definir elementos que mejoren el producto o servicio mediante requisitos de funcionalidad, constructividad y expresividad. Su resultado esperado es: Conjunto estructurado de requisitos funcionales, tecnológicos y expresivos.</x:v>
      </x:c>
      <x:c r="O23" s="136" t="str">
        <x:v>Necesidades y atributos de solución claros; idealmente provenientes de ¿Qué debe hacer mi solución? o evidencia equivalente. Si Tres Lupas identifica una debilidad crítica, resolverla antes de profundizar requisitos.</x:v>
      </x:c>
      <x:c r="P23" s="136" t="str">
        <x:v>Las tres categorías de requisitos han sido definidas con criterios suficientes para orientar diseño y mejora.</x:v>
      </x:c>
      <x:c r="Q23" s="136" t="str">
        <x:v>Usar requisitos para diseñar/construir/probar el prototipo; registrar trazabilidad requisito→necesidad→evidencia y reevaluar tras pruebas.</x:v>
      </x:c>
      <x:c r="R23" s="136"/>
      <x:c r="S23" s="273"/>
      <x:c r="T23" s="136" t="str">
        <x:v>v1.0</x:v>
      </x:c>
      <x:c r="U23" s="136" t="str">
        <x:v>Sustentada en fuente CEDIA para propósito, entrada, salida, brecha y evidencia; la lógica de secuenciación es inferencia metodológica — Por validar CEDIA. La ventana TRL/CRL procede de referencia externa y no debe operar como filtro rígido.</x:v>
      </x:c>
      <x:c r="V23" s="136" t="str">
        <x:v>Especificar requisitos funcionales, tecnológicos/constructivos y expresivos para orientar desarrollo y prueba.</x:v>
      </x:c>
      <x:c r="W23" s="136" t="str">
        <x:v>No recomendar una lista de requisitos basada solo en opinión del equipo ni si todavía no se entiende la necesidad. Si existe un bloqueo crítico de viabilidad, atenderlo primero.</x:v>
      </x:c>
      <x:c r="X23" s="136" t="str">
        <x:v>¿Qué debe hacer mi solución?: antecedente condicional (DEP-011); puede sustituirse por evidencia equivalente. Tres Lupas: bloqueo condicional (DEP-016) si se cumple su condición.</x:v>
      </x:c>
      <x:c r="Y23" s="136" t="str">
        <x:v>Producto: TEC-02/TEC-03/TEC-06 según requisito; Software: SOF-01/SOF-03/SOF-06; Farmacéutico: FAR-01/FAR-03 según alcance. CRL-02/03 solo como contexto.</x:v>
      </x:c>
      <x:c r="Z23" s="136" t="str">
        <x:v>TRL 4–6 / CRL 2–3 — guía orientativa, no normativa.</x:v>
      </x:c>
      <x:c r="AA23" s="136" t="str">
        <x:v>Desarrollo del Prototipo; Validación Técnica y Estudios de Viabilidad.</x:v>
      </x:c>
      <x:c r="AB23" s="136" t="str">
        <x:v>Sustentada en fuente CEDIA + inferencia metodológica — por validar CEDIA</x:v>
      </x:c>
      <x:c r="AC23" s="136" t="str">
        <x:v>PROTOTIPADO - Requisitos de Solución.pdf; PROTOTIPADO - Requisitos de Solución.pdf; PROTOTIPADO - Requisitos de Solución.pdf; dependencias DEP-011, DEP-016; CALCULADORA TRL Y CRLS.xlsx (solo contexto de dimensiones); Herramientas_TRL_CRL.docx (ventana orientativa no normativa)</x:v>
      </x:c>
      <x:c r="AD23" s="136" t="str"/>
      <x:c r="AE23" s="136" t="str">
        <x:v>Prioridad base P2. Escalar a P1 si esta brecha impide directamente el objetivo actual o bloquea una herramienta necesaria. Reducir a P4 si la evidencia existe parcialmente y el uso solo aportaría mejora marginal.</x:v>
      </x:c>
      <x:c r="AF23" s="136" t="str">
        <x:v>SI brecha=B-SOL-002 Y evidencia_valida(EV-017)=NO Y prerrequisitos=OK Y tipo_proyecto=COMPATIBLE ENTONCES recomendar PRO-004; SI evidencia_valida=SI Y sin_disparador_iteracion ENTONCES excluir; SI prerrequisito_critico=NO ENTONCES recomendar primero el antecedente/evidencia faltante.</x:v>
      </x:c>
      <x:c r="AG23" s="136" t="str">
        <x:v>NO AUTOMATIZAR hasta validación CEDIA</x:v>
      </x:c>
      <x:c r="AH23" s="207" t="str">
        <x:v>PRE-019</x:v>
      </x:c>
    </x:row>
    <x:row r="24">
      <x:c r="A24" s="136" t="str">
        <x:v>R-ACT-020</x:v>
      </x:c>
      <x:c r="B24" s="136" t="str">
        <x:v>Borrador sustentado</x:v>
      </x:c>
      <x:c r="C24" s="136" t="str">
        <x:v>P3</x:v>
      </x:c>
      <x:c r="D24" s="136" t="str">
        <x:v>Prototipado</x:v>
      </x:c>
      <x:c r="E24" s="136" t="str">
        <x:v>B-PROTO-001</x:v>
      </x:c>
      <x:c r="F24" s="136"/>
      <x:c r="G24" s="136"/>
      <x:c r="H24" s="136"/>
      <x:c r="I24" s="136"/>
      <x:c r="J24" s="136" t="str">
        <x:v>Activar si Flujo explicado solo en texto o sin perspectiva del usuario. y no existe «Storyboard con viñetas, descripciones y observaciones.» ni evidencia equivalente que cumpla el criterio de calidad: La secuencia representa de forma comprensible la interacción y registra puntos de fricción, insights o mejoras potenciales.</x:v>
      </x:c>
      <x:c r="K24" s="136" t="str">
        <x:v>Cualquiera; la herramienta se activa por brecha/evidencia y no por una categoría tecnológica exclusiva.</x:v>
      </x:c>
      <x:c r="L24" s="136" t="str">
        <x:v>PRO-005</x:v>
      </x:c>
      <x:c r="M24" s="136" t="str">
        <x:v>Complementaria</x:v>
      </x:c>
      <x:c r="N24" s="136" t="str">
        <x:v>Se recomienda Storyboard porque la brecha detectada es «Experiencia de interacción no visualizada» y la herramienta está diseñada para transmitir una idea de manera visual. Su resultado esperado es: Storyboard de ocho frames de la experiencia/interacción del usuario.</x:v>
      </x:c>
      <x:c r="O24" s="136" t="str">
        <x:v>Usuario/escenario y concepto de solución suficientemente definidos. ¿Qué debe hacer mi solución? puede aportar la base; requisitos y Servucción pueden complementar.</x:v>
      </x:c>
      <x:c r="P24" s="136" t="str">
        <x:v>La secuencia representa de forma comprensible la interacción y registra puntos de fricción, insights o mejoras potenciales.</x:v>
      </x:c>
      <x:c r="Q24" s="136" t="str">
        <x:v>Contrastar la secuencia con usuarios/prototipos; si es servicio, utilizar hallazgos en Servucción; si aparecen requisitos nuevos, actualizar Requisitos de Solución.</x:v>
      </x:c>
      <x:c r="R24" s="136"/>
      <x:c r="S24" s="273"/>
      <x:c r="T24" s="136" t="str">
        <x:v>v1.0</x:v>
      </x:c>
      <x:c r="U24" s="136" t="str">
        <x:v>Sustentada en fuente CEDIA para propósito, entrada, salida, brecha y evidencia; la lógica de secuenciación es inferencia metodológica — Por validar CEDIA. La ventana TRL/CRL procede de referencia externa y no debe operar como filtro rígido.</x:v>
      </x:c>
      <x:c r="V24" s="136" t="str">
        <x:v>Visualizar una experiencia o interacción para detectar fricciones y mejoras antes de una implementación más costosa.</x:v>
      </x:c>
      <x:c r="W24" s="136" t="str">
        <x:v>No tratar el storyboard como prueba de que la experiencia funciona. Si no existe escenario/usuario o concepto mínimo, definirlos primero.</x:v>
      </x:c>
      <x:c r="X24" s="136" t="str">
        <x:v>¿Qué debe hacer mi solución?: antecedente condicional (DEP-012); puede sustituirse por evidencia equivalente. Tres Lupas: bloqueo condicional (DEP-017) si se cumple su condición.</x:v>
      </x:c>
      <x:c r="Y24" s="136" t="str">
        <x:v>Producto: TEC-08 Validación con usuarios como contexto; Software: SOF-02 Pruebas de Usabilidad y SOF-06 UI/UX; CRL-02 relacionado con validación inicial.</x:v>
      </x:c>
      <x:c r="Z24" s="136" t="str">
        <x:v>TRL 3–5 / CRL 2–3 — guía orientativa, no normativa.</x:v>
      </x:c>
      <x:c r="AA24" s="136" t="str">
        <x:v>Desarrollo del Prototipo; Interacción y Validación de Mercado.</x:v>
      </x:c>
      <x:c r="AB24" s="136" t="str">
        <x:v>Sustentada en fuente CEDIA + inferencia metodológica — por validar CEDIA</x:v>
      </x:c>
      <x:c r="AC24" s="136" t="str">
        <x:v>PROTOTIPADO - Storyboard.pdf; PROTOTIPADO - Storyboard.pdf; PROTOTIPADO - Storyboard.pdf; dependencias DEP-012, DEP-013, DEP-017; CALCULADORA TRL Y CRLS.xlsx (solo contexto de dimensiones); Herramientas_TRL_CRL.docx (ventana orientativa no normativa)</x:v>
      </x:c>
      <x:c r="AD24" s="136" t="str"/>
      <x:c r="AE24" s="136" t="str">
        <x:v>Prioridad base P3. Escalar a P1 si esta brecha impide directamente el objetivo actual o bloquea una herramienta necesaria. Reducir a P4 si la evidencia existe parcialmente y el uso solo aportaría mejora marginal.</x:v>
      </x:c>
      <x:c r="AF24" s="136" t="str">
        <x:v>SI brecha=B-PROTO-001 Y evidencia_valida(EV-018)=NO Y prerrequisitos=OK Y tipo_proyecto=COMPATIBLE ENTONCES recomendar PRO-005; SI evidencia_valida=SI Y sin_disparador_iteracion ENTONCES excluir; SI prerrequisito_critico=NO ENTONCES recomendar primero el antecedente/evidencia faltante.</x:v>
      </x:c>
      <x:c r="AG24" s="136" t="str">
        <x:v>NO AUTOMATIZAR hasta validación CEDIA</x:v>
      </x:c>
      <x:c r="AH24" s="207" t="str">
        <x:v>PRE-020</x:v>
      </x:c>
    </x:row>
    <x:row r="25">
      <x:c r="A25" s="136" t="str">
        <x:v>R-ACT-021</x:v>
      </x:c>
      <x:c r="B25" s="136" t="str">
        <x:v>Borrador sustentado</x:v>
      </x:c>
      <x:c r="C25" s="136" t="str">
        <x:v>P2</x:v>
      </x:c>
      <x:c r="D25" s="136" t="str">
        <x:v>Viabilidad</x:v>
      </x:c>
      <x:c r="E25" s="136" t="str">
        <x:v>B-VIA-001</x:v>
      </x:c>
      <x:c r="F25" s="136"/>
      <x:c r="G25" s="136"/>
      <x:c r="H25" s="136"/>
      <x:c r="I25" s="136"/>
      <x:c r="J25" s="136" t="str">
        <x:v>Activar si Uno o más componentes sin analizar o con evidencia débil. y no existe «Lienzo Tres Lupas con análisis de las tres perspectivas.» ni evidencia equivalente que cumpla el criterio de calidad: Las tres perspectivas están analizadas y se ha identificado si existe algún componente que deba fortalecerse antes de continuar.</x:v>
      </x:c>
      <x:c r="K25" s="136" t="str">
        <x:v>Cualquiera; la herramienta se activa por brecha/evidencia y no por una categoría tecnológica exclusiva.</x:v>
      </x:c>
      <x:c r="L25" s="136" t="str">
        <x:v>PRO-006</x:v>
      </x:c>
      <x:c r="M25" s="136" t="str">
        <x:v>Prioritaria</x:v>
      </x:c>
      <x:c r="N25" s="136" t="str">
        <x:v>Se recomienda Tres Lupas porque la brecha detectada es «Deseabilidad, factibilidad y viabilidad no evaluadas conjuntamente» y la herramienta está diseñada para validar el potencial de una idea. Su resultado esperado es: Evaluación integrada de deseabilidad, factibilidad técnica y viabilidad económica.</x:v>
      </x:c>
      <x:c r="O25" s="136" t="str">
        <x:v>Idea candidata y evidencia mínima para evaluar las tres dimensiones. Puede provenir de Brainstorming, Lotus Blossom, Trend Canvas u otra fuente.</x:v>
      </x:c>
      <x:c r="P25" s="136" t="str">
        <x:v>Las tres perspectivas están analizadas y se ha identificado si existe algún componente que deba fortalecerse antes de continuar.</x:v>
      </x:c>
      <x:c r="Q25" s="136" t="str">
        <x:v>Si una dimensión es débil, abrir una brecha específica y resolverla antes de continuar el desarrollo. Si las tres son suficientes, permitir avanzar hacia definición/requisitos/prototipado según necesidad.</x:v>
      </x:c>
      <x:c r="R25" s="136"/>
      <x:c r="S25" s="273"/>
      <x:c r="T25" s="136" t="str">
        <x:v>v1.0</x:v>
      </x:c>
      <x:c r="U25" s="136" t="str">
        <x:v>Sustentada en fuente CEDIA para propósito, entrada, salida, brecha y evidencia; la lógica de secuenciación es inferencia metodológica — Por validar CEDIA. La ventana TRL/CRL procede de referencia externa y no debe operar como filtro rígido.</x:v>
      </x:c>
      <x:c r="V25" s="136" t="str">
        <x:v>Evaluar una idea en deseabilidad de mercado, factibilidad técnica y viabilidad económica antes de seguir invirtiendo.</x:v>
      </x:c>
      <x:c r="W25" s="136" t="str">
        <x:v>No recomendar si todavía no existe una idea concreta o si solo puede evaluarse una de las tres dimensiones sin reconocer las otras como pendientes.</x:v>
      </x:c>
      <x:c r="X25" s="136" t="str">
        <x:v>Brainstorming: antecedente condicional (DEP-014); puede sustituirse por evidencia equivalente. Lotus Blossom: antecedente condicional (DEP-015); puede sustituirse por evidencia equivalente. Trend Canvas: antecedente condicional (DEP-031); puede sustituirse por evidencia equivalente.</x:v>
      </x:c>
      <x:c r="Y25" s="136" t="str">
        <x:v>Cruza madurez técnica actual con CRL-01/02 y viabilidad comercial. No asignar un nivel fijo; usarlo como checkpoint contextual.</x:v>
      </x:c>
      <x:c r="Z25" s="136" t="str">
        <x:v>TRL 3–5 / CRL 2–3 — guía orientativa, no normativa.</x:v>
      </x:c>
      <x:c r="AA25" s="136" t="str">
        <x:v>Validación Técnica y Estudios de Viabilidad; Interacción y Validación de Mercado; Plan de Comercialización y Escalabilidad.</x:v>
      </x:c>
      <x:c r="AB25" s="136" t="str">
        <x:v>Sustentada en fuente CEDIA + inferencia metodológica — por validar CEDIA</x:v>
      </x:c>
      <x:c r="AC25" s="136" t="str">
        <x:v>PROTOTIPADO - Tres Lupas.pdf; PROTOTIPADO - Tres Lupas.pdf; PROTOTIPADO - Tres Lupas.pdf; dependencias DEP-014, DEP-015, DEP-031; CALCULADORA TRL Y CRLS.xlsx (solo contexto de dimensiones); Herramientas_TRL_CRL.docx (ventana orientativa no normativa)</x:v>
      </x:c>
      <x:c r="AD25" s="136" t="str"/>
      <x:c r="AE25" s="136" t="str">
        <x:v>Prioridad base P2. Escalar a P1 si esta brecha impide directamente el objetivo actual o bloquea una herramienta necesaria. Reducir a P4 si la evidencia existe parcialmente y el uso solo aportaría mejora marginal.</x:v>
      </x:c>
      <x:c r="AF25" s="136" t="str">
        <x:v>SI brecha=B-VIA-001 Y evidencia_valida(EV-019)=NO Y prerrequisitos=OK Y tipo_proyecto=COMPATIBLE ENTONCES recomendar PRO-006; SI evidencia_valida=SI Y sin_disparador_iteracion ENTONCES excluir; SI prerrequisito_critico=NO ENTONCES recomendar primero el antecedente/evidencia faltante.</x:v>
      </x:c>
      <x:c r="AG25" s="136" t="str">
        <x:v>NO AUTOMATIZAR hasta validación CEDIA</x:v>
      </x:c>
      <x:c r="AH25" s="207" t="str">
        <x:v>PRE-021</x:v>
      </x:c>
    </x:row>
    <x:row r="26">
      <x:c r="A26" s="136" t="str">
        <x:v>R-ACT-022</x:v>
      </x:c>
      <x:c r="B26" s="136" t="str">
        <x:v>Borrador sustentado</x:v>
      </x:c>
      <x:c r="C26" s="136" t="str">
        <x:v>P2</x:v>
      </x:c>
      <x:c r="D26" s="136" t="str">
        <x:v>Servicio / Servucción</x:v>
      </x:c>
      <x:c r="E26" s="136" t="str">
        <x:v>B-SER-001</x:v>
      </x:c>
      <x:c r="F26" s="136"/>
      <x:c r="G26" s="136"/>
      <x:c r="H26" s="136"/>
      <x:c r="I26" s="136"/>
      <x:c r="J26" s="136" t="str">
        <x:v>Activar si Diseño del servicio fragmentado o centrado solo en el servicio base. y no existe «Modelo de Servucción.» ni evidencia equivalente que cumpla el criterio de calidad: Se encuentran definidos el modelo molecular, los momentos de verdad y los componentes que intervienen en la producción y experiencia del servicio.</x:v>
      </x:c>
      <x:c r="K26" s="136" t="str">
        <x:v>Servicio o cualquier proyecto que incluya un componente relevante de servicio.</x:v>
      </x:c>
      <x:c r="L26" s="136" t="str">
        <x:v>SER-001</x:v>
      </x:c>
      <x:c r="M26" s="136" t="str">
        <x:v>Prioritaria</x:v>
      </x:c>
      <x:c r="N26" s="136" t="str">
        <x:v>Se recomienda Servucción porque la brecha detectada es «Producción y experiencia del servicio no estructuradas» y la herramienta está diseñada para analizar y estructurar de manera precisa el proceso de producción de un servicio, comprendiendo los elementos que interactúan para crear una experiencia completa y satisfactoria. Su resultado esperado es: Modelo estructurado de servucción con oferta de servicios, momentos de verdad y componentes de prestación.</x:v>
      </x:c>
      <x:c r="O26" s="136" t="str">
        <x:v>Proyecto de servicio o con componente de servicio; servicio base/escenario suficientemente definido y comprensión mínima del cliente. VPC, Mapa de Empatía y Storyboard pueden aportar insumos.</x:v>
      </x:c>
      <x:c r="P26" s="136" t="str">
        <x:v>Se encuentran definidos el modelo molecular, los momentos de verdad y los componentes que intervienen en la producción y experiencia del servicio.</x:v>
      </x:c>
      <x:c r="Q26" s="136" t="str">
        <x:v>Validar momentos de verdad y sistema de entrega con usuarios/equipo; trasladar cambios relevantes a requisitos, propuesta de valor o modelo de negocio.</x:v>
      </x:c>
      <x:c r="R26" s="136"/>
      <x:c r="S26" s="273"/>
      <x:c r="T26" s="136" t="str">
        <x:v>v1.0</x:v>
      </x:c>
      <x:c r="U26" s="136" t="str">
        <x:v>Sustentada en fuente CEDIA para propósito, entrada, salida, brecha y evidencia; la lógica de secuenciación es inferencia metodológica — Por validar CEDIA. La ventana TRL/CRL procede de referencia externa y no debe operar como filtro rígido.</x:v>
      </x:c>
      <x:c r="V26" s="136" t="str">
        <x:v>Diseñar o mejorar cómo se produce y entrega una experiencia de servicio.</x:v>
      </x:c>
      <x:c r="W26" s="136" t="str">
        <x:v>No recomendar si la iniciativa no incluye un componente de servicio ni si todavía no existe un servicio/escenario suficientemente definido.</x:v>
      </x:c>
      <x:c r="X26" s="136" t="str">
        <x:v>Mapa de Empatía: antecedente condicional (DEP-040); puede sustituirse por evidencia equivalente. Lienzo de Propuesta de Valor: antecedente condicional (DEP-041); puede sustituirse por evidencia equivalente.</x:v>
      </x:c>
      <x:c r="Y26" s="136" t="str">
        <x:v>CRL-02 es la relación principal. En software puede relacionarse con SOF-04 Soporte y Mantenimiento y SOF-06 UI/UX; en producto con TEC-08 Validación con usuarios.</x:v>
      </x:c>
      <x:c r="Z26" s="136" t="str">
        <x:v>TRL 4–6 / CRL 3–4 — guía orientativa, no normativa.</x:v>
      </x:c>
      <x:c r="AA26" s="136" t="str">
        <x:v>Desarrollo del Prototipo; Interacción y Validación de Mercado.</x:v>
      </x:c>
      <x:c r="AB26" s="136" t="str">
        <x:v>Sustentada en fuente CEDIA + inferencia metodológica — por validar CEDIA</x:v>
      </x:c>
      <x:c r="AC26" s="136" t="str">
        <x:v>SERVUCCIÓN - servucción.pdf; SERVUCCIÓN - servucción.pdf; SERVUCCIÓN - servucción.pdf; dependencias DEP-040, DEP-041, DEP-042; CALCULADORA TRL Y CRLS.xlsx (solo contexto de dimensiones); Herramientas_TRL_CRL.docx (ventana orientativa no normativa)</x:v>
      </x:c>
      <x:c r="AD26" s="136" t="str">
        <x:v>Actualizar si cambia el servicio base, el flujo de prestación, momentos de verdad, personal/sistemas o la retroalimentación del cliente.</x:v>
      </x:c>
      <x:c r="AE26" s="136" t="str">
        <x:v>Prioridad base P2. Escalar a P1 si esta brecha impide directamente el objetivo actual o bloquea una herramienta necesaria. Reducir a P4 si la evidencia existe parcialmente y el uso solo aportaría mejora marginal.</x:v>
      </x:c>
      <x:c r="AF26" s="136" t="str">
        <x:v>SI brecha=B-SER-001 Y evidencia_valida(EV-022)=NO Y prerrequisitos=OK Y tipo_proyecto=COMPATIBLE ENTONCES recomendar SER-001; SI evidencia_valida=SI Y sin_disparador_iteracion ENTONCES excluir; SI prerrequisito_critico=NO ENTONCES recomendar primero el antecedente/evidencia faltante.</x:v>
      </x:c>
      <x:c r="AG26" s="136" t="str">
        <x:v>NO AUTOMATIZAR hasta validación CEDIA</x:v>
      </x:c>
      <x:c r="AH26" s="207" t="str">
        <x:v>PRE-022</x:v>
      </x:c>
    </x:row>
    <x:row r="27">
      <x:c r="A27" s="136" t="str">
        <x:v>R-ACT-023</x:v>
      </x:c>
      <x:c r="B27" s="136" t="str">
        <x:v>Borrador sustentado</x:v>
      </x:c>
      <x:c r="C27" s="136" t="str">
        <x:v>P3</x:v>
      </x:c>
      <x:c r="D27" s="136" t="str">
        <x:v>Entorno / Tendencias</x:v>
      </x:c>
      <x:c r="E27" s="136" t="str">
        <x:v>B-TEN-001</x:v>
      </x:c>
      <x:c r="F27" s="136"/>
      <x:c r="G27" s="136"/>
      <x:c r="H27" s="136"/>
      <x:c r="I27" s="136"/>
      <x:c r="J27" s="136" t="str">
        <x:v>Activar si Listado de tendencias sin relación entre ellas o sin implicaciones para la propuesta. y no existe «Mapa de intersección de tendencias y patrones.» ni evidencia equivalente que cumpla el criterio de calidad: Se han seleccionado tres tendencias relevantes, descrito sus características y documentado patrones comunes que puedan traducirse en oportunidades de innovación.</x:v>
      </x:c>
      <x:c r="K27" s="136" t="str">
        <x:v>Cualquiera; la herramienta se activa por brecha/evidencia y no por una categoría tecnológica exclusiva.</x:v>
      </x:c>
      <x:c r="L27" s="136" t="str">
        <x:v>TEN-001</x:v>
      </x:c>
      <x:c r="M27" s="136" t="str">
        <x:v>Complementaria</x:v>
      </x:c>
      <x:c r="N27" s="136" t="str">
        <x:v>Se recomienda Componentes de Tendencias porque la brecha detectada es «Convergencia de tendencias y áreas de innovación no identificadas» y la herramienta está diseñada para definir posibles áreas de innovación en una idea, producto o servicio. Su resultado esperado es: Mapa de tres tendencias con patrones comunes y áreas potenciales de innovación.</x:v>
      </x:c>
      <x:c r="O27" s="136" t="str">
        <x:v>Fuentes verificables sobre tendencias y una propuesta/problema al que puedan relacionarse; seleccionar tres tendencias alineadas.</x:v>
      </x:c>
      <x:c r="P27" s="136" t="str">
        <x:v>Se han seleccionado tres tendencias relevantes, descrito sus características y documentado patrones comunes que puedan traducirse en oportunidades de innovación.</x:v>
      </x:c>
      <x:c r="Q27" s="136" t="str">
        <x:v>Priorizar la tendencia/oportunidad más relevante y profundizarla con Trend Canvas o contrastarla con Mapa de Tendencias.</x:v>
      </x:c>
      <x:c r="R27" s="136"/>
      <x:c r="S27" s="273"/>
      <x:c r="T27" s="136" t="str">
        <x:v>v1.0</x:v>
      </x:c>
      <x:c r="U27" s="136" t="str">
        <x:v>Sustentada en fuente CEDIA para propósito, entrada, salida, brecha y evidencia; la lógica de secuenciación es inferencia metodológica — Por validar CEDIA. La ventana TRL/CRL procede de referencia externa y no debe operar como filtro rígido.</x:v>
      </x:c>
      <x:c r="V27" s="136" t="str">
        <x:v>Explorar áreas de innovación mediante el cruce de tendencias relevantes y sus patrones comunes.</x:v>
      </x:c>
      <x:c r="W27" s="136" t="str">
        <x:v>No recomendar si las tendencias fueron elegidas solo por intuición o si el objetivo actual es validar técnicamente una solución concreta.</x:v>
      </x:c>
      <x:c r="X27" s="136" t="str">
        <x:v>Sin dependencia crítica registrada; aplicar únicamente los prerrequisitos de contenido de la herramienta.</x:v>
      </x:c>
      <x:c r="Y27" s="136" t="str">
        <x:v>CRL-01 contextual; TRL no determina el uso. Sirve para contextualizar relevancia del entorno.</x:v>
      </x:c>
      <x:c r="Z27" s="136" t="str">
        <x:v>TRL 1–3 / CRL 1 — guía orientativa, no normativa.</x:v>
      </x:c>
      <x:c r="AA27" s="136" t="str">
        <x:v>Estado del Concepto y Definición de la Idea; Interacción y Validación de Mercado (contextual).</x:v>
      </x:c>
      <x:c r="AB27" s="136" t="str">
        <x:v>Sustentada en fuente CEDIA + inferencia metodológica — por validar CEDIA</x:v>
      </x:c>
      <x:c r="AC27" s="136" t="str">
        <x:v>TENDENCIAS - Componentes de Tendencias.pdf; TENDENCIAS - Componentes de Tendencias.pdf; TENDENCIAS - Componentes de Tendencias.pdf; dependencias DEP-027; CALCULADORA TRL Y CRLS.xlsx (solo contexto de dimensiones); Herramientas_TRL_CRL.docx (ventana orientativa no normativa)</x:v>
      </x:c>
      <x:c r="AD27" s="136" t="str"/>
      <x:c r="AE27" s="136" t="str">
        <x:v>Prioridad base P3. Escalar a P1 si esta brecha impide directamente el objetivo actual o bloquea una herramienta necesaria. Reducir a P4 si la evidencia existe parcialmente y el uso solo aportaría mejora marginal.</x:v>
      </x:c>
      <x:c r="AF27" s="136" t="str">
        <x:v>SI brecha=B-TEN-001 Y evidencia_valida(EV-023)=NO Y prerrequisitos=OK Y tipo_proyecto=COMPATIBLE ENTONCES recomendar TEN-001; SI evidencia_valida=SI Y sin_disparador_iteracion ENTONCES excluir; SI prerrequisito_critico=NO ENTONCES recomendar primero el antecedente/evidencia faltante.</x:v>
      </x:c>
      <x:c r="AG27" s="136" t="str">
        <x:v>NO AUTOMATIZAR hasta validación CEDIA</x:v>
      </x:c>
      <x:c r="AH27" s="207" t="str">
        <x:v>PRE-023</x:v>
      </x:c>
    </x:row>
    <x:row r="28">
      <x:c r="A28" s="136" t="str">
        <x:v>R-ACT-024</x:v>
      </x:c>
      <x:c r="B28" s="136" t="str">
        <x:v>Borrador sustentado</x:v>
      </x:c>
      <x:c r="C28" s="136" t="str">
        <x:v>P2</x:v>
      </x:c>
      <x:c r="D28" s="136" t="str">
        <x:v>Entorno / Tendencias</x:v>
      </x:c>
      <x:c r="E28" s="136" t="str">
        <x:v>B-ENT-001</x:v>
      </x:c>
      <x:c r="F28" s="136"/>
      <x:c r="G28" s="136"/>
      <x:c r="H28" s="136"/>
      <x:c r="I28" s="136"/>
      <x:c r="J28" s="136" t="str">
        <x:v>Activar si Descripción del problema sin contexto o evidencia de personas afectadas. y no existe «Future Compass.» ni evidencia equivalente que cumpla el criterio de calidad: El problema se encuentra documentado desde múltiples perspectivas y se han registrado causas, efectos, contexto, actores y testimonios suficientes para orientar acciones posteriores.</x:v>
      </x:c>
      <x:c r="K28" s="136" t="str">
        <x:v>Cualquiera; la herramienta se activa por brecha/evidencia y no por una categoría tecnológica exclusiva.</x:v>
      </x:c>
      <x:c r="L28" s="136" t="str">
        <x:v>TEN-002</x:v>
      </x:c>
      <x:c r="M28" s="136" t="str">
        <x:v>Prioritaria</x:v>
      </x:c>
      <x:c r="N28" s="136" t="str">
        <x:v>Se recomienda Future Compass porque la brecha detectada es «Escenarios y contexto del problema insuficientemente comprendidos» y la herramienta está diseñada para identificar todos los escenarios de un problema. Su resultado esperado es: Future Compass con definición/reformulación del problema, causas, efectos, contexto, actores y testimonios.</x:v>
      </x:c>
      <x:c r="O28" s="136" t="str">
        <x:v>Problema o situación observada previamente identificada.</x:v>
      </x:c>
      <x:c r="P28" s="136" t="str">
        <x:v>El problema se encuentra documentado desde múltiples perspectivas y se han registrado causas, efectos, contexto, actores y testimonios suficientes para orientar acciones posteriores.</x:v>
      </x:c>
      <x:c r="Q28" s="136" t="str">
        <x:v>Sintetizar el problema mediante Planteamiento del Problema o convertir incertidumbres en investigación/preguntas.</x:v>
      </x:c>
      <x:c r="R28" s="136"/>
      <x:c r="S28" s="273"/>
      <x:c r="T28" s="136" t="str">
        <x:v>v1.0</x:v>
      </x:c>
      <x:c r="U28" s="136" t="str">
        <x:v>Sustentada en fuente CEDIA para propósito, entrada, salida, brecha y evidencia; la lógica de secuenciación es inferencia metodológica — Por validar CEDIA. La ventana TRL/CRL procede de referencia externa y no debe operar como filtro rígido.</x:v>
      </x:c>
      <x:c r="V28" s="136" t="str">
        <x:v>Profundizar un problema mediante escenarios, causas, efectos, actores, contexto y testimonios.</x:v>
      </x:c>
      <x:c r="W28" s="136" t="str">
        <x:v>No recomendar como predicción de un futuro único ni cuando ni siquiera existe un problema mínimo que explorar.</x:v>
      </x:c>
      <x:c r="X28" s="136" t="str">
        <x:v>Sin dependencia crítica registrada; aplicar únicamente los prerrequisitos de contenido de la herramienta.</x:v>
      </x:c>
      <x:c r="Y28" s="136" t="str">
        <x:v>TRL/CRL contextuales; no asignar nivel por la herramienta. Puede apoyar comprensión de contexto antes de decisiones técnicas o comerciales.</x:v>
      </x:c>
      <x:c r="Z28" s="136" t="str">
        <x:v>TRL 2–3 / CRL 1 — guía orientativa, no normativa.</x:v>
      </x:c>
      <x:c r="AA28" s="136" t="str">
        <x:v>Estado del Concepto y Definición de la Idea.</x:v>
      </x:c>
      <x:c r="AB28" s="136" t="str">
        <x:v>Sustentada en fuente CEDIA + inferencia metodológica — por validar CEDIA</x:v>
      </x:c>
      <x:c r="AC28" s="136" t="str">
        <x:v>TENDENCIAS - Future Compass.pdf; TENDENCIAS - Future Compass.pdf; TENDENCIAS - Future Compass.pdf; CALCULADORA TRL Y CRLS.xlsx (solo contexto de dimensiones); Herramientas_TRL_CRL.docx (ventana orientativa no normativa)</x:v>
      </x:c>
      <x:c r="AD28" s="136" t="str"/>
      <x:c r="AE28" s="136" t="str">
        <x:v>Prioridad base P2. Escalar a P1 si esta brecha impide directamente el objetivo actual o bloquea una herramienta necesaria. Reducir a P4 si la evidencia existe parcialmente y el uso solo aportaría mejora marginal.</x:v>
      </x:c>
      <x:c r="AF28" s="136" t="str">
        <x:v>SI brecha=B-ENT-001 Y evidencia_valida(EV-024)=NO Y prerrequisitos=OK Y tipo_proyecto=COMPATIBLE ENTONCES recomendar TEN-002; SI evidencia_valida=SI Y sin_disparador_iteracion ENTONCES excluir; SI prerrequisito_critico=NO ENTONCES recomendar primero el antecedente/evidencia faltante.</x:v>
      </x:c>
      <x:c r="AG28" s="136" t="str">
        <x:v>NO AUTOMATIZAR hasta validación CEDIA</x:v>
      </x:c>
      <x:c r="AH28" s="207" t="str">
        <x:v>PRE-024</x:v>
      </x:c>
    </x:row>
    <x:row r="29">
      <x:c r="A29" s="136" t="str">
        <x:v>R-ACT-025</x:v>
      </x:c>
      <x:c r="B29" s="136" t="str">
        <x:v>Borrador sustentado</x:v>
      </x:c>
      <x:c r="C29" s="136" t="str">
        <x:v>P3</x:v>
      </x:c>
      <x:c r="D29" s="136" t="str">
        <x:v>Entorno / Tendencias</x:v>
      </x:c>
      <x:c r="E29" s="136" t="str">
        <x:v>B-TEN-002</x:v>
      </x:c>
      <x:c r="F29" s="136"/>
      <x:c r="G29" s="136"/>
      <x:c r="H29" s="136"/>
      <x:c r="I29" s="136"/>
      <x:c r="J29" s="136" t="str">
        <x:v>Activar si Análisis aislado o sin conexión con el sector/proyecto. y no existe «Mapa de Tendencias analizado y documentado.» ni evidencia equivalente que cumpla el criterio de calidad: Se ha definido el sector, seleccionado tendencias relevantes e identificado al menos patrones, convergencias o impactos que puedan orientar decisiones de innovación.</x:v>
      </x:c>
      <x:c r="K29" s="136" t="str">
        <x:v>Cualquiera; la herramienta se activa por brecha/evidencia y no por una categoría tecnológica exclusiva.</x:v>
      </x:c>
      <x:c r="L29" s="136" t="str">
        <x:v>TEN-003</x:v>
      </x:c>
      <x:c r="M29" s="136" t="str">
        <x:v>Complementaria</x:v>
      </x:c>
      <x:c r="N29" s="136" t="str">
        <x:v>Se recomienda Mapa de Tendencias porque la brecha detectada es «Impacto de tendencias y patrones sobre el sector no comprendido» y la herramienta está diseñada para entender cómo las tendencias y patrones se entrelazan e impactan a la organización. Su resultado esperado es: Mapa interpretado de tendencias, patrones y convergencias relevantes para el proyecto u organización.</x:v>
      </x:c>
      <x:c r="O29" s="136" t="str">
        <x:v>Sector/área de interés y fuentes externas suficientes para distinguir tendencias de señales aisladas.</x:v>
      </x:c>
      <x:c r="P29" s="136" t="str">
        <x:v>Se ha definido el sector, seleccionado tendencias relevantes e identificado al menos patrones, convergencias o impactos que puedan orientar decisiones de innovación.</x:v>
      </x:c>
      <x:c r="Q29" s="136" t="str">
        <x:v>Profundizar una tendencia con Trend Canvas o analizar tres tendencias con Componentes de Tendencias; usar hallazgos externos para FODA cuando corresponda.</x:v>
      </x:c>
      <x:c r="R29" s="136"/>
      <x:c r="S29" s="273"/>
      <x:c r="T29" s="136" t="str">
        <x:v>v1.0</x:v>
      </x:c>
      <x:c r="U29" s="136" t="str">
        <x:v>Sustentada en fuente CEDIA para propósito, entrada, salida, brecha y evidencia; la lógica de secuenciación es inferencia metodológica — Por validar CEDIA. La ventana TRL/CRL procede de referencia externa y no debe operar como filtro rígido.</x:v>
      </x:c>
      <x:c r="V29" s="136" t="str">
        <x:v>Identificar y priorizar tendencias, patrones y convergencias relevantes para el sector/proyecto.</x:v>
      </x:c>
      <x:c r="W29" s="136" t="str">
        <x:v>No recomendar con una única fuente o cuando no existe una pregunta estratégica sobre futuro/entorno. Si ya existe un mapa vigente sin señales nuevas, evitar repetirlo.</x:v>
      </x:c>
      <x:c r="X29" s="136" t="str">
        <x:v>Sin dependencia crítica registrada; aplicar únicamente los prerrequisitos de contenido de la herramienta.</x:v>
      </x:c>
      <x:c r="Y29" s="136" t="str">
        <x:v>CRL-01 contextual; TRL no es filtro rígido.</x:v>
      </x:c>
      <x:c r="Z29" s="136" t="str">
        <x:v>TRL 2–3 / CRL 1 — guía orientativa, no normativa.</x:v>
      </x:c>
      <x:c r="AA29" s="136" t="str">
        <x:v>Estado del Concepto y Definición de la Idea; Interacción y Validación de Mercado (contextual).</x:v>
      </x:c>
      <x:c r="AB29" s="136" t="str">
        <x:v>Sustentada en fuente CEDIA + inferencia metodológica — por validar CEDIA</x:v>
      </x:c>
      <x:c r="AC29" s="136" t="str">
        <x:v>TENDENCIAS - Mapa de Tendencias.pdf; TENDENCIAS - Mapa de Tendencias.pdf; TENDENCIAS - Mapa de Tendencias.pdf; CALCULADORA TRL Y CRLS.xlsx (solo contexto de dimensiones); Herramientas_TRL_CRL.docx (ventana orientativa no normativa)</x:v>
      </x:c>
      <x:c r="AD29" s="136" t="str">
        <x:v>Actualizar cuando aparezcan nuevas señales/tendencias relevantes o cambie el horizonte/impacto de las tendencias registradas.</x:v>
      </x:c>
      <x:c r="AE29" s="136" t="str">
        <x:v>Prioridad base P3. Escalar a P1 si esta brecha impide directamente el objetivo actual o bloquea una herramienta necesaria. Reducir a P4 si la evidencia existe parcialmente y el uso solo aportaría mejora marginal.</x:v>
      </x:c>
      <x:c r="AF29" s="136" t="str">
        <x:v>SI brecha=B-TEN-002 Y evidencia_valida(EV-025)=NO Y prerrequisitos=OK Y tipo_proyecto=COMPATIBLE ENTONCES recomendar TEN-003; SI evidencia_valida=SI Y sin_disparador_iteracion ENTONCES excluir; SI prerrequisito_critico=NO ENTONCES recomendar primero el antecedente/evidencia faltante.</x:v>
      </x:c>
      <x:c r="AG29" s="136" t="str">
        <x:v>NO AUTOMATIZAR hasta validación CEDIA</x:v>
      </x:c>
      <x:c r="AH29" s="207" t="str">
        <x:v>PRE-025</x:v>
      </x:c>
    </x:row>
    <x:row r="30">
      <x:c r="A30" s="136" t="str">
        <x:v>R-ACT-026</x:v>
      </x:c>
      <x:c r="B30" s="136" t="str">
        <x:v>Borrador sustentado</x:v>
      </x:c>
      <x:c r="C30" s="136" t="str">
        <x:v>P2</x:v>
      </x:c>
      <x:c r="D30" s="136" t="str">
        <x:v>Entorno / Tendencias</x:v>
      </x:c>
      <x:c r="E30" s="136" t="str">
        <x:v>B-TEN-003</x:v>
      </x:c>
      <x:c r="F30" s="136"/>
      <x:c r="G30" s="136"/>
      <x:c r="H30" s="136"/>
      <x:c r="I30" s="136"/>
      <x:c r="J30" s="136" t="str">
        <x:v>Activar si Análisis descriptivo sin aplicación a la oferta. y no existe «Trend Canvas.» ni evidencia equivalente que cumpla el criterio de calidad: La tendencia ha sido analizada y conectada con necesidades, causas, expectativas, referentes, potencial de innovación, segmento objetivo y una conceptualización inicial.</x:v>
      </x:c>
      <x:c r="K30" s="136" t="str">
        <x:v>Cualquiera; la herramienta se activa por brecha/evidencia y no por una categoría tecnológica exclusiva.</x:v>
      </x:c>
      <x:c r="L30" s="136" t="str">
        <x:v>TEN-004</x:v>
      </x:c>
      <x:c r="M30" s="136" t="str">
        <x:v>Prioritaria</x:v>
      </x:c>
      <x:c r="N30" s="136" t="str">
        <x:v>Se recomienda Trend Canvas porque la brecha detectada es «Tendencia no traducida en una oportunidad de innovación» y la herramienta está diseñada para desarrollar productos innovadores alineados con tendencias. Su resultado esperado es: Trend Canvas con análisis de la tendencia y concepto inicial de innovación aplicable al proyecto.</x:v>
      </x:c>
      <x:c r="O30" s="136" t="str">
        <x:v>Tendencia previamente seleccionada e investigada con fuentes. Mapa de Tendencias o Componentes de Tendencias son antecedentes fuertes pero no obligatorios.</x:v>
      </x:c>
      <x:c r="P30" s="136" t="str">
        <x:v>La tendencia ha sido analizada y conectada con necesidades, causas, expectativas, referentes, potencial de innovación, segmento objetivo y una conceptualización inicial.</x:v>
      </x:c>
      <x:c r="Q30" s="136" t="str">
        <x:v>Evaluar el concepto con Tres Lupas y/o trasladar nuevas necesidades al Lienzo de Propuesta de Valor o Business Model Canvas.</x:v>
      </x:c>
      <x:c r="R30" s="136"/>
      <x:c r="S30" s="273"/>
      <x:c r="T30" s="136" t="str">
        <x:v>v1.0</x:v>
      </x:c>
      <x:c r="U30" s="136" t="str">
        <x:v>Sustentada en fuente CEDIA para propósito, entrada, salida, brecha y evidencia; la lógica de secuenciación es inferencia metodológica — Por validar CEDIA. La ventana TRL/CRL procede de referencia externa y no debe operar como filtro rígido.</x:v>
      </x:c>
      <x:c r="V30" s="136" t="str">
        <x:v>Traducir una tendencia investigada en necesidades, segmentos y conceptos de innovación aplicables.</x:v>
      </x:c>
      <x:c r="W30" s="136" t="str">
        <x:v>No recomendar si todavía no existe una tendencia suficientemente sustentada o si la idea resultante se pretende tratar como validada sin investigación posterior.</x:v>
      </x:c>
      <x:c r="X30" s="136" t="str">
        <x:v>Mapa de Tendencias: antecedente condicional (DEP-028); puede sustituirse por evidencia equivalente. Componentes de Tendencias: antecedente condicional (DEP-029); puede sustituirse por evidencia equivalente.</x:v>
      </x:c>
      <x:c r="Y30" s="136" t="str">
        <x:v>CRL-01 es la dimensión principal y CRL-02 puede aparecer al formular aplicación/segmento. TRL solo contextual.</x:v>
      </x:c>
      <x:c r="Z30" s="136" t="str">
        <x:v>TRL 2–3 / CRL 1–2 — guía orientativa, no normativa.</x:v>
      </x:c>
      <x:c r="AA30" s="136" t="str">
        <x:v>Estado del Concepto y Definición de la Idea; Interacción y Validación de Mercado.</x:v>
      </x:c>
      <x:c r="AB30" s="136" t="str">
        <x:v>Sustentada en fuente CEDIA + inferencia metodológica — por validar CEDIA</x:v>
      </x:c>
      <x:c r="AC30" s="136" t="str">
        <x:v>TENDENCIAS - Trend Canvas.pdf; TENDENCIAS - Trend Canvas.pdf; TENDENCIAS - Trend Canvas.pdf; dependencias DEP-028, DEP-029; CALCULADORA TRL Y CRLS.xlsx (solo contexto de dimensiones); Herramientas_TRL_CRL.docx (ventana orientativa no normativa)</x:v>
      </x:c>
      <x:c r="AD30" s="136" t="str">
        <x:v>Actualizar cuando cambien drivers, expectativas del consumidor, referentes, segmento objetivo o la oportunidad de innovación derivada de la tendencia.</x:v>
      </x:c>
      <x:c r="AE30" s="136" t="str">
        <x:v>Prioridad base P2. Escalar a P1 si esta brecha impide directamente el objetivo actual o bloquea una herramienta necesaria. Reducir a P4 si la evidencia existe parcialmente y el uso solo aportaría mejora marginal.</x:v>
      </x:c>
      <x:c r="AF30" s="136" t="str">
        <x:v>SI brecha=B-TEN-003 Y evidencia_valida(EV-026)=NO Y prerrequisitos=OK Y tipo_proyecto=COMPATIBLE ENTONCES recomendar TEN-004; SI evidencia_valida=SI Y sin_disparador_iteracion ENTONCES excluir; SI prerrequisito_critico=NO ENTONCES recomendar primero el antecedente/evidencia faltante.</x:v>
      </x:c>
      <x:c r="AG30" s="136" t="str">
        <x:v>NO AUTOMATIZAR hasta validación CEDIA</x:v>
      </x:c>
      <x:c r="AH30" s="207" t="str">
        <x:v>PRE-026</x:v>
      </x:c>
    </x:row>
    <x:row r="31">
      <x:c r="A31" s="136" t="str">
        <x:v>R-ITR-001</x:v>
      </x:c>
      <x:c r="B31" s="136" t="str">
        <x:v>Borrador sustentado</x:v>
      </x:c>
      <x:c r="C31" s="136" t="str">
        <x:v>P3</x:v>
      </x:c>
      <x:c r="D31" s="136" t="str">
        <x:v>Mercado</x:v>
      </x:c>
      <x:c r="E31" s="136" t="str">
        <x:v>B-MER-001</x:v>
      </x:c>
      <x:c r="F31" s="136"/>
      <x:c r="G31" s="136"/>
      <x:c r="H31" s="136"/>
      <x:c r="I31" s="136"/>
      <x:c r="J31" s="136" t="str">
        <x:v>Activar actualización si ya existe «Ficha de Buyer Persona.», pero se cumple un disparador de iteración: Actualizar si cambia el segmento objetivo, aparecen entrevistas/datos nuevos o evidencia que contradice objetivos, retos, objeciones o comportamiento del perfil.</x:v>
      </x:c>
      <x:c r="K31" s="136" t="str">
        <x:v>Cualquiera; la herramienta se activa por brecha/evidencia y no por una categoría tecnológica exclusiva.</x:v>
      </x:c>
      <x:c r="L31" s="136" t="str">
        <x:v>MKT-001</x:v>
      </x:c>
      <x:c r="M31" s="136" t="str">
        <x:v>Actualización</x:v>
      </x:c>
      <x:c r="N31" s="136" t="str">
        <x:v>Conviene actualizar Buyer Persona porque existe nueva información que puede volver obsoleta o incompleta la evidencia anterior.</x:v>
      </x:c>
      <x:c r="O31" s="136" t="str">
        <x:v>Debe existir una versión previa de «Ficha de Buyer Persona.» y un cambio material verificable.</x:v>
      </x:c>
      <x:c r="P31" s="136" t="str">
        <x:v>El perfil contiene los elementos definidos por la herramienta y representa un segmento específico con necesidades particulares.</x:v>
      </x:c>
      <x:c r="Q31" s="136" t="str">
        <x:v>Si falta entender jobs, considerar Job To Be Done; si se trabaja valor, Lienzo de Propuesta de Valor; si se trabaja competencia, Mapa de Posicionamiento.</x:v>
      </x:c>
      <x:c r="R31" s="136"/>
      <x:c r="S31" s="273"/>
      <x:c r="T31" s="136" t="str">
        <x:v>v1.0</x:v>
      </x:c>
      <x:c r="U31" s="136" t="str">
        <x:v>Regla iterativa propuesta. No implica repetir la herramienta en cada aumento de TRL/CRL; requiere un cambio material o evidencia nueva.</x:v>
      </x:c>
      <x:c r="V31" s="136" t="str">
        <x:v>Actualizar Buyer Persona cuando nueva evidencia cambie una decisión relevante.</x:v>
      </x:c>
      <x:c r="W31" s="136" t="str">
        <x:v>No recomendar actualización si la evidencia existente sigue vigente, cumple «El perfil contiene los elementos definidos por la herramienta y representa un segmento específico con necesidades particulares.» y no existe cambio material en segmento, solución, mercado, madurez o hipótesis.</x:v>
      </x:c>
      <x:c r="X31" s="136" t="str">
        <x:v>Mapa de Empatía: antecedente condicional (DEP-018); puede sustituirse por evidencia equivalente.</x:v>
      </x:c>
      <x:c r="Y31" s="136" t="str">
        <x:v>CRL-01 Comprensión del Mercado y Necesidades del Cliente es la dimensión más relacionada. TRL solo contextual.</x:v>
      </x:c>
      <x:c r="Z31" s="136" t="str">
        <x:v>TRL 3–4 / CRL 1–2 — guía orientativa, no normativa.</x:v>
      </x:c>
      <x:c r="AA31" s="136" t="str">
        <x:v>Interacción y Validación de Mercado.</x:v>
      </x:c>
      <x:c r="AB31" s="136" t="str">
        <x:v>Inferencia metodológica — por validar CEDIA</x:v>
      </x:c>
      <x:c r="AC31" s="136" t="str">
        <x:v>MARKETING - Buyer Persona.pdf; MARKETING - Buyer Persona.pdf; dependencias DEP-018; Herramientas_TRL_CRL.docx (iteración orientativa)</x:v>
      </x:c>
      <x:c r="AD31" s="136" t="str">
        <x:v>Actualizar si cambia el segmento objetivo, aparecen entrevistas/datos nuevos o evidencia que contradice objetivos, retos, objeciones o comportamiento del perfil.</x:v>
      </x:c>
      <x:c r="AE31" s="136" t="str">
        <x:v>Prioridad base P3. Escalar a P2 si el cambio invalida una hipótesis central o afecta una decisión inmediata; P1 solo si bloquea el objetivo actual.</x:v>
      </x:c>
      <x:c r="AF31" s="136" t="str">
        <x:v>SI evidencia_valida(EV-009)=SI Y disparador_iteracion=SI ENTONCES recomendar ACTUALIZAR MKT-001; SI disparador_iteracion=NO ENTONCES no_repetir.</x:v>
      </x:c>
      <x:c r="AG31" s="136" t="str">
        <x:v>NO AUTOMATIZAR hasta validación CEDIA</x:v>
      </x:c>
      <x:c r="AH31" s="207" t="str">
        <x:v>PRE-009</x:v>
      </x:c>
    </x:row>
    <x:row r="32">
      <x:c r="A32" s="136" t="str">
        <x:v>R-ITR-002</x:v>
      </x:c>
      <x:c r="B32" s="136" t="str">
        <x:v>Borrador sustentado</x:v>
      </x:c>
      <x:c r="C32" s="136" t="str">
        <x:v>P3</x:v>
      </x:c>
      <x:c r="D32" s="136" t="str">
        <x:v>Estrategia</x:v>
      </x:c>
      <x:c r="E32" s="136" t="str">
        <x:v>B-EST-001</x:v>
      </x:c>
      <x:c r="F32" s="136"/>
      <x:c r="G32" s="136"/>
      <x:c r="H32" s="136"/>
      <x:c r="I32" s="136"/>
      <x:c r="J32" s="136" t="str">
        <x:v>Activar actualización si ya existe «Matriz FODA.», pero se cumple un disparador de iteración: Actualizar ante cambios relevantes del entorno, capacidades internas, competidores, regulación o hitos de madurez que alteren fortalezas/debilidades/oportunidades/amenazas.</x:v>
      </x:c>
      <x:c r="K32" s="136" t="str">
        <x:v>Cualquiera; la herramienta se activa por brecha/evidencia y no por una categoría tecnológica exclusiva.</x:v>
      </x:c>
      <x:c r="L32" s="136" t="str">
        <x:v>MKT-003</x:v>
      </x:c>
      <x:c r="M32" s="136" t="str">
        <x:v>Actualización</x:v>
      </x:c>
      <x:c r="N32" s="136" t="str">
        <x:v>Conviene actualizar FODA porque existe nueva información que puede volver obsoleta o incompleta la evidencia anterior.</x:v>
      </x:c>
      <x:c r="O32" s="136" t="str">
        <x:v>Debe existir una versión previa de «Matriz FODA.» y un cambio material verificable.</x:v>
      </x:c>
      <x:c r="P32" s="136" t="str">
        <x:v>Se han identificado y diferenciado factores internos (F/D) y externos (O/A) relevantes para el negocio.</x:v>
      </x:c>
      <x:c r="Q32" s="136" t="str">
        <x:v>Traducir hallazgos en decisiones. Puede complementar Business Model Canvas y apoyar priorización de oportunidades/amenazas.</x:v>
      </x:c>
      <x:c r="R32" s="136"/>
      <x:c r="S32" s="273"/>
      <x:c r="T32" s="136" t="str">
        <x:v>v1.0</x:v>
      </x:c>
      <x:c r="U32" s="136" t="str">
        <x:v>Regla iterativa propuesta. No implica repetir la herramienta en cada aumento de TRL/CRL; requiere un cambio material o evidencia nueva.</x:v>
      </x:c>
      <x:c r="V32" s="136" t="str">
        <x:v>Actualizar FODA cuando nueva evidencia cambie una decisión relevante.</x:v>
      </x:c>
      <x:c r="W32" s="136" t="str">
        <x:v>No recomendar actualización si la evidencia existente sigue vigente, cumple «Se han identificado y diferenciado factores internos (F/D) y externos (O/A) relevantes para el negocio.» y no existe cambio material en segmento, solución, mercado, madurez o hipótesis.</x:v>
      </x:c>
      <x:c r="X32" s="136" t="str">
        <x:v>Sin dependencia crítica registrada; aplicar únicamente los prerrequisitos de contenido de la herramienta.</x:v>
      </x:c>
      <x:c r="Y32" s="136" t="str">
        <x:v>CRL-03 Desarrollo Comercial y Escalabilidad de Ventas es relevante en etapas comerciales; TRL solo contextual.</x:v>
      </x:c>
      <x:c r="Z32" s="136" t="str">
        <x:v>TRL 5–9 / CRL 3–6 — guía orientativa, no normativa.</x:v>
      </x:c>
      <x:c r="AA32" s="136" t="str">
        <x:v>Plan de Comercialización y Escalabilidad; Interacción y Validación de Mercado.</x:v>
      </x:c>
      <x:c r="AB32" s="136" t="str">
        <x:v>Inferencia metodológica — por validar CEDIA</x:v>
      </x:c>
      <x:c r="AC32" s="136" t="str">
        <x:v>MARKETING - FODA.pdf; MARKETING - FODA.pdf; dependencias DEP-033; Herramientas_TRL_CRL.docx (iteración orientativa)</x:v>
      </x:c>
      <x:c r="AD32" s="136" t="str">
        <x:v>Actualizar ante cambios relevantes del entorno, capacidades internas, competidores, regulación o hitos de madurez que alteren fortalezas/debilidades/oportunidades/amenazas.</x:v>
      </x:c>
      <x:c r="AE32" s="136" t="str">
        <x:v>Prioridad base P3. Escalar a P2 si el cambio invalida una hipótesis central o afecta una decisión inmediata; P1 solo si bloquea el objetivo actual.</x:v>
      </x:c>
      <x:c r="AF32" s="136" t="str">
        <x:v>SI evidencia_valida(EV-011)=SI Y disparador_iteracion=SI ENTONCES recomendar ACTUALIZAR MKT-003; SI disparador_iteracion=NO ENTONCES no_repetir.</x:v>
      </x:c>
      <x:c r="AG32" s="136" t="str">
        <x:v>NO AUTOMATIZAR hasta validación CEDIA</x:v>
      </x:c>
      <x:c r="AH32" s="207" t="str">
        <x:v>PRE-011</x:v>
      </x:c>
    </x:row>
    <x:row r="33">
      <x:c r="A33" s="136" t="str">
        <x:v>R-ITR-003</x:v>
      </x:c>
      <x:c r="B33" s="136" t="str">
        <x:v>Borrador sustentado</x:v>
      </x:c>
      <x:c r="C33" s="136" t="str">
        <x:v>P3</x:v>
      </x:c>
      <x:c r="D33" s="136" t="str">
        <x:v>Posicionamiento</x:v>
      </x:c>
      <x:c r="E33" s="136" t="str">
        <x:v>B-POS-001</x:v>
      </x:c>
      <x:c r="F33" s="136"/>
      <x:c r="G33" s="136"/>
      <x:c r="H33" s="136"/>
      <x:c r="I33" s="136"/>
      <x:c r="J33" s="136" t="str">
        <x:v>Activar actualización si ya existe «Mapa de Posicionamiento con ejes y actores ubicados.», pero se cumple un disparador de iteración: Actualizar si cambian competidores, atributos valorados, percepción del cliente o posición de la propia oferta.</x:v>
      </x:c>
      <x:c r="K33" s="136" t="str">
        <x:v>Cualquiera; la herramienta se activa por brecha/evidencia y no por una categoría tecnológica exclusiva.</x:v>
      </x:c>
      <x:c r="L33" s="136" t="str">
        <x:v>MKT-004</x:v>
      </x:c>
      <x:c r="M33" s="136" t="str">
        <x:v>Actualización</x:v>
      </x:c>
      <x:c r="N33" s="136" t="str">
        <x:v>Conviene actualizar Mapa de Posicionamiento porque existe nueva información que puede volver obsoleta o incompleta la evidencia anterior.</x:v>
      </x:c>
      <x:c r="O33" s="136" t="str">
        <x:v>Debe existir una versión previa de «Mapa de Posicionamiento con ejes y actores ubicados.» y un cambio material verificable.</x:v>
      </x:c>
      <x:c r="P33" s="136" t="str">
        <x:v>Los ejes representan atributos relevantes y la posición de competidores y marca propia está justificada con información de mercado/percepción.</x:v>
      </x:c>
      <x:c r="Q33" s="136" t="str">
        <x:v>Revisar diferenciación de la propuesta y, si el objetivo es comunicarla, utilizar el resultado en Pitch Canvas.</x:v>
      </x:c>
      <x:c r="R33" s="136"/>
      <x:c r="S33" s="273"/>
      <x:c r="T33" s="136" t="str">
        <x:v>v1.0</x:v>
      </x:c>
      <x:c r="U33" s="136" t="str">
        <x:v>Regla iterativa propuesta. No implica repetir la herramienta en cada aumento de TRL/CRL; requiere un cambio material o evidencia nueva.</x:v>
      </x:c>
      <x:c r="V33" s="136" t="str">
        <x:v>Actualizar Mapa de Posicionamiento cuando nueva evidencia cambie una decisión relevante.</x:v>
      </x:c>
      <x:c r="W33" s="136" t="str">
        <x:v>No recomendar actualización si la evidencia existente sigue vigente, cumple «Los ejes representan atributos relevantes y la posición de competidores y marca propia está justificada con información de mercado/percepción.» y no existe cambio material en segmento, solución, mercado, madurez o hipótesis.</x:v>
      </x:c>
      <x:c r="X33" s="136" t="str">
        <x:v>Buyer Persona: antecedente condicional (DEP-034); puede sustituirse por evidencia equivalente.</x:v>
      </x:c>
      <x:c r="Y33" s="136" t="str">
        <x:v>CRL-01 y CRL-03 son relevantes; el nivel CRL sirve como contexto, no como filtro rígido. TRL contextual.</x:v>
      </x:c>
      <x:c r="Z33" s="136" t="str">
        <x:v>TRL 6–8 / CRL 4–6 — guía orientativa, no normativa.</x:v>
      </x:c>
      <x:c r="AA33" s="136" t="str">
        <x:v>Interacción y Validación de Mercado; Plan de Comercialización y Escalabilidad.</x:v>
      </x:c>
      <x:c r="AB33" s="136" t="str">
        <x:v>Inferencia metodológica — por validar CEDIA</x:v>
      </x:c>
      <x:c r="AC33" s="136" t="str">
        <x:v>MARKETING - Mapa de Posicionamiento.pdf; MARKETING - Mapa de Posicionamiento.pdf; dependencias DEP-034, DEP-035; Herramientas_TRL_CRL.docx (iteración orientativa)</x:v>
      </x:c>
      <x:c r="AD33" s="136" t="str">
        <x:v>Actualizar si cambian competidores, atributos valorados, percepción del cliente o posición de la propia oferta.</x:v>
      </x:c>
      <x:c r="AE33" s="136" t="str">
        <x:v>Prioridad base P3. Escalar a P2 si el cambio invalida una hipótesis central o afecta una decisión inmediata; P1 solo si bloquea el objetivo actual.</x:v>
      </x:c>
      <x:c r="AF33" s="136" t="str">
        <x:v>SI evidencia_valida(EV-012)=SI Y disparador_iteracion=SI ENTONCES recomendar ACTUALIZAR MKT-004; SI disparador_iteracion=NO ENTONCES no_repetir.</x:v>
      </x:c>
      <x:c r="AG33" s="136" t="str">
        <x:v>NO AUTOMATIZAR hasta validación CEDIA</x:v>
      </x:c>
      <x:c r="AH33" s="207" t="str">
        <x:v>PRE-012</x:v>
      </x:c>
    </x:row>
    <x:row r="34">
      <x:c r="A34" s="136" t="str">
        <x:v>R-ITR-004</x:v>
      </x:c>
      <x:c r="B34" s="136" t="str">
        <x:v>Borrador sustentado</x:v>
      </x:c>
      <x:c r="C34" s="136" t="str">
        <x:v>P3</x:v>
      </x:c>
      <x:c r="D34" s="136" t="str">
        <x:v>Modelo de negocio</x:v>
      </x:c>
      <x:c r="E34" s="136" t="str">
        <x:v>B-NEG-001</x:v>
      </x:c>
      <x:c r="F34" s="136"/>
      <x:c r="G34" s="136"/>
      <x:c r="H34" s="136"/>
      <x:c r="I34" s="136"/>
      <x:c r="J34" s="136" t="str">
        <x:v>Activar actualización si ya existe «Business Model Canvas.», pero se cumple un disparador de iteración: Actualizar cuando cambie segmento, propuesta de valor, canal, ingresos, costos, socios, recursos o actividades; también cuando nueva evidencia invalide una hipótesis del modelo.</x:v>
      </x:c>
      <x:c r="K34" s="136" t="str">
        <x:v>Cualquier tipo de proyecto cuando el objetivo incluya diseñar, revisar o escalar su modelo de negocio.</x:v>
      </x:c>
      <x:c r="L34" s="136" t="str">
        <x:v>NEG-001</x:v>
      </x:c>
      <x:c r="M34" s="136" t="str">
        <x:v>Actualización</x:v>
      </x:c>
      <x:c r="N34" s="136" t="str">
        <x:v>Conviene actualizar Business Model Canvas porque existe nueva información que puede volver obsoleta o incompleta la evidencia anterior.</x:v>
      </x:c>
      <x:c r="O34" s="136" t="str">
        <x:v>Debe existir una versión previa de «Business Model Canvas.» y un cambio material verificable.</x:v>
      </x:c>
      <x:c r="P34" s="136" t="str">
        <x:v>Los nueve bloques están definidos y existe coherencia básica entre segmento, propuesta de valor, forma de entrega, operación, ingresos y costos.</x:v>
      </x:c>
      <x:c r="Q34" s="136" t="str">
        <x:v>Identificar los bloques más débiles y convertirlos en brechas específicas; priorizar validación de cliente, ingresos, canales, socios o costos según corresponda.</x:v>
      </x:c>
      <x:c r="R34" s="136"/>
      <x:c r="S34" s="273"/>
      <x:c r="T34" s="136" t="str">
        <x:v>v1.0</x:v>
      </x:c>
      <x:c r="U34" s="136" t="str">
        <x:v>Regla iterativa propuesta. No implica repetir la herramienta en cada aumento de TRL/CRL; requiere un cambio material o evidencia nueva.</x:v>
      </x:c>
      <x:c r="V34" s="136" t="str">
        <x:v>Actualizar Business Model Canvas cuando nueva evidencia cambie una decisión relevante.</x:v>
      </x:c>
      <x:c r="W34" s="136" t="str">
        <x:v>No recomendar actualización si la evidencia existente sigue vigente, cumple «Los nueve bloques están definidos y existe coherencia básica entre segmento, propuesta de valor, forma de entrega, operación, ingresos y costos.» y no existe cambio material en segmento, solución, mercado, madurez o hipótesis.</x:v>
      </x:c>
      <x:c r="X34" s="136" t="str">
        <x:v>Lienzo de Propuesta de Valor: antecedente condicional (DEP-024); puede sustituirse por evidencia equivalente.</x:v>
      </x:c>
      <x:c r="Y34" s="136" t="str">
        <x:v>CRL-03 Desarrollo Comercial y Escalabilidad de Ventas es la relación principal. TRL contextual.</x:v>
      </x:c>
      <x:c r="Z34" s="136" t="str">
        <x:v>TRL 6–9 / CRL 4–9 — guía orientativa, no normativa.</x:v>
      </x:c>
      <x:c r="AA34" s="136" t="str">
        <x:v>Plan de Comercialización y Escalabilidad.</x:v>
      </x:c>
      <x:c r="AB34" s="136" t="str">
        <x:v>Inferencia metodológica — por validar CEDIA</x:v>
      </x:c>
      <x:c r="AC34" s="136" t="str">
        <x:v>MODELO DE NEGOCIO - Busines Model Canvas.pdf; MODELO DE NEGOCIO - Busines Model Canvas.pdf; dependencias DEP-024, DEP-025, DEP-026, DEP-043, DEP-044, DEP-045; Herramientas_TRL_CRL.docx (iteración orientativa)</x:v>
      </x:c>
      <x:c r="AD34" s="136" t="str">
        <x:v>Actualizar cuando cambie segmento, propuesta de valor, canal, ingresos, costos, socios, recursos o actividades; también cuando nueva evidencia invalide una hipótesis del modelo.</x:v>
      </x:c>
      <x:c r="AE34" s="136" t="str">
        <x:v>Prioridad base P3. Escalar a P2 si el cambio invalida una hipótesis central o afecta una decisión inmediata; P1 solo si bloquea el objetivo actual.</x:v>
      </x:c>
      <x:c r="AF34" s="136" t="str">
        <x:v>SI evidencia_valida(EV-020)=SI Y disparador_iteracion=SI ENTONCES recomendar ACTUALIZAR NEG-001; SI disparador_iteracion=NO ENTONCES no_repetir.</x:v>
      </x:c>
      <x:c r="AG34" s="136" t="str">
        <x:v>NO AUTOMATIZAR hasta validación CEDIA</x:v>
      </x:c>
      <x:c r="AH34" s="207" t="str">
        <x:v>PRE-014</x:v>
      </x:c>
    </x:row>
    <x:row r="35">
      <x:c r="A35" s="136" t="str">
        <x:v>R-ITR-005</x:v>
      </x:c>
      <x:c r="B35" s="136" t="str">
        <x:v>Borrador sustentado</x:v>
      </x:c>
      <x:c r="C35" s="136" t="str">
        <x:v>P3</x:v>
      </x:c>
      <x:c r="D35" s="136" t="str">
        <x:v>Propuesta de valor</x:v>
      </x:c>
      <x:c r="E35" s="136" t="str">
        <x:v>B-VAL-001</x:v>
      </x:c>
      <x:c r="F35" s="136"/>
      <x:c r="G35" s="136"/>
      <x:c r="H35" s="136"/>
      <x:c r="I35" s="136"/>
      <x:c r="J35" s="136" t="str">
        <x:v>Activar actualización si ya existe «Lienzo de Propuesta de Valor.», pero se cumple un disparador de iteración: Actualizar cuando cambien el segmento, el prototipo/oferta o la evidencia sobre jobs, pains y gains.</x:v>
      </x:c>
      <x:c r="K35" s="136" t="str">
        <x:v>Cualquiera; la herramienta se activa por brecha/evidencia y no por una categoría tecnológica exclusiva.</x:v>
      </x:c>
      <x:c r="L35" s="136" t="str">
        <x:v>NEG-002</x:v>
      </x:c>
      <x:c r="M35" s="136" t="str">
        <x:v>Actualización</x:v>
      </x:c>
      <x:c r="N35" s="136" t="str">
        <x:v>Conviene actualizar Lienzo de Propuesta de Valor porque existe nueva información que puede volver obsoleta o incompleta la evidencia anterior.</x:v>
      </x:c>
      <x:c r="O35" s="136" t="str">
        <x:v>Debe existir una versión previa de «Lienzo de Propuesta de Valor.» y un cambio material verificable.</x:v>
      </x:c>
      <x:c r="P35" s="136" t="str">
        <x:v>Los seis componentes están documentados y la propuesta muestra una relación clara entre lo que el cliente intenta lograr y cómo la oferta alivia frustraciones o crea beneficios.</x:v>
      </x:c>
      <x:c r="Q35" s="136" t="str">
        <x:v>Definir qué hipótesis del encaje necesitan prueba con clientes. Si el modelo debe ampliarse, llevar los aprendizajes al Business Model Canvas.</x:v>
      </x:c>
      <x:c r="R35" s="136"/>
      <x:c r="S35" s="273"/>
      <x:c r="T35" s="136" t="str">
        <x:v>v1.0</x:v>
      </x:c>
      <x:c r="U35" s="136" t="str">
        <x:v>Regla iterativa propuesta. No implica repetir la herramienta en cada aumento de TRL/CRL; requiere un cambio material o evidencia nueva.</x:v>
      </x:c>
      <x:c r="V35" s="136" t="str">
        <x:v>Actualizar Lienzo de Propuesta de Valor cuando nueva evidencia cambie una decisión relevante.</x:v>
      </x:c>
      <x:c r="W35" s="136" t="str">
        <x:v>No recomendar actualización si la evidencia existente sigue vigente, cumple «Los seis componentes están documentados y la propuesta muestra una relación clara entre lo que el cliente intenta lograr y cómo la oferta alivia frustraciones o crea beneficios.» y no existe cambio material en segmento, solución, mercado, madurez o hipótesis.</x:v>
      </x:c>
      <x:c r="X35" s="136" t="str">
        <x:v>Job To Be Done: antecedente condicional (DEP-020); puede sustituirse por evidencia equivalente. Mapa de Empatía: antecedente condicional (DEP-021); puede sustituirse por evidencia equivalente. Buyer Persona: antecedente condicional (DEP-022); puede sustituirse por evidencia equivalente.</x:v>
      </x:c>
      <x:c r="Y35" s="136" t="str">
        <x:v>CRL-01 y CRL-02 son las dimensiones más relacionadas. TRL contextual según el grado de definición/prototipo.</x:v>
      </x:c>
      <x:c r="Z35" s="136" t="str">
        <x:v>TRL 5–6 / CRL 3–4 — guía orientativa, no normativa.</x:v>
      </x:c>
      <x:c r="AA35" s="136" t="str">
        <x:v>Interacción y Validación de Mercado; Plan de Comercialización y Escalabilidad.</x:v>
      </x:c>
      <x:c r="AB35" s="136" t="str">
        <x:v>Inferencia metodológica — por validar CEDIA</x:v>
      </x:c>
      <x:c r="AC35" s="136" t="str">
        <x:v>MODELO DE NEGOCIO - Lienzo de Propuesta de Valor.pdf; MODELO DE NEGOCIO - Lienzo de Propuesta de Valor.pdf; dependencias DEP-020, DEP-021, DEP-022, DEP-023, DEP-032; Herramientas_TRL_CRL.docx (iteración orientativa)</x:v>
      </x:c>
      <x:c r="AD35" s="136" t="str">
        <x:v>Actualizar cuando cambien el segmento, el prototipo/oferta o la evidencia sobre jobs, pains y gains.</x:v>
      </x:c>
      <x:c r="AE35" s="136" t="str">
        <x:v>Prioridad base P3. Escalar a P2 si el cambio invalida una hipótesis central o afecta una decisión inmediata; P1 solo si bloquea el objetivo actual.</x:v>
      </x:c>
      <x:c r="AF35" s="136" t="str">
        <x:v>SI evidencia_valida(EV-021)=SI Y disparador_iteracion=SI ENTONCES recomendar ACTUALIZAR NEG-002; SI disparador_iteracion=NO ENTONCES no_repetir.</x:v>
      </x:c>
      <x:c r="AG35" s="136" t="str">
        <x:v>NO AUTOMATIZAR hasta validación CEDIA</x:v>
      </x:c>
      <x:c r="AH35" s="207" t="str">
        <x:v>PRE-015</x:v>
      </x:c>
    </x:row>
    <x:row r="36">
      <x:c r="A36" s="136" t="str">
        <x:v>R-ITR-006</x:v>
      </x:c>
      <x:c r="B36" s="136" t="str">
        <x:v>Borrador sustentado</x:v>
      </x:c>
      <x:c r="C36" s="136" t="str">
        <x:v>P3</x:v>
      </x:c>
      <x:c r="D36" s="136" t="str">
        <x:v>Usuario</x:v>
      </x:c>
      <x:c r="E36" s="136" t="str">
        <x:v>B-USR-001</x:v>
      </x:c>
      <x:c r="F36" s="136"/>
      <x:c r="G36" s="136"/>
      <x:c r="H36" s="136"/>
      <x:c r="I36" s="136"/>
      <x:c r="J36" s="136" t="str">
        <x:v>Activar actualización si ya existe «Lienzo Job To Be Done.», pero se cumple un disparador de iteración: Actualizar cuando nueva investigación cambie la prioridad de los jobs o revele trabajos adicionales.</x:v>
      </x:c>
      <x:c r="K36" s="136" t="str">
        <x:v>Cualquiera; la herramienta se activa por brecha/evidencia y no por una categoría tecnológica exclusiva.</x:v>
      </x:c>
      <x:c r="L36" s="136" t="str">
        <x:v>PRO-001</x:v>
      </x:c>
      <x:c r="M36" s="136" t="str">
        <x:v>Actualización</x:v>
      </x:c>
      <x:c r="N36" s="136" t="str">
        <x:v>Conviene actualizar Job To Be Done porque existe nueva información que puede volver obsoleta o incompleta la evidencia anterior.</x:v>
      </x:c>
      <x:c r="O36" s="136" t="str">
        <x:v>Debe existir una versión previa de «Lienzo Job To Be Done.» y un cambio material verificable.</x:v>
      </x:c>
      <x:c r="P36" s="136" t="str">
        <x:v>Los trabajos están clasificados y priorizados y existe una formulación clara de usuario-necesidad-job.</x:v>
      </x:c>
      <x:c r="Q36" s="136" t="str">
        <x:v>Traducir jobs a atributos mediante ¿Qué debe hacer mi solución? o incorporarlos al Lienzo de Propuesta de Valor.</x:v>
      </x:c>
      <x:c r="R36" s="136"/>
      <x:c r="S36" s="273"/>
      <x:c r="T36" s="136" t="str">
        <x:v>v1.0</x:v>
      </x:c>
      <x:c r="U36" s="136" t="str">
        <x:v>Regla iterativa propuesta. No implica repetir la herramienta en cada aumento de TRL/CRL; requiere un cambio material o evidencia nueva.</x:v>
      </x:c>
      <x:c r="V36" s="136" t="str">
        <x:v>Actualizar Job To Be Done cuando nueva evidencia cambie una decisión relevante.</x:v>
      </x:c>
      <x:c r="W36" s="136" t="str">
        <x:v>No recomendar actualización si la evidencia existente sigue vigente, cumple «Los trabajos están clasificados y priorizados y existe una formulación clara de usuario-necesidad-job.» y no existe cambio material en segmento, solución, mercado, madurez o hipótesis.</x:v>
      </x:c>
      <x:c r="X36" s="136" t="str">
        <x:v>Sin dependencia crítica registrada; aplicar únicamente los prerrequisitos de contenido de la herramienta.</x:v>
      </x:c>
      <x:c r="Y36" s="136" t="str">
        <x:v>CRL-01 Comprensión del Mercado y Necesidades del Cliente es la dimensión principal. TRL contextual.</x:v>
      </x:c>
      <x:c r="Z36" s="136" t="str">
        <x:v>TRL 3–4 / CRL 2 — guía orientativa, no normativa.</x:v>
      </x:c>
      <x:c r="AA36" s="136" t="str">
        <x:v>Interacción y Validación de Mercado.</x:v>
      </x:c>
      <x:c r="AB36" s="136" t="str">
        <x:v>Inferencia metodológica — por validar CEDIA</x:v>
      </x:c>
      <x:c r="AC36" s="136" t="str">
        <x:v>PROTOTIPADO - Job To Be Donde.pdf; PROTOTIPADO - Job To Be Donde.pdf; dependencias sin dependencia crítica; Herramientas_TRL_CRL.docx (iteración orientativa)</x:v>
      </x:c>
      <x:c r="AD36" s="136" t="str">
        <x:v>Actualizar cuando nueva investigación cambie la prioridad de los jobs o revele trabajos adicionales.</x:v>
      </x:c>
      <x:c r="AE36" s="136" t="str">
        <x:v>Prioridad base P3. Escalar a P2 si el cambio invalida una hipótesis central o afecta una decisión inmediata; P1 solo si bloquea el objetivo actual.</x:v>
      </x:c>
      <x:c r="AF36" s="136" t="str">
        <x:v>SI evidencia_valida(EV-014)=SI Y disparador_iteracion=SI ENTONCES recomendar ACTUALIZAR PRO-001; SI disparador_iteracion=NO ENTONCES no_repetir.</x:v>
      </x:c>
      <x:c r="AG36" s="136" t="str">
        <x:v>NO AUTOMATIZAR hasta validación CEDIA</x:v>
      </x:c>
      <x:c r="AH36" s="207" t="str">
        <x:v>PRE-016</x:v>
      </x:c>
    </x:row>
    <x:row r="37">
      <x:c r="A37" s="136" t="str">
        <x:v>R-ITR-007</x:v>
      </x:c>
      <x:c r="B37" s="136" t="str">
        <x:v>Borrador sustentado</x:v>
      </x:c>
      <x:c r="C37" s="136" t="str">
        <x:v>P3</x:v>
      </x:c>
      <x:c r="D37" s="136" t="str">
        <x:v>Usuario</x:v>
      </x:c>
      <x:c r="E37" s="136" t="str">
        <x:v>B-USR-002</x:v>
      </x:c>
      <x:c r="F37" s="136"/>
      <x:c r="G37" s="136"/>
      <x:c r="H37" s="136"/>
      <x:c r="I37" s="136"/>
      <x:c r="J37" s="136" t="str">
        <x:v>Activar actualización si ya existe «Mapa de Empatía.», pero se cumple un disparador de iteración: Actualizar cuando cambie el segmento o nueva investigación revele motivaciones, frustraciones, comportamientos o contexto distintos.</x:v>
      </x:c>
      <x:c r="K37" s="136" t="str">
        <x:v>Cualquiera; la herramienta se activa por brecha/evidencia y no por una categoría tecnológica exclusiva.</x:v>
      </x:c>
      <x:c r="L37" s="136" t="str">
        <x:v>PRO-002</x:v>
      </x:c>
      <x:c r="M37" s="136" t="str">
        <x:v>Actualización</x:v>
      </x:c>
      <x:c r="N37" s="136" t="str">
        <x:v>Conviene actualizar Mapa de Empatía porque existe nueva información que puede volver obsoleta o incompleta la evidencia anterior.</x:v>
      </x:c>
      <x:c r="O37" s="136" t="str">
        <x:v>Debe existir una versión previa de «Mapa de Empatía.» y un cambio material verificable.</x:v>
      </x:c>
      <x:c r="P37" s="136" t="str">
        <x:v>Los seis bloques están documentados y permiten describir motivaciones, barreras, entorno y comportamientos del cliente.</x:v>
      </x:c>
      <x:c r="Q37" s="136" t="str">
        <x:v>Según la brecha restante, formalizar Buyer Persona, profundizar Jobs to Be Done o alimentar Propuesta de Valor.</x:v>
      </x:c>
      <x:c r="R37" s="136"/>
      <x:c r="S37" s="273"/>
      <x:c r="T37" s="136" t="str">
        <x:v>v1.0</x:v>
      </x:c>
      <x:c r="U37" s="136" t="str">
        <x:v>Regla iterativa propuesta. No implica repetir la herramienta en cada aumento de TRL/CRL; requiere un cambio material o evidencia nueva.</x:v>
      </x:c>
      <x:c r="V37" s="136" t="str">
        <x:v>Actualizar Mapa de Empatía cuando nueva evidencia cambie una decisión relevante.</x:v>
      </x:c>
      <x:c r="W37" s="136" t="str">
        <x:v>No recomendar actualización si la evidencia existente sigue vigente, cumple «Los seis bloques están documentados y permiten describir motivaciones, barreras, entorno y comportamientos del cliente.» y no existe cambio material en segmento, solución, mercado, madurez o hipótesis.</x:v>
      </x:c>
      <x:c r="X37" s="136" t="str">
        <x:v>Sin dependencia crítica registrada; aplicar únicamente los prerrequisitos de contenido de la herramienta.</x:v>
      </x:c>
      <x:c r="Y37" s="136" t="str">
        <x:v>CRL-01 es la dimensión principal. Para software puede complementar SOF-02 Pruebas de Usabilidad y SOF-06 UI/UX; para producto puede apoyar TEC-08 Validación con usuarios, sin sustituir pruebas.</x:v>
      </x:c>
      <x:c r="Z37" s="136" t="str">
        <x:v>TRL 3 / CRL 1–2 — guía orientativa, no normativa.</x:v>
      </x:c>
      <x:c r="AA37" s="136" t="str">
        <x:v>Interacción y Validación de Mercado.</x:v>
      </x:c>
      <x:c r="AB37" s="136" t="str">
        <x:v>Inferencia metodológica — por validar CEDIA</x:v>
      </x:c>
      <x:c r="AC37" s="136" t="str">
        <x:v>PROTOTIPADO - Mapa de Empatía.pdf; PROTOTIPADO - Mapa de Empatía.pdf; dependencias DEP-008; Herramientas_TRL_CRL.docx (iteración orientativa)</x:v>
      </x:c>
      <x:c r="AD37" s="136" t="str">
        <x:v>Actualizar cuando cambie el segmento o nueva investigación revele motivaciones, frustraciones, comportamientos o contexto distintos.</x:v>
      </x:c>
      <x:c r="AE37" s="136" t="str">
        <x:v>Prioridad base P3. Escalar a P2 si el cambio invalida una hipótesis central o afecta una decisión inmediata; P1 solo si bloquea el objetivo actual.</x:v>
      </x:c>
      <x:c r="AF37" s="136" t="str">
        <x:v>SI evidencia_valida(EV-015)=SI Y disparador_iteracion=SI ENTONCES recomendar ACTUALIZAR PRO-002; SI disparador_iteracion=NO ENTONCES no_repetir.</x:v>
      </x:c>
      <x:c r="AG37" s="136" t="str">
        <x:v>NO AUTOMATIZAR hasta validación CEDIA</x:v>
      </x:c>
      <x:c r="AH37" s="207" t="str">
        <x:v>PRE-017</x:v>
      </x:c>
    </x:row>
    <x:row r="38">
      <x:c r="A38" s="136" t="str">
        <x:v>R-ITR-008</x:v>
      </x:c>
      <x:c r="B38" s="136" t="str">
        <x:v>Borrador sustentado</x:v>
      </x:c>
      <x:c r="C38" s="136" t="str">
        <x:v>P3</x:v>
      </x:c>
      <x:c r="D38" s="136" t="str">
        <x:v>Servicio / Servucción</x:v>
      </x:c>
      <x:c r="E38" s="136" t="str">
        <x:v>B-SER-001</x:v>
      </x:c>
      <x:c r="F38" s="136"/>
      <x:c r="G38" s="136"/>
      <x:c r="H38" s="136"/>
      <x:c r="I38" s="136"/>
      <x:c r="J38" s="136" t="str">
        <x:v>Activar actualización si ya existe «Modelo de Servucción.», pero se cumple un disparador de iteración: Actualizar si cambia el servicio base, el flujo de prestación, momentos de verdad, personal/sistemas o la retroalimentación del cliente.</x:v>
      </x:c>
      <x:c r="K38" s="136" t="str">
        <x:v>Servicio o cualquier proyecto que incluya un componente relevante de servicio.</x:v>
      </x:c>
      <x:c r="L38" s="136" t="str">
        <x:v>SER-001</x:v>
      </x:c>
      <x:c r="M38" s="136" t="str">
        <x:v>Actualización</x:v>
      </x:c>
      <x:c r="N38" s="136" t="str">
        <x:v>Conviene actualizar Servucción porque existe nueva información que puede volver obsoleta o incompleta la evidencia anterior.</x:v>
      </x:c>
      <x:c r="O38" s="136" t="str">
        <x:v>Debe existir una versión previa de «Modelo de Servucción.» y un cambio material verificable.</x:v>
      </x:c>
      <x:c r="P38" s="136" t="str">
        <x:v>Se encuentran definidos el modelo molecular, los momentos de verdad y los componentes que intervienen en la producción y experiencia del servicio.</x:v>
      </x:c>
      <x:c r="Q38" s="136" t="str">
        <x:v>Validar momentos de verdad y sistema de entrega con usuarios/equipo; trasladar cambios relevantes a requisitos, propuesta de valor o modelo de negocio.</x:v>
      </x:c>
      <x:c r="R38" s="136"/>
      <x:c r="S38" s="273"/>
      <x:c r="T38" s="136" t="str">
        <x:v>v1.0</x:v>
      </x:c>
      <x:c r="U38" s="136" t="str">
        <x:v>Regla iterativa propuesta. No implica repetir la herramienta en cada aumento de TRL/CRL; requiere un cambio material o evidencia nueva.</x:v>
      </x:c>
      <x:c r="V38" s="136" t="str">
        <x:v>Actualizar Servucción cuando nueva evidencia cambie una decisión relevante.</x:v>
      </x:c>
      <x:c r="W38" s="136" t="str">
        <x:v>No recomendar actualización si la evidencia existente sigue vigente, cumple «Se encuentran definidos el modelo molecular, los momentos de verdad y los componentes que intervienen en la producción y experiencia del servicio.» y no existe cambio material en segmento, solución, mercado, madurez o hipótesis.</x:v>
      </x:c>
      <x:c r="X38" s="136" t="str">
        <x:v>Mapa de Empatía: antecedente condicional (DEP-040); puede sustituirse por evidencia equivalente. Lienzo de Propuesta de Valor: antecedente condicional (DEP-041); puede sustituirse por evidencia equivalente.</x:v>
      </x:c>
      <x:c r="Y38" s="136" t="str">
        <x:v>CRL-02 es la relación principal. En software puede relacionarse con SOF-04 Soporte y Mantenimiento y SOF-06 UI/UX; en producto con TEC-08 Validación con usuarios.</x:v>
      </x:c>
      <x:c r="Z38" s="136" t="str">
        <x:v>TRL 4–6 / CRL 3–4 — guía orientativa, no normativa.</x:v>
      </x:c>
      <x:c r="AA38" s="136" t="str">
        <x:v>Desarrollo del Prototipo; Interacción y Validación de Mercado.</x:v>
      </x:c>
      <x:c r="AB38" s="136" t="str">
        <x:v>Inferencia metodológica — por validar CEDIA</x:v>
      </x:c>
      <x:c r="AC38" s="136" t="str">
        <x:v>SERVUCCIÓN - servucción.pdf; SERVUCCIÓN - servucción.pdf; dependencias DEP-040, DEP-041, DEP-042; Herramientas_TRL_CRL.docx (iteración orientativa)</x:v>
      </x:c>
      <x:c r="AD38" s="136" t="str">
        <x:v>Actualizar si cambia el servicio base, el flujo de prestación, momentos de verdad, personal/sistemas o la retroalimentación del cliente.</x:v>
      </x:c>
      <x:c r="AE38" s="136" t="str">
        <x:v>Prioridad base P3. Escalar a P2 si el cambio invalida una hipótesis central o afecta una decisión inmediata; P1 solo si bloquea el objetivo actual.</x:v>
      </x:c>
      <x:c r="AF38" s="136" t="str">
        <x:v>SI evidencia_valida(EV-022)=SI Y disparador_iteracion=SI ENTONCES recomendar ACTUALIZAR SER-001; SI disparador_iteracion=NO ENTONCES no_repetir.</x:v>
      </x:c>
      <x:c r="AG38" s="136" t="str">
        <x:v>NO AUTOMATIZAR hasta validación CEDIA</x:v>
      </x:c>
      <x:c r="AH38" s="207" t="str">
        <x:v>PRE-022</x:v>
      </x:c>
    </x:row>
    <x:row r="39">
      <x:c r="A39" s="136" t="str">
        <x:v>R-ITR-009</x:v>
      </x:c>
      <x:c r="B39" s="136" t="str">
        <x:v>Borrador sustentado</x:v>
      </x:c>
      <x:c r="C39" s="136" t="str">
        <x:v>P3</x:v>
      </x:c>
      <x:c r="D39" s="136" t="str">
        <x:v>Entorno / Tendencias</x:v>
      </x:c>
      <x:c r="E39" s="136" t="str">
        <x:v>B-TEN-002</x:v>
      </x:c>
      <x:c r="F39" s="136"/>
      <x:c r="G39" s="136"/>
      <x:c r="H39" s="136"/>
      <x:c r="I39" s="136"/>
      <x:c r="J39" s="136" t="str">
        <x:v>Activar actualización si ya existe «Mapa de Tendencias analizado y documentado.», pero se cumple un disparador de iteración: Actualizar cuando aparezcan nuevas señales/tendencias relevantes o cambie el horizonte/impacto de las tendencias registradas.</x:v>
      </x:c>
      <x:c r="K39" s="136" t="str">
        <x:v>Cualquiera; la herramienta se activa por brecha/evidencia y no por una categoría tecnológica exclusiva.</x:v>
      </x:c>
      <x:c r="L39" s="136" t="str">
        <x:v>TEN-003</x:v>
      </x:c>
      <x:c r="M39" s="136" t="str">
        <x:v>Actualización</x:v>
      </x:c>
      <x:c r="N39" s="136" t="str">
        <x:v>Conviene actualizar Mapa de Tendencias porque existe nueva información que puede volver obsoleta o incompleta la evidencia anterior.</x:v>
      </x:c>
      <x:c r="O39" s="136" t="str">
        <x:v>Debe existir una versión previa de «Mapa de Tendencias analizado y documentado.» y un cambio material verificable.</x:v>
      </x:c>
      <x:c r="P39" s="136" t="str">
        <x:v>Se ha definido el sector, seleccionado tendencias relevantes e identificado al menos patrones, convergencias o impactos que puedan orientar decisiones de innovación.</x:v>
      </x:c>
      <x:c r="Q39" s="136" t="str">
        <x:v>Profundizar una tendencia con Trend Canvas o analizar tres tendencias con Componentes de Tendencias; usar hallazgos externos para FODA cuando corresponda.</x:v>
      </x:c>
      <x:c r="R39" s="136"/>
      <x:c r="S39" s="273"/>
      <x:c r="T39" s="136" t="str">
        <x:v>v1.0</x:v>
      </x:c>
      <x:c r="U39" s="136" t="str">
        <x:v>Regla iterativa propuesta. No implica repetir la herramienta en cada aumento de TRL/CRL; requiere un cambio material o evidencia nueva.</x:v>
      </x:c>
      <x:c r="V39" s="136" t="str">
        <x:v>Actualizar Mapa de Tendencias cuando nueva evidencia cambie una decisión relevante.</x:v>
      </x:c>
      <x:c r="W39" s="136" t="str">
        <x:v>No recomendar actualización si la evidencia existente sigue vigente, cumple «Se ha definido el sector, seleccionado tendencias relevantes e identificado al menos patrones, convergencias o impactos que puedan orientar decisiones de innovación.» y no existe cambio material en segmento, solución, mercado, madurez o hipótesis.</x:v>
      </x:c>
      <x:c r="X39" s="136" t="str">
        <x:v>Sin dependencia crítica registrada; aplicar únicamente los prerrequisitos de contenido de la herramienta.</x:v>
      </x:c>
      <x:c r="Y39" s="136" t="str">
        <x:v>CRL-01 contextual; TRL no es filtro rígido.</x:v>
      </x:c>
      <x:c r="Z39" s="136" t="str">
        <x:v>TRL 2–3 / CRL 1 — guía orientativa, no normativa.</x:v>
      </x:c>
      <x:c r="AA39" s="136" t="str">
        <x:v>Estado del Concepto y Definición de la Idea; Interacción y Validación de Mercado (contextual).</x:v>
      </x:c>
      <x:c r="AB39" s="136" t="str">
        <x:v>Inferencia metodológica — por validar CEDIA</x:v>
      </x:c>
      <x:c r="AC39" s="136" t="str">
        <x:v>TENDENCIAS - Mapa de Tendencias.pdf; TENDENCIAS - Mapa de Tendencias.pdf; dependencias sin dependencia crítica; Herramientas_TRL_CRL.docx (iteración orientativa)</x:v>
      </x:c>
      <x:c r="AD39" s="136" t="str">
        <x:v>Actualizar cuando aparezcan nuevas señales/tendencias relevantes o cambie el horizonte/impacto de las tendencias registradas.</x:v>
      </x:c>
      <x:c r="AE39" s="136" t="str">
        <x:v>Prioridad base P3. Escalar a P2 si el cambio invalida una hipótesis central o afecta una decisión inmediata; P1 solo si bloquea el objetivo actual.</x:v>
      </x:c>
      <x:c r="AF39" s="136" t="str">
        <x:v>SI evidencia_valida(EV-025)=SI Y disparador_iteracion=SI ENTONCES recomendar ACTUALIZAR TEN-003; SI disparador_iteracion=NO ENTONCES no_repetir.</x:v>
      </x:c>
      <x:c r="AG39" s="136" t="str">
        <x:v>NO AUTOMATIZAR hasta validación CEDIA</x:v>
      </x:c>
      <x:c r="AH39" s="207" t="str">
        <x:v>PRE-025</x:v>
      </x:c>
    </x:row>
    <x:row r="40">
      <x:c r="A40" s="270" t="str">
        <x:v>R-ITR-010</x:v>
      </x:c>
      <x:c r="B40" s="270" t="str">
        <x:v>Borrador sustentado</x:v>
      </x:c>
      <x:c r="C40" s="270" t="str">
        <x:v>P3</x:v>
      </x:c>
      <x:c r="D40" s="270" t="str">
        <x:v>Entorno / Tendencias</x:v>
      </x:c>
      <x:c r="E40" s="270" t="str">
        <x:v>B-TEN-003</x:v>
      </x:c>
      <x:c r="F40" s="270"/>
      <x:c r="G40" s="270"/>
      <x:c r="H40" s="270"/>
      <x:c r="I40" s="270"/>
      <x:c r="J40" s="270" t="str">
        <x:v>Activar actualización si ya existe «Trend Canvas.», pero se cumple un disparador de iteración: Actualizar cuando cambien drivers, expectativas del consumidor, referentes, segmento objetivo o la oportunidad de innovación derivada de la tendencia.</x:v>
      </x:c>
      <x:c r="K40" s="270" t="str">
        <x:v>Cualquiera; la herramienta se activa por brecha/evidencia y no por una categoría tecnológica exclusiva.</x:v>
      </x:c>
      <x:c r="L40" s="270" t="str">
        <x:v>TEN-004</x:v>
      </x:c>
      <x:c r="M40" s="270" t="str">
        <x:v>Actualización</x:v>
      </x:c>
      <x:c r="N40" s="270" t="str">
        <x:v>Conviene actualizar Trend Canvas porque existe nueva información que puede volver obsoleta o incompleta la evidencia anterior.</x:v>
      </x:c>
      <x:c r="O40" s="270" t="str">
        <x:v>Debe existir una versión previa de «Trend Canvas.» y un cambio material verificable.</x:v>
      </x:c>
      <x:c r="P40" s="270" t="str">
        <x:v>La tendencia ha sido analizada y conectada con necesidades, causas, expectativas, referentes, potencial de innovación, segmento objetivo y una conceptualización inicial.</x:v>
      </x:c>
      <x:c r="Q40" s="270" t="str">
        <x:v>Evaluar el concepto con Tres Lupas y/o trasladar nuevas necesidades al Lienzo de Propuesta de Valor o Business Model Canvas.</x:v>
      </x:c>
      <x:c r="R40" s="270"/>
      <x:c r="S40" s="274"/>
      <x:c r="T40" s="270" t="str">
        <x:v>v1.0</x:v>
      </x:c>
      <x:c r="U40" s="270" t="str">
        <x:v>Regla iterativa propuesta. No implica repetir la herramienta en cada aumento de TRL/CRL; requiere un cambio material o evidencia nueva.</x:v>
      </x:c>
      <x:c r="V40" s="270" t="str">
        <x:v>Actualizar Trend Canvas cuando nueva evidencia cambie una decisión relevante.</x:v>
      </x:c>
      <x:c r="W40" s="270" t="str">
        <x:v>No recomendar actualización si la evidencia existente sigue vigente, cumple «La tendencia ha sido analizada y conectada con necesidades, causas, expectativas, referentes, potencial de innovación, segmento objetivo y una conceptualización inicial.» y no existe cambio material en segmento, solución, mercado, madurez o hipótesis.</x:v>
      </x:c>
      <x:c r="X40" s="270" t="str">
        <x:v>Mapa de Tendencias: antecedente condicional (DEP-028); puede sustituirse por evidencia equivalente. Componentes de Tendencias: antecedente condicional (DEP-029); puede sustituirse por evidencia equivalente.</x:v>
      </x:c>
      <x:c r="Y40" s="270" t="str">
        <x:v>CRL-01 es la dimensión principal y CRL-02 puede aparecer al formular aplicación/segmento. TRL solo contextual.</x:v>
      </x:c>
      <x:c r="Z40" s="270" t="str">
        <x:v>TRL 2–3 / CRL 1–2 — guía orientativa, no normativa.</x:v>
      </x:c>
      <x:c r="AA40" s="270" t="str">
        <x:v>Estado del Concepto y Definición de la Idea; Interacción y Validación de Mercado.</x:v>
      </x:c>
      <x:c r="AB40" s="270" t="str">
        <x:v>Inferencia metodológica — por validar CEDIA</x:v>
      </x:c>
      <x:c r="AC40" s="270" t="str">
        <x:v>TENDENCIAS - Trend Canvas.pdf; TENDENCIAS - Trend Canvas.pdf; dependencias DEP-028, DEP-029; Herramientas_TRL_CRL.docx (iteración orientativa)</x:v>
      </x:c>
      <x:c r="AD40" s="270" t="str">
        <x:v>Actualizar cuando cambien drivers, expectativas del consumidor, referentes, segmento objetivo o la oportunidad de innovación derivada de la tendencia.</x:v>
      </x:c>
      <x:c r="AE40" s="270" t="str">
        <x:v>Prioridad base P3. Escalar a P2 si el cambio invalida una hipótesis central o afecta una decisión inmediata; P1 solo si bloquea el objetivo actual.</x:v>
      </x:c>
      <x:c r="AF40" s="270" t="str">
        <x:v>SI evidencia_valida(EV-026)=SI Y disparador_iteracion=SI ENTONCES recomendar ACTUALIZAR TEN-004; SI disparador_iteracion=NO ENTONCES no_repetir.</x:v>
      </x:c>
      <x:c r="AG40" s="270" t="str">
        <x:v>NO AUTOMATIZAR hasta validación CEDIA</x:v>
      </x:c>
      <x:c r="AH40" s="207" t="str">
        <x:v>PRE-026</x:v>
      </x:c>
    </x:row>
    <x:row r="41">
      <x:c r="A41" s="408" t="str">
        <x:v>R-ACT-027</x:v>
      </x:c>
      <x:c r="B41" s="408" t="str">
        <x:v>Propuesta sustentada externamente — validar CEDIA</x:v>
      </x:c>
      <x:c r="C41" s="408" t="str">
        <x:v>P2</x:v>
      </x:c>
      <x:c r="D41" s="408" t="str">
        <x:v>Validación / Evidencia</x:v>
      </x:c>
      <x:c r="E41" s="408" t="str">
        <x:v>B-HIP-001</x:v>
      </x:c>
      <x:c r="F41" s="408"/>
      <x:c r="G41" s="408"/>
      <x:c r="H41" s="408"/>
      <x:c r="I41" s="408"/>
      <x:c r="J41" s="408" t="str">
        <x:v>Activar si Hipótesis críticas implícitas o sin priorización. y no existe «Mapa de hipótesis críticas priorizadas» ni evidencia equivalente que cumpla el criterio de calidad: Cada hipótesis es testable, el criterio de prioridad es explícito y se distingue evidencia existente de opinión.</x:v>
      </x:c>
      <x:c r="K41" s="408" t="str">
        <x:v>Cualquiera; activar por brecha/evidencia y objetivo, no por un TRL fijo.</x:v>
      </x:c>
      <x:c r="L41" s="408" t="str">
        <x:v>VAL-001</x:v>
      </x:c>
      <x:c r="M41" s="408" t="str">
        <x:v>Prioritaria</x:v>
      </x:c>
      <x:c r="N41" s="408" t="str">
        <x:v>Se recomienda Mapa de Supuestos e Hipótesis Críticas porque la brecha detectada es «Supuestos críticos no priorizados». La herramienta busca identificar qué debe ser cierto para que una idea funcione y decidir qué incertidumbres probar primero. Su resultado esperado es: Mapa priorizado de hipótesis críticas listo para orientar experimentos y búsqueda de evidencia.</x:v>
      </x:c>
      <x:c r="O41" s="408" t="str">
        <x:v>Idea, propuesta, modelo o decisión suficientemente definida para extraer supuestos.</x:v>
      </x:c>
      <x:c r="P41" s="408" t="str">
        <x:v>Las hipótesis críticas están formuladas de forma testable y existe una prioridad explícita basada en riesgo/importancia y evidencia disponible.</x:v>
      </x:c>
      <x:c r="Q41" s="408" t="str">
        <x:v>Tomar la hipótesis prioritaria y diseñar una Tarjeta de Experimento; si ya existe evidencia fuerte, reevaluar prioridad o cerrar la hipótesis.</x:v>
      </x:c>
      <x:c r="R41" s="408"/>
      <x:c r="S41" s="418"/>
      <x:c r="T41" s="408" t="str">
        <x:v>v1.1-propuesta</x:v>
      </x:c>
      <x:c r="U41" s="408" t="str">
        <x:v>Nueva herramienta propuesta a partir de benchmark internacional. No forma parte del inventario CEDIA original; automatizar solo después de validación institucional y prueba de casos.</x:v>
      </x:c>
      <x:c r="V41" s="416" t="str">
        <x:v>Priorizar incertidumbres antes de invertir en experimentos o desarrollo.</x:v>
      </x:c>
      <x:c r="W41" s="416" t="str">
        <x:v>No usar como sustituto de investigación o experimentación. Tampoco es necesario cuando la decisión está sustentada por evidencia suficiente y vigente y no existe una incertidumbre material pendiente.</x:v>
      </x:c>
      <x:c r="X41" s="416" t="str">
        <x:v>Puede nutrirse de BMC, VPC, Tres Lupas u otra evidencia equivalente; no exige antecedente fijo.</x:v>
      </x:c>
      <x:c r="Y41" s="416" t="str">
        <x:v>TRL/CRL solo contextualizan; la herramienta gestiona incertidumbre y evidencia.</x:v>
      </x:c>
      <x:c r="Z41" s="416" t="str">
        <x:v>Sin rango fijo; pertinencia determinada por brecha, evidencia y objetivo.</x:v>
      </x:c>
      <x:c r="AA41" s="416" t="str">
        <x:v>PROTOTIPACIÓN / validación de hipótesis</x:v>
      </x:c>
      <x:c r="AB41" s="416" t="str">
        <x:v>Fuente internacional directa + adaptación metodológica propuesta</x:v>
      </x:c>
      <x:c r="AC41" s="416" t="str">
        <x:v>Strategyzer — Assumptions Mapping; 22_BENCHMARK_TRL_MUNDIAL cuando aplique; adaptación Ruta CEDIA</x:v>
      </x:c>
      <x:c r="AD41" s="416" t="str">
        <x:v>Actualizar cuando nueva evidencia cambie el riesgo, la hipótesis, el contexto o la decisión relacionada.</x:v>
      </x:c>
      <x:c r="AE41" s="416" t="str">
        <x:v>Prioridad base P2. Escalar a P1 si la brecha bloquea una decisión inmediata, transferencia, prueba crítica o avance de madurez; reducir si existe evidencia parcial suficiente.</x:v>
      </x:c>
      <x:c r="AF41" s="416" t="str">
        <x:v>SI brecha=B-HIP-001 Y evidencia_valida(EV-027)=NO Y prerrequisitos=OK Y tipo_proyecto=COMPATIBLE ENTONCES recomendar VAL-001; SI evidencia_valida=SI Y sin_disparador_iteracion ENTONCES excluir; SI prerrequisito_critico=NO ENTONCES pedir primero la evidencia faltante.</x:v>
      </x:c>
      <x:c r="AG41" s="416" t="str">
        <x:v>NO AUTOMATIZAR hasta validación CEDIA</x:v>
      </x:c>
      <x:c r="AH41" s="416" t="str">
        <x:v>PRE-027</x:v>
      </x:c>
    </x:row>
    <x:row r="42">
      <x:c r="A42" s="408" t="str">
        <x:v>R-ACT-028</x:v>
      </x:c>
      <x:c r="B42" s="408" t="str">
        <x:v>Propuesta sustentada externamente — validar CEDIA</x:v>
      </x:c>
      <x:c r="C42" s="408" t="str">
        <x:v>P1</x:v>
      </x:c>
      <x:c r="D42" s="408" t="str">
        <x:v>Validación / Experimentación</x:v>
      </x:c>
      <x:c r="E42" s="408" t="str">
        <x:v>B-VAL-002</x:v>
      </x:c>
      <x:c r="F42" s="408"/>
      <x:c r="G42" s="408"/>
      <x:c r="H42" s="408"/>
      <x:c r="I42" s="408"/>
      <x:c r="J42" s="408" t="str">
        <x:v>Activar si Hipótesis sin método, métrica o umbral de prueba. y no existe «Tarjeta de Experimento» ni evidencia equivalente que cumpla el criterio de calidad: La prueba es ejecutable, la métrica es observable y el umbral se fija antes del resultado.</x:v>
      </x:c>
      <x:c r="K42" s="408" t="str">
        <x:v>Cualquiera; activar por brecha/evidencia y objetivo, no por un TRL fijo.</x:v>
      </x:c>
      <x:c r="L42" s="408" t="str">
        <x:v>VAL-002</x:v>
      </x:c>
      <x:c r="M42" s="408" t="str">
        <x:v>Prioritaria</x:v>
      </x:c>
      <x:c r="N42" s="408" t="str">
        <x:v>Se recomienda Tarjeta de Experimento (Test Card) porque la brecha detectada es «Hipótesis crítica sin experimento definido». La herramienta busca convertir una incertidumbre crítica en un experimento medible que pueda producir evidencia. Su resultado esperado es: Diseño de experimento listo para ejecución con hipótesis, método, métrica y umbral.</x:v>
      </x:c>
      <x:c r="O42" s="408" t="str">
        <x:v>Una hipótesis prioritaria, testable y suficientemente precisa.</x:v>
      </x:c>
      <x:c r="P42" s="408" t="str">
        <x:v>La prueba tiene una hipótesis precisa, método ejecutable, métrica observable y umbral definido antes de obtener resultados.</x:v>
      </x:c>
      <x:c r="Q42" s="408" t="str">
        <x:v>Ejecutar la prueba y, cuando existan resultados, completar una Tarjeta de Aprendizaje antes de decidir.</x:v>
      </x:c>
      <x:c r="R42" s="408"/>
      <x:c r="S42" s="418"/>
      <x:c r="T42" s="408" t="str">
        <x:v>v1.1-propuesta</x:v>
      </x:c>
      <x:c r="U42" s="408" t="str">
        <x:v>Nueva herramienta propuesta a partir de benchmark internacional. No forma parte del inventario CEDIA original; automatizar solo después de validación institucional y prueba de casos.</x:v>
      </x:c>
      <x:c r="V42" s="416" t="str">
        <x:v>Diseñar una prueba medible de una hipótesis crítica.</x:v>
      </x:c>
      <x:c r="W42" s="416" t="str">
        <x:v>No usar si aún no existe una hipótesis clara y testable. La tarjeta diseña la prueba; no reemplaza la ejecución del experimento ni la interpretación posterior.</x:v>
      </x:c>
      <x:c r="X42" s="416" t="str">
        <x:v>Requiere una hipótesis prioritaria; VAL-001 es antecedente fuerte pero sustituible por evidencia equivalente.</x:v>
      </x:c>
      <x:c r="Y42" s="416" t="str">
        <x:v>La prueba puede aportar evidencia TRL o CRL según la hipótesis; no fija el nivel.</x:v>
      </x:c>
      <x:c r="Z42" s="416" t="str">
        <x:v>Sin rango fijo; pertinencia determinada por brecha, evidencia y objetivo.</x:v>
      </x:c>
      <x:c r="AA42" s="416" t="str">
        <x:v>PROTOTIPACIÓN / pruebas y evidencia</x:v>
      </x:c>
      <x:c r="AB42" s="416" t="str">
        <x:v>Fuente internacional directa + adaptación metodológica propuesta</x:v>
      </x:c>
      <x:c r="AC42" s="416" t="str">
        <x:v>Strategyzer — Test Card; 22_BENCHMARK_TRL_MUNDIAL cuando aplique; adaptación Ruta CEDIA</x:v>
      </x:c>
      <x:c r="AD42" s="416"/>
      <x:c r="AE42" s="416" t="str">
        <x:v>Prioridad base P1. Escalar a P1 si la brecha bloquea una decisión inmediata, transferencia, prueba crítica o avance de madurez; reducir si existe evidencia parcial suficiente.</x:v>
      </x:c>
      <x:c r="AF42" s="416" t="str">
        <x:v>SI brecha=B-VAL-002 Y evidencia_valida(EV-028)=NO Y prerrequisitos=OK Y tipo_proyecto=COMPATIBLE ENTONCES recomendar VAL-002; SI evidencia_valida=SI Y sin_disparador_iteracion ENTONCES excluir; SI prerrequisito_critico=NO ENTONCES pedir primero la evidencia faltante.</x:v>
      </x:c>
      <x:c r="AG42" s="416" t="str">
        <x:v>NO AUTOMATIZAR hasta validación CEDIA</x:v>
      </x:c>
      <x:c r="AH42" s="416" t="str">
        <x:v>PRE-028</x:v>
      </x:c>
    </x:row>
    <x:row r="43">
      <x:c r="A43" s="408" t="str">
        <x:v>R-ACT-029</x:v>
      </x:c>
      <x:c r="B43" s="408" t="str">
        <x:v>Propuesta sustentada externamente — validar CEDIA</x:v>
      </x:c>
      <x:c r="C43" s="408" t="str">
        <x:v>P1</x:v>
      </x:c>
      <x:c r="D43" s="408" t="str">
        <x:v>Aprendizaje / Evidencia</x:v>
      </x:c>
      <x:c r="E43" s="408" t="str">
        <x:v>B-VAL-003</x:v>
      </x:c>
      <x:c r="F43" s="408"/>
      <x:c r="G43" s="408"/>
      <x:c r="H43" s="408"/>
      <x:c r="I43" s="408"/>
      <x:c r="J43" s="408" t="str">
        <x:v>Activar si Resultados dispersos o conclusión no vinculada a datos. y no existe «Tarjeta de Aprendizaje» ni evidencia equivalente que cumpla el criterio de calidad: Se separan datos/observaciones de interpretación y la decisión está vinculada a la evidencia.</x:v>
      </x:c>
      <x:c r="K43" s="408" t="str">
        <x:v>Cualquiera; activar por brecha/evidencia y objetivo, no por un TRL fijo.</x:v>
      </x:c>
      <x:c r="L43" s="408" t="str">
        <x:v>VAL-003</x:v>
      </x:c>
      <x:c r="M43" s="408" t="str">
        <x:v>Prioritaria</x:v>
      </x:c>
      <x:c r="N43" s="408" t="str">
        <x:v>Se recomienda Tarjeta de Aprendizaje (Learning Card) porque la brecha detectada es «Experimentos sin aprendizaje ni decisión trazable». La herramienta busca cerrar el ciclo de experimentación registrando qué se aprendió y qué decisión cambia como consecuencia de la evidencia. Su resultado esperado es: Aprendizaje documentado y decisión posterior vinculada a la evidencia obtenida.</x:v>
      </x:c>
      <x:c r="O43" s="408" t="str">
        <x:v>Experimento ejecutado y datos/observaciones disponibles, idealmente con umbral definido previamente.</x:v>
      </x:c>
      <x:c r="P43" s="408" t="str">
        <x:v>La evidencia observada está separada de la interpretación y existe una decisión/acción explícita trazable a los resultados.</x:v>
      </x:c>
      <x:c r="Q43" s="408" t="str">
        <x:v>Actualizar la hipótesis, herramienta o evidencia afectada; decidir perseverar, ajustar/pivotar, detener o diseñar una nueva prueba.</x:v>
      </x:c>
      <x:c r="R43" s="408"/>
      <x:c r="S43" s="418"/>
      <x:c r="T43" s="408" t="str">
        <x:v>v1.1-propuesta</x:v>
      </x:c>
      <x:c r="U43" s="408" t="str">
        <x:v>Nueva herramienta propuesta a partir de benchmark internacional. No forma parte del inventario CEDIA original; automatizar solo después de validación institucional y prueba de casos.</x:v>
      </x:c>
      <x:c r="V43" s="416" t="str">
        <x:v>Convertir evidencia de una prueba en aprendizaje y decisión.</x:v>
      </x:c>
      <x:c r="W43" s="416" t="str">
        <x:v>No usar antes de ejecutar una prueba ni para reemplazar datos ausentes. Si la evidencia es insuficiente, debe registrarse esa limitación y diseñarse una nueva prueba.</x:v>
      </x:c>
      <x:c r="X43" s="416" t="str">
        <x:v>Requiere experimento ejecutado; VAL-002 es antecedente fuerte pero puede sustituirse por un diseño de prueba equivalente.</x:v>
      </x:c>
      <x:c r="Y43" s="416" t="str">
        <x:v>El aprendizaje puede justificar reevaluación TRL/CRL cuando la evidencia sea pertinente y suficiente.</x:v>
      </x:c>
      <x:c r="Z43" s="416" t="str">
        <x:v>Sin rango fijo; pertinencia determinada por brecha, evidencia y objetivo.</x:v>
      </x:c>
      <x:c r="AA43" s="416" t="str">
        <x:v>PROTOTIPACIÓN / aprendizaje y decisión</x:v>
      </x:c>
      <x:c r="AB43" s="416" t="str">
        <x:v>Fuente internacional directa + adaptación metodológica propuesta</x:v>
      </x:c>
      <x:c r="AC43" s="416" t="str">
        <x:v>Strategyzer — Learning Card; 22_BENCHMARK_TRL_MUNDIAL cuando aplique; adaptación Ruta CEDIA</x:v>
      </x:c>
      <x:c r="AD43" s="416" t="str">
        <x:v>Actualizar cuando nueva evidencia cambie el riesgo, la hipótesis, el contexto o la decisión relacionada.</x:v>
      </x:c>
      <x:c r="AE43" s="416" t="str">
        <x:v>Prioridad base P1. Escalar a P1 si la brecha bloquea una decisión inmediata, transferencia, prueba crítica o avance de madurez; reducir si existe evidencia parcial suficiente.</x:v>
      </x:c>
      <x:c r="AF43" s="416" t="str">
        <x:v>SI brecha=B-VAL-003 Y evidencia_valida(EV-029)=NO Y prerrequisitos=OK Y tipo_proyecto=COMPATIBLE ENTONCES recomendar VAL-003; SI evidencia_valida=SI Y sin_disparador_iteracion ENTONCES excluir; SI prerrequisito_critico=NO ENTONCES pedir primero la evidencia faltante.</x:v>
      </x:c>
      <x:c r="AG43" s="416" t="str">
        <x:v>NO AUTOMATIZAR hasta validación CEDIA</x:v>
      </x:c>
      <x:c r="AH43" s="416" t="str">
        <x:v>PRE-029</x:v>
      </x:c>
    </x:row>
    <x:row r="44">
      <x:c r="A44" s="408" t="str">
        <x:v>R-ACT-030</x:v>
      </x:c>
      <x:c r="B44" s="408" t="str">
        <x:v>Propuesta sustentada externamente — validar CEDIA</x:v>
      </x:c>
      <x:c r="C44" s="408" t="str">
        <x:v>P1</x:v>
      </x:c>
      <x:c r="D44" s="408" t="str">
        <x:v>Maduración tecnológica</x:v>
      </x:c>
      <x:c r="E44" s="408" t="str">
        <x:v>B-MAD-001</x:v>
      </x:c>
      <x:c r="F44" s="408"/>
      <x:c r="G44" s="408"/>
      <x:c r="H44" s="408"/>
      <x:c r="I44" s="408"/>
      <x:c r="J44" s="408" t="str">
        <x:v>Activar si TRL actual conocido, pero actividades/criterios de avance no definidos. y no existe «Plan de Maduración Tecnológica» ni evidencia equivalente que cumpla el criterio de calidad: Cada brecha crítica tiene actividad, evidencia, hito y criterio de salida; el avance de TRL se verifica posteriormente.</x:v>
      </x:c>
      <x:c r="K44" s="408" t="str">
        <x:v>Aplicar a Tecnología / Producto, Software o Farmacéutico cuando exista TRL actual sustentado y un nivel objetivo/decisión que requiera mayor madurez.</x:v>
      </x:c>
      <x:c r="L44" s="408" t="str">
        <x:v>MAD-001</x:v>
      </x:c>
      <x:c r="M44" s="408" t="str">
        <x:v>Prioritaria</x:v>
      </x:c>
      <x:c r="N44" s="408" t="str">
        <x:v>Se recomienda Plan de Maduración Tecnológica porque la brecha detectada es «Brecha TRL sin plan de maduración». La herramienta busca traducir una brecha trl en un plan verificable de desarrollo y reducción de riesgo técnico. Su resultado esperado es: Roadmap de maduración con actividades, hitos, métricas, riesgos, evidencia y criterio para avanzar.</x:v>
      </x:c>
      <x:c r="O44" s="408" t="str">
        <x:v>TRL actual sustentado, TRL objetivo y brechas/elementos tecnológicos críticos identificables.</x:v>
      </x:c>
      <x:c r="P44" s="408" t="str">
        <x:v>Cada brecha prioritaria tiene una actividad de maduración, evidencia esperada, responsable/hito y criterio que permitirá reevaluar la madurez.</x:v>
      </x:c>
      <x:c r="Q44" s="408" t="str">
        <x:v>Ejecutar actividades de maduración, registrar evidencia y reevaluar el TRL; actualizar el plan si persisten brechas.</x:v>
      </x:c>
      <x:c r="R44" s="408"/>
      <x:c r="S44" s="418"/>
      <x:c r="T44" s="408" t="str">
        <x:v>v1.1-propuesta</x:v>
      </x:c>
      <x:c r="U44" s="408" t="str">
        <x:v>Nueva herramienta propuesta a partir de benchmark internacional. No forma parte del inventario CEDIA original; automatizar solo después de validación institucional y prueba de casos.</x:v>
      </x:c>
      <x:c r="V44" s="416" t="str">
        <x:v>Crear una ruta verificable desde TRL actual a TRL objetivo.</x:v>
      </x:c>
      <x:c r="W44" s="416" t="str">
        <x:v>No usar como sustituto de una evaluación TRL ni cuando todavía no existe una tecnología suficientemente definida para identificar brechas técnicas y resultados de maduración.</x:v>
      </x:c>
      <x:c r="X44" s="416" t="str">
        <x:v>Requiere TRL actual sustentado y brechas técnicas; Requisitos de Solución/Tres Lupas pueden aportar contexto, no son obligatorios.</x:v>
      </x:c>
      <x:c r="Y44" s="416" t="str">
        <x:v>TRL es central: parte de TRL actual/objetivo y evidencia de brecha.</x:v>
      </x:c>
      <x:c r="Z44" s="416" t="str">
        <x:v>Sin rango fijo; pertinencia determinada por brecha, evidencia y objetivo.</x:v>
      </x:c>
      <x:c r="AA44" s="416" t="str">
        <x:v>PROTOTIPACIÓN / maduración tecnológica</x:v>
      </x:c>
      <x:c r="AB44" s="416" t="str">
        <x:v>Fuente internacional directa + adaptación metodológica propuesta</x:v>
      </x:c>
      <x:c r="AC44" s="416" t="str">
        <x:v>U.S. DOE — Technology Maturation Plan; 22_BENCHMARK_TRL_MUNDIAL cuando aplique; adaptación Ruta CEDIA</x:v>
      </x:c>
      <x:c r="AD44" s="416" t="str">
        <x:v>Actualizar cuando nueva evidencia cambie el riesgo, la hipótesis, el contexto o la decisión relacionada.</x:v>
      </x:c>
      <x:c r="AE44" s="416" t="str">
        <x:v>Prioridad base P1. Escalar a P1 si la brecha bloquea una decisión inmediata, transferencia, prueba crítica o avance de madurez; reducir si existe evidencia parcial suficiente.</x:v>
      </x:c>
      <x:c r="AF44" s="416" t="str">
        <x:v>SI brecha=B-MAD-001 Y evidencia_valida(EV-030)=NO Y prerrequisitos=OK Y tipo_proyecto=COMPATIBLE ENTONCES recomendar MAD-001; SI evidencia_valida=SI Y sin_disparador_iteracion ENTONCES excluir; SI prerrequisito_critico=NO ENTONCES pedir primero la evidencia faltante.</x:v>
      </x:c>
      <x:c r="AG44" s="416" t="str">
        <x:v>NO AUTOMATIZAR hasta validación CEDIA</x:v>
      </x:c>
      <x:c r="AH44" s="416" t="str">
        <x:v>PRE-030</x:v>
      </x:c>
    </x:row>
    <x:row r="45">
      <x:c r="A45" s="408" t="str">
        <x:v>R-ACT-031</x:v>
      </x:c>
      <x:c r="B45" s="408" t="str">
        <x:v>Propuesta sustentada externamente — validar CEDIA</x:v>
      </x:c>
      <x:c r="C45" s="408" t="str">
        <x:v>P1</x:v>
      </x:c>
      <x:c r="D45" s="408" t="str">
        <x:v>Propiedad Intelectual</x:v>
      </x:c>
      <x:c r="E45" s="408" t="str">
        <x:v>B-PI-001</x:v>
      </x:c>
      <x:c r="F45" s="408"/>
      <x:c r="G45" s="408"/>
      <x:c r="H45" s="408"/>
      <x:c r="I45" s="408"/>
      <x:c r="J45" s="408" t="str">
        <x:v>Activar si Sin cribado FTO o con riesgos de PI no documentados. y no existe «Matriz preliminar de Libertad de Operación» ni evidencia equivalente que cumpla el criterio de calidad: Fuentes y jurisdicciones están documentadas; riesgos materiales tienen acción; se aclara que no es dictamen legal.</x:v>
      </x:c>
      <x:c r="K45" s="408" t="str">
        <x:v>Cualquiera; activar por brecha/evidencia y objetivo, no por un TRL fijo.</x:v>
      </x:c>
      <x:c r="L45" s="408" t="str">
        <x:v>TRA-001</x:v>
      </x:c>
      <x:c r="M45" s="408" t="str">
        <x:v>Prioritaria</x:v>
      </x:c>
      <x:c r="N45" s="408" t="str">
        <x:v>Se recomienda Libertad de Operación (Freedom to Operate) porque la brecha detectada es «Libertad de operación no evaluada». La herramienta busca detectar tempranamente riesgos de pi de terceros y definir acciones antes de avanzar hacia mercado o transferencia. Su resultado esperado es: Mapa preliminar de riesgos FTO y acciones de mitigación/consulta especializada.</x:v>
      </x:c>
      <x:c r="O45" s="408" t="str">
        <x:v>Producto/proceso y uso previsto suficientemente definidos, más mercado/jurisdicción objetivo.</x:v>
      </x:c>
      <x:c r="P45" s="408" t="str">
        <x:v>Existe un registro trazable de derechos relevantes, su relación con la explotación prevista y la acción requerida para cada riesgo material.</x:v>
      </x:c>
      <x:c r="Q45" s="408" t="str">
        <x:v>Si existe riesgo material, derivar a análisis especializado y decidir mitigación; si el riesgo es manejable, continuar preparación de transferencia/comercialización.</x:v>
      </x:c>
      <x:c r="R45" s="408"/>
      <x:c r="S45" s="418"/>
      <x:c r="T45" s="408" t="str">
        <x:v>v1.1-propuesta</x:v>
      </x:c>
      <x:c r="U45" s="408" t="str">
        <x:v>Nueva herramienta propuesta a partir de benchmark internacional. No forma parte del inventario CEDIA original; automatizar solo después de validación institucional y prueba de casos.</x:v>
      </x:c>
      <x:c r="V45" s="416" t="str">
        <x:v>Reducir riesgo de PI de terceros antes de explotar o transferir la solución.</x:v>
      </x:c>
      <x:c r="W45" s="416" t="str">
        <x:v>No usar como opinión jurídica definitiva ni como sustituto de asesoría especializada. No aporta valor suficiente si la solución, características o jurisdicción objetivo todavía no están definidas.</x:v>
      </x:c>
      <x:c r="X45" s="416" t="str">
        <x:v>Requiere solución, uso y jurisdicción definidos; Ficha de Divulgación puede complementar pero no es antecedente obligatorio.</x:v>
      </x:c>
      <x:c r="Y45" s="416" t="str">
        <x:v>PI/FTO es complementaria a TRL y se relaciona con preparación comercial/licencia para operar.</x:v>
      </x:c>
      <x:c r="Z45" s="416" t="str">
        <x:v>Sin rango fijo; pertinencia determinada por brecha, evidencia y objetivo.</x:v>
      </x:c>
      <x:c r="AA45" s="416" t="str">
        <x:v>PROPIEDAD INTELECTUAL / TRANSFERENCIA</x:v>
      </x:c>
      <x:c r="AB45" s="416" t="str">
        <x:v>Fuente internacional directa + adaptación metodológica propuesta</x:v>
      </x:c>
      <x:c r="AC45" s="416" t="str">
        <x:v>WIPO — Freedom to Operate; 22_BENCHMARK_TRL_MUNDIAL cuando aplique; adaptación Ruta CEDIA</x:v>
      </x:c>
      <x:c r="AD45" s="416" t="str">
        <x:v>Actualizar cuando nueva evidencia cambie el riesgo, la hipótesis, el contexto o la decisión relacionada.</x:v>
      </x:c>
      <x:c r="AE45" s="416" t="str">
        <x:v>Prioridad base P1. Escalar a P1 si la brecha bloquea una decisión inmediata, transferencia, prueba crítica o avance de madurez; reducir si existe evidencia parcial suficiente.</x:v>
      </x:c>
      <x:c r="AF45" s="416" t="str">
        <x:v>SI brecha=B-PI-001 Y evidencia_valida(EV-031)=NO Y prerrequisitos=OK Y tipo_proyecto=COMPATIBLE ENTONCES recomendar TRA-001; SI evidencia_valida=SI Y sin_disparador_iteracion ENTONCES excluir; SI prerrequisito_critico=NO ENTONCES pedir primero la evidencia faltante.</x:v>
      </x:c>
      <x:c r="AG45" s="416" t="str">
        <x:v>NO AUTOMATIZAR hasta validación CEDIA</x:v>
      </x:c>
      <x:c r="AH45" s="416" t="str">
        <x:v>PRE-031</x:v>
      </x:c>
    </x:row>
    <x:row r="46">
      <x:c r="A46" s="408" t="str">
        <x:v>R-ACT-032</x:v>
      </x:c>
      <x:c r="B46" s="408" t="str">
        <x:v>Propuesta sustentada externamente — validar CEDIA</x:v>
      </x:c>
      <x:c r="C46" s="408" t="str">
        <x:v>P2</x:v>
      </x:c>
      <x:c r="D46" s="408" t="str">
        <x:v>Ecosistema / Cadena de valor</x:v>
      </x:c>
      <x:c r="E46" s="408" t="str">
        <x:v>B-ECO-001</x:v>
      </x:c>
      <x:c r="F46" s="408"/>
      <x:c r="G46" s="408"/>
      <x:c r="H46" s="408"/>
      <x:c r="I46" s="408"/>
      <x:c r="J46" s="408" t="str">
        <x:v>Activar si Actividades/actores/capacidades críticas sin responsable o sin visibilidad. y no existe «Mapa de Cadena de Valor y Actores» ni evidencia equivalente que cumpla el criterio de calidad: Actividades críticas tienen actor/capacidad y brechas materiales cuentan con acción o responsable preliminar.</x:v>
      </x:c>
      <x:c r="K46" s="408" t="str">
        <x:v>Cualquiera; activar por brecha/evidencia y objetivo, no por un TRL fijo.</x:v>
      </x:c>
      <x:c r="L46" s="408" t="str">
        <x:v>TRA-002</x:v>
      </x:c>
      <x:c r="M46" s="408" t="str">
        <x:v>Prioritaria</x:v>
      </x:c>
      <x:c r="N46" s="408" t="str">
        <x:v>Se recomienda Mapa de Cadena de Valor y Actores porque la brecha detectada es «Cadena de valor y actores críticos no mapeados». La herramienta busca identificar capacidades faltantes, socios críticos, dependencias y cuellos de botella de la ruta desde desarrollo hasta uso/mercado. Su resultado esperado es: Mapa de cadena de valor con actores, capacidades, brechas y acciones de articulación.</x:v>
      </x:c>
      <x:c r="O46" s="408" t="str">
        <x:v>Solución/aplicación definida y conocimiento mínimo de cómo se desarrollará/entregará.</x:v>
      </x:c>
      <x:c r="P46" s="408" t="str">
        <x:v>Las actividades críticas tienen actor/capacidad identificada y las brechas de capacidad o dependencia cuentan con una acción o responsable preliminar.</x:v>
      </x:c>
      <x:c r="Q46" s="408" t="str">
        <x:v>Cerrar brechas de capacidad/alianzas y reevaluar modelo de negocio, escalamiento y riesgos de adopción.</x:v>
      </x:c>
      <x:c r="R46" s="408"/>
      <x:c r="S46" s="418"/>
      <x:c r="T46" s="408" t="str">
        <x:v>v1.1-propuesta</x:v>
      </x:c>
      <x:c r="U46" s="408" t="str">
        <x:v>Nueva herramienta propuesta a partir de benchmark internacional. No forma parte del inventario CEDIA original; automatizar solo después de validación institucional y prueba de casos.</x:v>
      </x:c>
      <x:c r="V46" s="416" t="str">
        <x:v>Asegurar que la cadena de capacidades y actores necesaria sea visible y accionable.</x:v>
      </x:c>
      <x:c r="W46" s="416" t="str">
        <x:v>No usar como sustituto del Business Model Canvas ni cuando todavía no existe una solución o aplicación suficientemente definida para identificar actividades y actores relevantes.</x:v>
      </x:c>
      <x:c r="X46" s="416" t="str">
        <x:v>BMC/VPC pueden aportar valor, actividades y socios; no son pasos obligatorios.</x:v>
      </x:c>
      <x:c r="Y46" s="416" t="str">
        <x:v>No determina TRL; se relaciona principalmente con escalabilidad, recursos y CRL.</x:v>
      </x:c>
      <x:c r="Z46" s="416" t="str">
        <x:v>Sin rango fijo; pertinencia determinada por brecha, evidencia y objetivo.</x:v>
      </x:c>
      <x:c r="AA46" s="416" t="str">
        <x:v>TRANSFERENCIA / escalamiento</x:v>
      </x:c>
      <x:c r="AB46" s="416" t="str">
        <x:v>Fuente internacional directa + adaptación metodológica propuesta</x:v>
      </x:c>
      <x:c r="AC46" s="416" t="str">
        <x:v>WIPO — Value Chain; 22_BENCHMARK_TRL_MUNDIAL cuando aplique; adaptación Ruta CEDIA</x:v>
      </x:c>
      <x:c r="AD46" s="416" t="str">
        <x:v>Actualizar cuando nueva evidencia cambie el riesgo, la hipótesis, el contexto o la decisión relacionada.</x:v>
      </x:c>
      <x:c r="AE46" s="416" t="str">
        <x:v>Prioridad base P2. Escalar a P1 si la brecha bloquea una decisión inmediata, transferencia, prueba crítica o avance de madurez; reducir si existe evidencia parcial suficiente.</x:v>
      </x:c>
      <x:c r="AF46" s="416" t="str">
        <x:v>SI brecha=B-ECO-001 Y evidencia_valida(EV-032)=NO Y prerrequisitos=OK Y tipo_proyecto=COMPATIBLE ENTONCES recomendar TRA-002; SI evidencia_valida=SI Y sin_disparador_iteracion ENTONCES excluir; SI prerrequisito_critico=NO ENTONCES pedir primero la evidencia faltante.</x:v>
      </x:c>
      <x:c r="AG46" s="416" t="str">
        <x:v>NO AUTOMATIZAR hasta validación CEDIA</x:v>
      </x:c>
      <x:c r="AH46" s="416" t="str">
        <x:v>PRE-032</x:v>
      </x:c>
    </x:row>
    <x:row r="47">
      <x:c r="A47" s="408" t="str">
        <x:v>R-ACT-033</x:v>
      </x:c>
      <x:c r="B47" s="408" t="str">
        <x:v>Propuesta sustentada externamente — validar CEDIA</x:v>
      </x:c>
      <x:c r="C47" s="408" t="str">
        <x:v>P1</x:v>
      </x:c>
      <x:c r="D47" s="408" t="str">
        <x:v>Propiedad Intelectual / Transferencia</x:v>
      </x:c>
      <x:c r="E47" s="408" t="str">
        <x:v>B-PI-002</x:v>
      </x:c>
      <x:c r="F47" s="408"/>
      <x:c r="G47" s="408"/>
      <x:c r="H47" s="408"/>
      <x:c r="I47" s="408"/>
      <x:c r="J47" s="408" t="str">
        <x:v>Activar si Resultado inventivo sin expediente/divulgación institucional. y no existe «Ficha de Divulgación de Invención» ni evidencia equivalente que cumpla el criterio de calidad: La información permite iniciar evaluación institucional de PI/transferencia y existe trazabilidad de anexos/divulgaciones.</x:v>
      </x:c>
      <x:c r="K47" s="408" t="str">
        <x:v>Aplicar cuando exista un resultado potencialmente inventivo suficientemente concreto.</x:v>
      </x:c>
      <x:c r="L47" s="408" t="str">
        <x:v>TRA-003</x:v>
      </x:c>
      <x:c r="M47" s="408" t="str">
        <x:v>Prioritaria</x:v>
      </x:c>
      <x:c r="N47" s="408" t="str">
        <x:v>Se recomienda Ficha de Divulgación de Invención porque la brecha detectada es «Invención no divulgada institucionalmente». La herramienta busca iniciar de forma ordenada la evaluación de una invención, preservando información clave sobre inventores, evidencia, financiación y divulgaciones. Su resultado esperado es: Expediente inicial de invención listo para revisión institucional de PI y transferencia.</x:v>
      </x:c>
      <x:c r="O47" s="408" t="str">
        <x:v>Resultado técnico/inventivo suficientemente concreto, inventores identificables y evidencia mínima del resultado.</x:v>
      </x:c>
      <x:c r="P47" s="408" t="str">
        <x:v>La información mínima permite a la función de transferencia entender el resultado, autores, contexto contractual/divulgaciones y evidencia para decidir la evaluación siguiente.</x:v>
      </x:c>
      <x:c r="Q47" s="408" t="str">
        <x:v>Remitir la ficha a la función institucional de PI/transferencia para evaluación de protección, titularidad y estrategia siguiente.</x:v>
      </x:c>
      <x:c r="R47" s="408"/>
      <x:c r="S47" s="418"/>
      <x:c r="T47" s="408" t="str">
        <x:v>v1.1-propuesta</x:v>
      </x:c>
      <x:c r="U47" s="408" t="str">
        <x:v>Nueva herramienta propuesta a partir de benchmark internacional. No forma parte del inventario CEDIA original; automatizar solo después de validación institucional y prueba de casos.</x:v>
      </x:c>
      <x:c r="V47" s="416" t="str">
        <x:v>Iniciar de forma ordenada la evaluación institucional de un resultado inventivo.</x:v>
      </x:c>
      <x:c r="W47" s="416" t="str">
        <x:v>No usar como solicitud de patente ni como evaluación de patentabilidad/FTO. Si solo existe una idea general sin resultado inventivo o evidencia mínima, primero debe madurarse/documentarse.</x:v>
      </x:c>
      <x:c r="X47" s="416" t="str">
        <x:v>Puede ocurrir antes o después de otras herramientas de PI; no exige FTO.</x:v>
      </x:c>
      <x:c r="Y47" s="416" t="str">
        <x:v>No determina TRL/CRL; soporta transferencia y gestión de PI.</x:v>
      </x:c>
      <x:c r="Z47" s="416" t="str">
        <x:v>Sin rango fijo; pertinencia determinada por brecha, evidencia y objetivo.</x:v>
      </x:c>
      <x:c r="AA47" s="416" t="str">
        <x:v>PROPIEDAD INTELECTUAL / TRANSFERENCIA</x:v>
      </x:c>
      <x:c r="AB47" s="416" t="str">
        <x:v>Fuente internacional directa + adaptación metodológica propuesta</x:v>
      </x:c>
      <x:c r="AC47" s="416" t="str">
        <x:v>WIPO — Knowledge and Technology Transfer; 22_BENCHMARK_TRL_MUNDIAL cuando aplique; adaptación Ruta CEDIA</x:v>
      </x:c>
      <x:c r="AD47" s="416"/>
      <x:c r="AE47" s="416" t="str">
        <x:v>Prioridad base P1. Escalar a P1 si la brecha bloquea una decisión inmediata, transferencia, prueba crítica o avance de madurez; reducir si existe evidencia parcial suficiente.</x:v>
      </x:c>
      <x:c r="AF47" s="416" t="str">
        <x:v>SI brecha=B-PI-002 Y evidencia_valida(EV-033)=NO Y prerrequisitos=OK Y tipo_proyecto=COMPATIBLE ENTONCES recomendar TRA-003; SI evidencia_valida=SI Y sin_disparador_iteracion ENTONCES excluir; SI prerrequisito_critico=NO ENTONCES pedir primero la evidencia faltante.</x:v>
      </x:c>
      <x:c r="AG47" s="416" t="str">
        <x:v>NO AUTOMATIZAR hasta validación CEDIA</x:v>
      </x:c>
      <x:c r="AH47" s="416" t="str">
        <x:v>PRE-033</x:v>
      </x:c>
    </x:row>
    <x:row r="48">
      <x:c r="A48" s="408" t="str">
        <x:v>R-ACT-034</x:v>
      </x:c>
      <x:c r="B48" s="408" t="str">
        <x:v>Propuesta sustentada externamente — validar CEDIA</x:v>
      </x:c>
      <x:c r="C48" s="408" t="str">
        <x:v>P1</x:v>
      </x:c>
      <x:c r="D48" s="408" t="str">
        <x:v>Adopción / Comercialización</x:v>
      </x:c>
      <x:c r="E48" s="408" t="str">
        <x:v>B-ADO-001</x:v>
      </x:c>
      <x:c r="F48" s="408"/>
      <x:c r="G48" s="408"/>
      <x:c r="H48" s="408"/>
      <x:c r="I48" s="408"/>
      <x:c r="J48" s="408" t="str">
        <x:v>Activar si Riesgos de adopción tratados de forma fragmentada o ausentes. y no existe «Mapa de Riesgos de Adopción» ni evidencia equivalente que cumpla el criterio de calidad: Cada riesgo material tiene evidencia, nivel de riesgo y acción priorizada; no se confunde con TRL.</x:v>
      </x:c>
      <x:c r="K48" s="408" t="str">
        <x:v>Aplicar cuando exista una aplicación y mercado/usuario objetivo suficientemente definidos.</x:v>
      </x:c>
      <x:c r="L48" s="408" t="str">
        <x:v>ADO-001</x:v>
      </x:c>
      <x:c r="M48" s="408" t="str">
        <x:v>Prioritaria</x:v>
      </x:c>
      <x:c r="N48" s="408" t="str">
        <x:v>Se recomienda Mapa de Riesgos de Adopción / Comercialización porque la brecha detectada es «Riesgos no técnicos de adopción no evaluados». La herramienta busca identificar qué barreras de valor, mercado, recursos o licencia para operar pueden impedir la adopción aunque la tecnología funcione. Su resultado esperado es: Mapa priorizado de riesgos no técnicos de adopción con acciones y responsables.</x:v>
      </x:c>
      <x:c r="O48" s="408" t="str">
        <x:v>Aplicación/mercado objetivo definidos y evidencia mínima sobre valor, actores, recursos y contexto.</x:v>
      </x:c>
      <x:c r="P48" s="408" t="str">
        <x:v>Las barreras materiales están identificadas por área, existe evidencia que sustenta su evaluación y las de mayor riesgo tienen acción priorizada.</x:v>
      </x:c>
      <x:c r="Q48" s="408" t="str">
        <x:v>Priorizar las barreras de mayor riesgo y abrir brechas específicas de valor, mercado, recursos o licencia para operar; reevaluar periódicamente.</x:v>
      </x:c>
      <x:c r="R48" s="408"/>
      <x:c r="S48" s="418"/>
      <x:c r="T48" s="408" t="str">
        <x:v>v1.1-propuesta</x:v>
      </x:c>
      <x:c r="U48" s="408" t="str">
        <x:v>Nueva herramienta propuesta a partir de benchmark internacional. No forma parte del inventario CEDIA original; automatizar solo después de validación institucional y prueba de casos.</x:v>
      </x:c>
      <x:c r="V48" s="416" t="str">
        <x:v>Identificar barreras no técnicas que pueden impedir adopción/comercialización.</x:v>
      </x:c>
      <x:c r="W48" s="416" t="str">
        <x:v>No usar para calcular TRL ni para reemplazar el CRL institucional mientras no exista una decisión de integración. En investigación muy básica sin aplicación/mercado definido, su utilidad es limitada.</x:v>
      </x:c>
      <x:c r="X48" s="416" t="str">
        <x:v>Puede nutrirse de VPC/BMC, cadena de valor y FTO; ninguna es obligatoria si existe evidencia equivalente.</x:v>
      </x:c>
      <x:c r="Y48" s="416" t="str">
        <x:v>Complementa TRL con riesgos no técnicos y puede informar dimensiones CRL; no reemplaza ninguno.</x:v>
      </x:c>
      <x:c r="Z48" s="416" t="str">
        <x:v>Sin rango fijo; pertinencia determinada por brecha, evidencia y objetivo.</x:v>
      </x:c>
      <x:c r="AA48" s="416" t="str">
        <x:v>TRANSFERENCIA / comercialización y adopción</x:v>
      </x:c>
      <x:c r="AB48" s="416" t="str">
        <x:v>Fuente internacional directa + adaptación metodológica propuesta</x:v>
      </x:c>
      <x:c r="AC48" s="416" t="str">
        <x:v>U.S. DOE — Adoption Readiness Levels; 22_BENCHMARK_TRL_MUNDIAL cuando aplique; adaptación Ruta CEDIA</x:v>
      </x:c>
      <x:c r="AD48" s="416" t="str">
        <x:v>Actualizar cuando nueva evidencia cambie el riesgo, la hipótesis, el contexto o la decisión relacionada.</x:v>
      </x:c>
      <x:c r="AE48" s="416" t="str">
        <x:v>Prioridad base P1. Escalar a P1 si la brecha bloquea una decisión inmediata, transferencia, prueba crítica o avance de madurez; reducir si existe evidencia parcial suficiente.</x:v>
      </x:c>
      <x:c r="AF48" s="416" t="str">
        <x:v>SI brecha=B-ADO-001 Y evidencia_valida(EV-034)=NO Y prerrequisitos=OK Y tipo_proyecto=COMPATIBLE ENTONCES recomendar ADO-001; SI evidencia_valida=SI Y sin_disparador_iteracion ENTONCES excluir; SI prerrequisito_critico=NO ENTONCES pedir primero la evidencia faltante.</x:v>
      </x:c>
      <x:c r="AG48" s="416" t="str">
        <x:v>NO AUTOMATIZAR hasta validación CEDIA</x:v>
      </x:c>
      <x:c r="AH48" s="416" t="str">
        <x:v>PRE-034</x:v>
      </x:c>
    </x:row>
    <x:row r="49">
      <x:c r="A49" s="44"/>
      <x:c r="B49" s="44"/>
      <x:c r="C49" s="44"/>
      <x:c r="D49" s="44"/>
      <x:c r="E49" s="44"/>
      <x:c r="F49" s="44"/>
      <x:c r="G49" s="44"/>
      <x:c r="H49" s="44"/>
      <x:c r="I49" s="44"/>
      <x:c r="J49" s="44"/>
      <x:c r="K49" s="44"/>
      <x:c r="L49" s="44"/>
      <x:c r="M49" s="44"/>
      <x:c r="N49" s="44"/>
      <x:c r="O49" s="44"/>
      <x:c r="P49" s="44"/>
      <x:c r="Q49" s="44"/>
      <x:c r="R49" s="44"/>
      <x:c r="S49" s="275"/>
      <x:c r="T49" s="44"/>
      <x:c r="U49" s="44"/>
    </x:row>
    <x:row r="50">
      <x:c r="A50" s="44"/>
      <x:c r="B50" s="44"/>
      <x:c r="C50" s="44"/>
      <x:c r="D50" s="44"/>
      <x:c r="E50" s="44"/>
      <x:c r="F50" s="44"/>
      <x:c r="G50" s="44"/>
      <x:c r="H50" s="44"/>
      <x:c r="I50" s="44"/>
      <x:c r="J50" s="44"/>
      <x:c r="K50" s="44"/>
      <x:c r="L50" s="44"/>
      <x:c r="M50" s="44"/>
      <x:c r="N50" s="44"/>
      <x:c r="O50" s="44"/>
      <x:c r="P50" s="44"/>
      <x:c r="Q50" s="44"/>
      <x:c r="R50" s="44"/>
      <x:c r="S50" s="275"/>
      <x:c r="T50" s="44"/>
      <x:c r="U50" s="44"/>
    </x:row>
    <x:row r="51">
      <x:c r="A51" s="44"/>
      <x:c r="B51" s="44"/>
      <x:c r="C51" s="44"/>
      <x:c r="D51" s="44"/>
      <x:c r="E51" s="44"/>
      <x:c r="F51" s="44"/>
      <x:c r="G51" s="44"/>
      <x:c r="H51" s="44"/>
      <x:c r="I51" s="44"/>
      <x:c r="J51" s="44"/>
      <x:c r="K51" s="44"/>
      <x:c r="L51" s="44"/>
      <x:c r="M51" s="44"/>
      <x:c r="N51" s="44"/>
      <x:c r="O51" s="44"/>
      <x:c r="P51" s="44"/>
      <x:c r="Q51" s="44"/>
      <x:c r="R51" s="44"/>
      <x:c r="S51" s="275"/>
      <x:c r="T51" s="44"/>
      <x:c r="U51" s="44"/>
    </x:row>
    <x:row r="52">
      <x:c r="A52" s="44"/>
      <x:c r="B52" s="44"/>
      <x:c r="C52" s="44"/>
      <x:c r="D52" s="44"/>
      <x:c r="E52" s="44"/>
      <x:c r="F52" s="44"/>
      <x:c r="G52" s="44"/>
      <x:c r="H52" s="44"/>
      <x:c r="I52" s="44"/>
      <x:c r="J52" s="44"/>
      <x:c r="K52" s="44"/>
      <x:c r="L52" s="44"/>
      <x:c r="M52" s="44"/>
      <x:c r="N52" s="44"/>
      <x:c r="O52" s="44"/>
      <x:c r="P52" s="44"/>
      <x:c r="Q52" s="44"/>
      <x:c r="R52" s="44"/>
      <x:c r="S52" s="275"/>
      <x:c r="T52" s="44"/>
      <x:c r="U52" s="44"/>
    </x:row>
    <x:row r="53">
      <x:c r="A53" s="44"/>
      <x:c r="B53" s="44"/>
      <x:c r="C53" s="44"/>
      <x:c r="D53" s="44"/>
      <x:c r="E53" s="44"/>
      <x:c r="F53" s="44"/>
      <x:c r="G53" s="44"/>
      <x:c r="H53" s="44"/>
      <x:c r="I53" s="44"/>
      <x:c r="J53" s="44"/>
      <x:c r="K53" s="44"/>
      <x:c r="L53" s="44"/>
      <x:c r="M53" s="44"/>
      <x:c r="N53" s="44"/>
      <x:c r="O53" s="44"/>
      <x:c r="P53" s="44"/>
      <x:c r="Q53" s="44"/>
      <x:c r="R53" s="44"/>
      <x:c r="S53" s="275"/>
      <x:c r="T53" s="44"/>
      <x:c r="U53" s="44"/>
    </x:row>
    <x:row r="54">
      <x:c r="A54" s="44"/>
      <x:c r="B54" s="44"/>
      <x:c r="C54" s="44"/>
      <x:c r="D54" s="44"/>
      <x:c r="E54" s="44"/>
      <x:c r="F54" s="44"/>
      <x:c r="G54" s="44"/>
      <x:c r="H54" s="44"/>
      <x:c r="I54" s="44"/>
      <x:c r="J54" s="44"/>
      <x:c r="K54" s="44"/>
      <x:c r="L54" s="44"/>
      <x:c r="M54" s="44"/>
      <x:c r="N54" s="44"/>
      <x:c r="O54" s="44"/>
      <x:c r="P54" s="44"/>
      <x:c r="Q54" s="44"/>
      <x:c r="R54" s="44"/>
      <x:c r="S54" s="275"/>
      <x:c r="T54" s="44"/>
      <x:c r="U54" s="44"/>
    </x:row>
    <x:row r="55">
      <x:c r="A55" s="44"/>
      <x:c r="B55" s="44"/>
      <x:c r="C55" s="44"/>
      <x:c r="D55" s="44"/>
      <x:c r="E55" s="44"/>
      <x:c r="F55" s="44"/>
      <x:c r="G55" s="44"/>
      <x:c r="H55" s="44"/>
      <x:c r="I55" s="44"/>
      <x:c r="J55" s="44"/>
      <x:c r="K55" s="44"/>
      <x:c r="L55" s="44"/>
      <x:c r="M55" s="44"/>
      <x:c r="N55" s="44"/>
      <x:c r="O55" s="44"/>
      <x:c r="P55" s="44"/>
      <x:c r="Q55" s="44"/>
      <x:c r="R55" s="44"/>
      <x:c r="S55" s="275"/>
      <x:c r="T55" s="44"/>
      <x:c r="U55" s="44"/>
    </x:row>
    <x:row r="56">
      <x:c r="A56" s="44"/>
      <x:c r="B56" s="44"/>
      <x:c r="C56" s="44"/>
      <x:c r="D56" s="44"/>
      <x:c r="E56" s="44"/>
      <x:c r="F56" s="44"/>
      <x:c r="G56" s="44"/>
      <x:c r="H56" s="44"/>
      <x:c r="I56" s="44"/>
      <x:c r="J56" s="44"/>
      <x:c r="K56" s="44"/>
      <x:c r="L56" s="44"/>
      <x:c r="M56" s="44"/>
      <x:c r="N56" s="44"/>
      <x:c r="O56" s="44"/>
      <x:c r="P56" s="44"/>
      <x:c r="Q56" s="44"/>
      <x:c r="R56" s="44"/>
      <x:c r="S56" s="275"/>
      <x:c r="T56" s="44"/>
      <x:c r="U56" s="44"/>
    </x:row>
    <x:row r="57">
      <x:c r="A57" s="44"/>
      <x:c r="B57" s="44"/>
      <x:c r="C57" s="44"/>
      <x:c r="D57" s="44"/>
      <x:c r="E57" s="44"/>
      <x:c r="F57" s="44"/>
      <x:c r="G57" s="44"/>
      <x:c r="H57" s="44"/>
      <x:c r="I57" s="44"/>
      <x:c r="J57" s="44"/>
      <x:c r="K57" s="44"/>
      <x:c r="L57" s="44"/>
      <x:c r="M57" s="44"/>
      <x:c r="N57" s="44"/>
      <x:c r="O57" s="44"/>
      <x:c r="P57" s="44"/>
      <x:c r="Q57" s="44"/>
      <x:c r="R57" s="44"/>
      <x:c r="S57" s="275"/>
      <x:c r="T57" s="44"/>
      <x:c r="U57" s="44"/>
    </x:row>
    <x:row r="58">
      <x:c r="A58" s="44"/>
      <x:c r="B58" s="44"/>
      <x:c r="C58" s="44"/>
      <x:c r="D58" s="44"/>
      <x:c r="E58" s="44"/>
      <x:c r="F58" s="44"/>
      <x:c r="G58" s="44"/>
      <x:c r="H58" s="44"/>
      <x:c r="I58" s="44"/>
      <x:c r="J58" s="44"/>
      <x:c r="K58" s="44"/>
      <x:c r="L58" s="44"/>
      <x:c r="M58" s="44"/>
      <x:c r="N58" s="44"/>
      <x:c r="O58" s="44"/>
      <x:c r="P58" s="44"/>
      <x:c r="Q58" s="44"/>
      <x:c r="R58" s="44"/>
      <x:c r="S58" s="275"/>
      <x:c r="T58" s="44"/>
      <x:c r="U58" s="44"/>
    </x:row>
    <x:row r="59">
      <x:c r="A59" s="44"/>
      <x:c r="B59" s="44"/>
      <x:c r="C59" s="44"/>
      <x:c r="D59" s="44"/>
      <x:c r="E59" s="44"/>
      <x:c r="F59" s="44"/>
      <x:c r="G59" s="44"/>
      <x:c r="H59" s="44"/>
      <x:c r="I59" s="44"/>
      <x:c r="J59" s="44"/>
      <x:c r="K59" s="44"/>
      <x:c r="L59" s="44"/>
      <x:c r="M59" s="44"/>
      <x:c r="N59" s="44"/>
      <x:c r="O59" s="44"/>
      <x:c r="P59" s="44"/>
      <x:c r="Q59" s="44"/>
      <x:c r="R59" s="44"/>
      <x:c r="S59" s="275"/>
      <x:c r="T59" s="44"/>
      <x:c r="U59" s="44"/>
    </x:row>
    <x:row r="60">
      <x:c r="A60" s="44"/>
      <x:c r="B60" s="44"/>
      <x:c r="C60" s="44"/>
      <x:c r="D60" s="44"/>
      <x:c r="E60" s="44"/>
      <x:c r="F60" s="44"/>
      <x:c r="G60" s="44"/>
      <x:c r="H60" s="44"/>
      <x:c r="I60" s="44"/>
      <x:c r="J60" s="44"/>
      <x:c r="K60" s="44"/>
      <x:c r="L60" s="44"/>
      <x:c r="M60" s="44"/>
      <x:c r="N60" s="44"/>
      <x:c r="O60" s="44"/>
      <x:c r="P60" s="44"/>
      <x:c r="Q60" s="44"/>
      <x:c r="R60" s="44"/>
      <x:c r="S60" s="275"/>
      <x:c r="T60" s="44"/>
      <x:c r="U60" s="44"/>
    </x:row>
    <x:row r="61">
      <x:c r="A61" s="44"/>
      <x:c r="B61" s="44"/>
      <x:c r="C61" s="44"/>
      <x:c r="D61" s="44"/>
      <x:c r="E61" s="44"/>
      <x:c r="F61" s="44"/>
      <x:c r="G61" s="44"/>
      <x:c r="H61" s="44"/>
      <x:c r="I61" s="44"/>
      <x:c r="J61" s="44"/>
      <x:c r="K61" s="44"/>
      <x:c r="L61" s="44"/>
      <x:c r="M61" s="44"/>
      <x:c r="N61" s="44"/>
      <x:c r="O61" s="44"/>
      <x:c r="P61" s="44"/>
      <x:c r="Q61" s="44"/>
      <x:c r="R61" s="44"/>
      <x:c r="S61" s="275"/>
      <x:c r="T61" s="44"/>
      <x:c r="U61" s="44"/>
    </x:row>
    <x:row r="62">
      <x:c r="A62" s="44"/>
      <x:c r="B62" s="44"/>
      <x:c r="C62" s="44"/>
      <x:c r="D62" s="44"/>
      <x:c r="E62" s="44"/>
      <x:c r="F62" s="44"/>
      <x:c r="G62" s="44"/>
      <x:c r="H62" s="44"/>
      <x:c r="I62" s="44"/>
      <x:c r="J62" s="44"/>
      <x:c r="K62" s="44"/>
      <x:c r="L62" s="44"/>
      <x:c r="M62" s="44"/>
      <x:c r="N62" s="44"/>
      <x:c r="O62" s="44"/>
      <x:c r="P62" s="44"/>
      <x:c r="Q62" s="44"/>
      <x:c r="R62" s="44"/>
      <x:c r="S62" s="275"/>
      <x:c r="T62" s="44"/>
      <x:c r="U62" s="44"/>
    </x:row>
    <x:row r="63">
      <x:c r="A63" s="44"/>
      <x:c r="B63" s="44"/>
      <x:c r="C63" s="44"/>
      <x:c r="D63" s="44"/>
      <x:c r="E63" s="44"/>
      <x:c r="F63" s="44"/>
      <x:c r="G63" s="44"/>
      <x:c r="H63" s="44"/>
      <x:c r="I63" s="44"/>
      <x:c r="J63" s="44"/>
      <x:c r="K63" s="44"/>
      <x:c r="L63" s="44"/>
      <x:c r="M63" s="44"/>
      <x:c r="N63" s="44"/>
      <x:c r="O63" s="44"/>
      <x:c r="P63" s="44"/>
      <x:c r="Q63" s="44"/>
      <x:c r="R63" s="44"/>
      <x:c r="S63" s="275"/>
      <x:c r="T63" s="44"/>
      <x:c r="U63" s="44"/>
    </x:row>
    <x:row r="64">
      <x:c r="A64" s="44"/>
      <x:c r="B64" s="44"/>
      <x:c r="C64" s="44"/>
      <x:c r="D64" s="44"/>
      <x:c r="E64" s="44"/>
      <x:c r="F64" s="44"/>
      <x:c r="G64" s="44"/>
      <x:c r="H64" s="44"/>
      <x:c r="I64" s="44"/>
      <x:c r="J64" s="44"/>
      <x:c r="K64" s="44"/>
      <x:c r="L64" s="44"/>
      <x:c r="M64" s="44"/>
      <x:c r="N64" s="44"/>
      <x:c r="O64" s="44"/>
      <x:c r="P64" s="44"/>
      <x:c r="Q64" s="44"/>
      <x:c r="R64" s="44"/>
      <x:c r="S64" s="275"/>
      <x:c r="T64" s="44"/>
      <x:c r="U64" s="44"/>
    </x:row>
    <x:row r="65">
      <x:c r="A65" s="44"/>
      <x:c r="B65" s="44"/>
      <x:c r="C65" s="44"/>
      <x:c r="D65" s="44"/>
      <x:c r="E65" s="44"/>
      <x:c r="F65" s="44"/>
      <x:c r="G65" s="44"/>
      <x:c r="H65" s="44"/>
      <x:c r="I65" s="44"/>
      <x:c r="J65" s="44"/>
      <x:c r="K65" s="44"/>
      <x:c r="L65" s="44"/>
      <x:c r="M65" s="44"/>
      <x:c r="N65" s="44"/>
      <x:c r="O65" s="44"/>
      <x:c r="P65" s="44"/>
      <x:c r="Q65" s="44"/>
      <x:c r="R65" s="44"/>
      <x:c r="S65" s="275"/>
      <x:c r="T65" s="44"/>
      <x:c r="U65" s="44"/>
    </x:row>
    <x:row r="66">
      <x:c r="A66" s="44"/>
      <x:c r="B66" s="44"/>
      <x:c r="C66" s="44"/>
      <x:c r="D66" s="44"/>
      <x:c r="E66" s="44"/>
      <x:c r="F66" s="44"/>
      <x:c r="G66" s="44"/>
      <x:c r="H66" s="44"/>
      <x:c r="I66" s="44"/>
      <x:c r="J66" s="44"/>
      <x:c r="K66" s="44"/>
      <x:c r="L66" s="44"/>
      <x:c r="M66" s="44"/>
      <x:c r="N66" s="44"/>
      <x:c r="O66" s="44"/>
      <x:c r="P66" s="44"/>
      <x:c r="Q66" s="44"/>
      <x:c r="R66" s="44"/>
      <x:c r="S66" s="275"/>
      <x:c r="T66" s="44"/>
      <x:c r="U66" s="44"/>
    </x:row>
    <x:row r="67">
      <x:c r="A67" s="44"/>
      <x:c r="B67" s="44"/>
      <x:c r="C67" s="44"/>
      <x:c r="D67" s="44"/>
      <x:c r="E67" s="44"/>
      <x:c r="F67" s="44"/>
      <x:c r="G67" s="44"/>
      <x:c r="H67" s="44"/>
      <x:c r="I67" s="44"/>
      <x:c r="J67" s="44"/>
      <x:c r="K67" s="44"/>
      <x:c r="L67" s="44"/>
      <x:c r="M67" s="44"/>
      <x:c r="N67" s="44"/>
      <x:c r="O67" s="44"/>
      <x:c r="P67" s="44"/>
      <x:c r="Q67" s="44"/>
      <x:c r="R67" s="44"/>
      <x:c r="S67" s="275"/>
      <x:c r="T67" s="44"/>
      <x:c r="U67" s="44"/>
    </x:row>
    <x:row r="68">
      <x:c r="A68" s="44"/>
      <x:c r="B68" s="44"/>
      <x:c r="C68" s="44"/>
      <x:c r="D68" s="44"/>
      <x:c r="E68" s="44"/>
      <x:c r="F68" s="44"/>
      <x:c r="G68" s="44"/>
      <x:c r="H68" s="44"/>
      <x:c r="I68" s="44"/>
      <x:c r="J68" s="44"/>
      <x:c r="K68" s="44"/>
      <x:c r="L68" s="44"/>
      <x:c r="M68" s="44"/>
      <x:c r="N68" s="44"/>
      <x:c r="O68" s="44"/>
      <x:c r="P68" s="44"/>
      <x:c r="Q68" s="44"/>
      <x:c r="R68" s="44"/>
      <x:c r="S68" s="275"/>
      <x:c r="T68" s="44"/>
      <x:c r="U68" s="44"/>
    </x:row>
    <x:row r="69">
      <x:c r="A69" s="44"/>
      <x:c r="B69" s="44"/>
      <x:c r="C69" s="44"/>
      <x:c r="D69" s="44"/>
      <x:c r="E69" s="44"/>
      <x:c r="F69" s="44"/>
      <x:c r="G69" s="44"/>
      <x:c r="H69" s="44"/>
      <x:c r="I69" s="44"/>
      <x:c r="J69" s="44"/>
      <x:c r="K69" s="44"/>
      <x:c r="L69" s="44"/>
      <x:c r="M69" s="44"/>
      <x:c r="N69" s="44"/>
      <x:c r="O69" s="44"/>
      <x:c r="P69" s="44"/>
      <x:c r="Q69" s="44"/>
      <x:c r="R69" s="44"/>
      <x:c r="S69" s="275"/>
      <x:c r="T69" s="44"/>
      <x:c r="U69" s="44"/>
    </x:row>
    <x:row r="70">
      <x:c r="A70" s="44"/>
      <x:c r="B70" s="44"/>
      <x:c r="C70" s="44"/>
      <x:c r="D70" s="44"/>
      <x:c r="E70" s="44"/>
      <x:c r="F70" s="44"/>
      <x:c r="G70" s="44"/>
      <x:c r="H70" s="44"/>
      <x:c r="I70" s="44"/>
      <x:c r="J70" s="44"/>
      <x:c r="K70" s="44"/>
      <x:c r="L70" s="44"/>
      <x:c r="M70" s="44"/>
      <x:c r="N70" s="44"/>
      <x:c r="O70" s="44"/>
      <x:c r="P70" s="44"/>
      <x:c r="Q70" s="44"/>
      <x:c r="R70" s="44"/>
      <x:c r="S70" s="275"/>
      <x:c r="T70" s="44"/>
      <x:c r="U70" s="44"/>
    </x:row>
    <x:row r="71">
      <x:c r="A71" s="44"/>
      <x:c r="B71" s="44"/>
      <x:c r="C71" s="44"/>
      <x:c r="D71" s="44"/>
      <x:c r="E71" s="44"/>
      <x:c r="F71" s="44"/>
      <x:c r="G71" s="44"/>
      <x:c r="H71" s="44"/>
      <x:c r="I71" s="44"/>
      <x:c r="J71" s="44"/>
      <x:c r="K71" s="44"/>
      <x:c r="L71" s="44"/>
      <x:c r="M71" s="44"/>
      <x:c r="N71" s="44"/>
      <x:c r="O71" s="44"/>
      <x:c r="P71" s="44"/>
      <x:c r="Q71" s="44"/>
      <x:c r="R71" s="44"/>
      <x:c r="S71" s="275"/>
      <x:c r="T71" s="44"/>
      <x:c r="U71" s="44"/>
    </x:row>
    <x:row r="72">
      <x:c r="A72" s="44"/>
      <x:c r="B72" s="44"/>
      <x:c r="C72" s="44"/>
      <x:c r="D72" s="44"/>
      <x:c r="E72" s="44"/>
      <x:c r="F72" s="44"/>
      <x:c r="G72" s="44"/>
      <x:c r="H72" s="44"/>
      <x:c r="I72" s="44"/>
      <x:c r="J72" s="44"/>
      <x:c r="K72" s="44"/>
      <x:c r="L72" s="44"/>
      <x:c r="M72" s="44"/>
      <x:c r="N72" s="44"/>
      <x:c r="O72" s="44"/>
      <x:c r="P72" s="44"/>
      <x:c r="Q72" s="44"/>
      <x:c r="R72" s="44"/>
      <x:c r="S72" s="275"/>
      <x:c r="T72" s="44"/>
      <x:c r="U72" s="44"/>
    </x:row>
    <x:row r="73">
      <x:c r="A73" s="44"/>
      <x:c r="B73" s="44"/>
      <x:c r="C73" s="44"/>
      <x:c r="D73" s="44"/>
      <x:c r="E73" s="44"/>
      <x:c r="F73" s="44"/>
      <x:c r="G73" s="44"/>
      <x:c r="H73" s="44"/>
      <x:c r="I73" s="44"/>
      <x:c r="J73" s="44"/>
      <x:c r="K73" s="44"/>
      <x:c r="L73" s="44"/>
      <x:c r="M73" s="44"/>
      <x:c r="N73" s="44"/>
      <x:c r="O73" s="44"/>
      <x:c r="P73" s="44"/>
      <x:c r="Q73" s="44"/>
      <x:c r="R73" s="44"/>
      <x:c r="S73" s="275"/>
      <x:c r="T73" s="44"/>
      <x:c r="U73" s="44"/>
    </x:row>
    <x:row r="74">
      <x:c r="A74" s="44"/>
      <x:c r="B74" s="44"/>
      <x:c r="C74" s="44"/>
      <x:c r="D74" s="44"/>
      <x:c r="E74" s="44"/>
      <x:c r="F74" s="44"/>
      <x:c r="G74" s="44"/>
      <x:c r="H74" s="44"/>
      <x:c r="I74" s="44"/>
      <x:c r="J74" s="44"/>
      <x:c r="K74" s="44"/>
      <x:c r="L74" s="44"/>
      <x:c r="M74" s="44"/>
      <x:c r="N74" s="44"/>
      <x:c r="O74" s="44"/>
      <x:c r="P74" s="44"/>
      <x:c r="Q74" s="44"/>
      <x:c r="R74" s="44"/>
      <x:c r="S74" s="275"/>
      <x:c r="T74" s="44"/>
      <x:c r="U74" s="44"/>
    </x:row>
    <x:row r="75">
      <x:c r="A75" s="44"/>
      <x:c r="B75" s="44"/>
      <x:c r="C75" s="44"/>
      <x:c r="D75" s="44"/>
      <x:c r="E75" s="44"/>
      <x:c r="F75" s="44"/>
      <x:c r="G75" s="44"/>
      <x:c r="H75" s="44"/>
      <x:c r="I75" s="44"/>
      <x:c r="J75" s="44"/>
      <x:c r="K75" s="44"/>
      <x:c r="L75" s="44"/>
      <x:c r="M75" s="44"/>
      <x:c r="N75" s="44"/>
      <x:c r="O75" s="44"/>
      <x:c r="P75" s="44"/>
      <x:c r="Q75" s="44"/>
      <x:c r="R75" s="44"/>
      <x:c r="S75" s="275"/>
      <x:c r="T75" s="44"/>
      <x:c r="U75" s="44"/>
    </x:row>
    <x:row r="76">
      <x:c r="A76" s="44"/>
      <x:c r="B76" s="44"/>
      <x:c r="C76" s="44"/>
      <x:c r="D76" s="44"/>
      <x:c r="E76" s="44"/>
      <x:c r="F76" s="44"/>
      <x:c r="G76" s="44"/>
      <x:c r="H76" s="44"/>
      <x:c r="I76" s="44"/>
      <x:c r="J76" s="44"/>
      <x:c r="K76" s="44"/>
      <x:c r="L76" s="44"/>
      <x:c r="M76" s="44"/>
      <x:c r="N76" s="44"/>
      <x:c r="O76" s="44"/>
      <x:c r="P76" s="44"/>
      <x:c r="Q76" s="44"/>
      <x:c r="R76" s="44"/>
      <x:c r="S76" s="275"/>
      <x:c r="T76" s="44"/>
      <x:c r="U76" s="44"/>
    </x:row>
    <x:row r="77">
      <x:c r="A77" s="44"/>
      <x:c r="B77" s="44"/>
      <x:c r="C77" s="44"/>
      <x:c r="D77" s="44"/>
      <x:c r="E77" s="44"/>
      <x:c r="F77" s="44"/>
      <x:c r="G77" s="44"/>
      <x:c r="H77" s="44"/>
      <x:c r="I77" s="44"/>
      <x:c r="J77" s="44"/>
      <x:c r="K77" s="44"/>
      <x:c r="L77" s="44"/>
      <x:c r="M77" s="44"/>
      <x:c r="N77" s="44"/>
      <x:c r="O77" s="44"/>
      <x:c r="P77" s="44"/>
      <x:c r="Q77" s="44"/>
      <x:c r="R77" s="44"/>
      <x:c r="S77" s="275"/>
      <x:c r="T77" s="44"/>
      <x:c r="U77" s="44"/>
    </x:row>
    <x:row r="78">
      <x:c r="A78" s="44"/>
      <x:c r="B78" s="44"/>
      <x:c r="C78" s="44"/>
      <x:c r="D78" s="44"/>
      <x:c r="E78" s="44"/>
      <x:c r="F78" s="44"/>
      <x:c r="G78" s="44"/>
      <x:c r="H78" s="44"/>
      <x:c r="I78" s="44"/>
      <x:c r="J78" s="44"/>
      <x:c r="K78" s="44"/>
      <x:c r="L78" s="44"/>
      <x:c r="M78" s="44"/>
      <x:c r="N78" s="44"/>
      <x:c r="O78" s="44"/>
      <x:c r="P78" s="44"/>
      <x:c r="Q78" s="44"/>
      <x:c r="R78" s="44"/>
      <x:c r="S78" s="275"/>
      <x:c r="T78" s="44"/>
      <x:c r="U78" s="44"/>
    </x:row>
    <x:row r="79">
      <x:c r="A79" s="44"/>
      <x:c r="B79" s="44"/>
      <x:c r="C79" s="44"/>
      <x:c r="D79" s="44"/>
      <x:c r="E79" s="44"/>
      <x:c r="F79" s="44"/>
      <x:c r="G79" s="44"/>
      <x:c r="H79" s="44"/>
      <x:c r="I79" s="44"/>
      <x:c r="J79" s="44"/>
      <x:c r="K79" s="44"/>
      <x:c r="L79" s="44"/>
      <x:c r="M79" s="44"/>
      <x:c r="N79" s="44"/>
      <x:c r="O79" s="44"/>
      <x:c r="P79" s="44"/>
      <x:c r="Q79" s="44"/>
      <x:c r="R79" s="44"/>
      <x:c r="S79" s="275"/>
      <x:c r="T79" s="44"/>
      <x:c r="U79" s="44"/>
    </x:row>
    <x:row r="80">
      <x:c r="A80" s="44"/>
      <x:c r="B80" s="44"/>
      <x:c r="C80" s="44"/>
      <x:c r="D80" s="44"/>
      <x:c r="E80" s="44"/>
      <x:c r="F80" s="44"/>
      <x:c r="G80" s="44"/>
      <x:c r="H80" s="44"/>
      <x:c r="I80" s="44"/>
      <x:c r="J80" s="44"/>
      <x:c r="K80" s="44"/>
      <x:c r="L80" s="44"/>
      <x:c r="M80" s="44"/>
      <x:c r="N80" s="44"/>
      <x:c r="O80" s="44"/>
      <x:c r="P80" s="44"/>
      <x:c r="Q80" s="44"/>
      <x:c r="R80" s="44"/>
      <x:c r="S80" s="275"/>
      <x:c r="T80" s="44"/>
      <x:c r="U80" s="44"/>
    </x:row>
    <x:row r="81">
      <x:c r="A81" s="44"/>
      <x:c r="B81" s="44"/>
      <x:c r="C81" s="44"/>
      <x:c r="D81" s="44"/>
      <x:c r="E81" s="44"/>
      <x:c r="F81" s="44"/>
      <x:c r="G81" s="44"/>
      <x:c r="H81" s="44"/>
      <x:c r="I81" s="44"/>
      <x:c r="J81" s="44"/>
      <x:c r="K81" s="44"/>
      <x:c r="L81" s="44"/>
      <x:c r="M81" s="44"/>
      <x:c r="N81" s="44"/>
      <x:c r="O81" s="44"/>
      <x:c r="P81" s="44"/>
      <x:c r="Q81" s="44"/>
      <x:c r="R81" s="44"/>
      <x:c r="S81" s="275"/>
      <x:c r="T81" s="44"/>
      <x:c r="U81" s="44"/>
    </x:row>
    <x:row r="82">
      <x:c r="A82" s="44"/>
      <x:c r="B82" s="44"/>
      <x:c r="C82" s="44"/>
      <x:c r="D82" s="44"/>
      <x:c r="E82" s="44"/>
      <x:c r="F82" s="44"/>
      <x:c r="G82" s="44"/>
      <x:c r="H82" s="44"/>
      <x:c r="I82" s="44"/>
      <x:c r="J82" s="44"/>
      <x:c r="K82" s="44"/>
      <x:c r="L82" s="44"/>
      <x:c r="M82" s="44"/>
      <x:c r="N82" s="44"/>
      <x:c r="O82" s="44"/>
      <x:c r="P82" s="44"/>
      <x:c r="Q82" s="44"/>
      <x:c r="R82" s="44"/>
      <x:c r="S82" s="275"/>
      <x:c r="T82" s="44"/>
      <x:c r="U82" s="44"/>
    </x:row>
    <x:row r="83">
      <x:c r="A83" s="44"/>
      <x:c r="B83" s="44"/>
      <x:c r="C83" s="44"/>
      <x:c r="D83" s="44"/>
      <x:c r="E83" s="44"/>
      <x:c r="F83" s="44"/>
      <x:c r="G83" s="44"/>
      <x:c r="H83" s="44"/>
      <x:c r="I83" s="44"/>
      <x:c r="J83" s="44"/>
      <x:c r="K83" s="44"/>
      <x:c r="L83" s="44"/>
      <x:c r="M83" s="44"/>
      <x:c r="N83" s="44"/>
      <x:c r="O83" s="44"/>
      <x:c r="P83" s="44"/>
      <x:c r="Q83" s="44"/>
      <x:c r="R83" s="44"/>
      <x:c r="S83" s="275"/>
      <x:c r="T83" s="44"/>
      <x:c r="U83" s="44"/>
    </x:row>
    <x:row r="84">
      <x:c r="A84" s="44"/>
      <x:c r="B84" s="44"/>
      <x:c r="C84" s="44"/>
      <x:c r="D84" s="44"/>
      <x:c r="E84" s="44"/>
      <x:c r="F84" s="44"/>
      <x:c r="G84" s="44"/>
      <x:c r="H84" s="44"/>
      <x:c r="I84" s="44"/>
      <x:c r="J84" s="44"/>
      <x:c r="K84" s="44"/>
      <x:c r="L84" s="44"/>
      <x:c r="M84" s="44"/>
      <x:c r="N84" s="44"/>
      <x:c r="O84" s="44"/>
      <x:c r="P84" s="44"/>
      <x:c r="Q84" s="44"/>
      <x:c r="R84" s="44"/>
      <x:c r="S84" s="275"/>
      <x:c r="T84" s="44"/>
      <x:c r="U84" s="44"/>
    </x:row>
    <x:row r="85">
      <x:c r="A85" s="44"/>
      <x:c r="B85" s="44"/>
      <x:c r="C85" s="44"/>
      <x:c r="D85" s="44"/>
      <x:c r="E85" s="44"/>
      <x:c r="F85" s="44"/>
      <x:c r="G85" s="44"/>
      <x:c r="H85" s="44"/>
      <x:c r="I85" s="44"/>
      <x:c r="J85" s="44"/>
      <x:c r="K85" s="44"/>
      <x:c r="L85" s="44"/>
      <x:c r="M85" s="44"/>
      <x:c r="N85" s="44"/>
      <x:c r="O85" s="44"/>
      <x:c r="P85" s="44"/>
      <x:c r="Q85" s="44"/>
      <x:c r="R85" s="44"/>
      <x:c r="S85" s="275"/>
      <x:c r="T85" s="44"/>
      <x:c r="U85" s="44"/>
    </x:row>
    <x:row r="86">
      <x:c r="A86" s="44"/>
      <x:c r="B86" s="44"/>
      <x:c r="C86" s="44"/>
      <x:c r="D86" s="44"/>
      <x:c r="E86" s="44"/>
      <x:c r="F86" s="44"/>
      <x:c r="G86" s="44"/>
      <x:c r="H86" s="44"/>
      <x:c r="I86" s="44"/>
      <x:c r="J86" s="44"/>
      <x:c r="K86" s="44"/>
      <x:c r="L86" s="44"/>
      <x:c r="M86" s="44"/>
      <x:c r="N86" s="44"/>
      <x:c r="O86" s="44"/>
      <x:c r="P86" s="44"/>
      <x:c r="Q86" s="44"/>
      <x:c r="R86" s="44"/>
      <x:c r="S86" s="275"/>
      <x:c r="T86" s="44"/>
      <x:c r="U86" s="44"/>
    </x:row>
    <x:row r="87">
      <x:c r="A87" s="44"/>
      <x:c r="B87" s="44"/>
      <x:c r="C87" s="44"/>
      <x:c r="D87" s="44"/>
      <x:c r="E87" s="44"/>
      <x:c r="F87" s="44"/>
      <x:c r="G87" s="44"/>
      <x:c r="H87" s="44"/>
      <x:c r="I87" s="44"/>
      <x:c r="J87" s="44"/>
      <x:c r="K87" s="44"/>
      <x:c r="L87" s="44"/>
      <x:c r="M87" s="44"/>
      <x:c r="N87" s="44"/>
      <x:c r="O87" s="44"/>
      <x:c r="P87" s="44"/>
      <x:c r="Q87" s="44"/>
      <x:c r="R87" s="44"/>
      <x:c r="S87" s="275"/>
      <x:c r="T87" s="44"/>
      <x:c r="U87" s="44"/>
    </x:row>
    <x:row r="88">
      <x:c r="A88" s="44"/>
      <x:c r="B88" s="44"/>
      <x:c r="C88" s="44"/>
      <x:c r="D88" s="44"/>
      <x:c r="E88" s="44"/>
      <x:c r="F88" s="44"/>
      <x:c r="G88" s="44"/>
      <x:c r="H88" s="44"/>
      <x:c r="I88" s="44"/>
      <x:c r="J88" s="44"/>
      <x:c r="K88" s="44"/>
      <x:c r="L88" s="44"/>
      <x:c r="M88" s="44"/>
      <x:c r="N88" s="44"/>
      <x:c r="O88" s="44"/>
      <x:c r="P88" s="44"/>
      <x:c r="Q88" s="44"/>
      <x:c r="R88" s="44"/>
      <x:c r="S88" s="275"/>
      <x:c r="T88" s="44"/>
      <x:c r="U88" s="44"/>
    </x:row>
    <x:row r="89">
      <x:c r="A89" s="44"/>
      <x:c r="B89" s="44"/>
      <x:c r="C89" s="44"/>
      <x:c r="D89" s="44"/>
      <x:c r="E89" s="44"/>
      <x:c r="F89" s="44"/>
      <x:c r="G89" s="44"/>
      <x:c r="H89" s="44"/>
      <x:c r="I89" s="44"/>
      <x:c r="J89" s="44"/>
      <x:c r="K89" s="44"/>
      <x:c r="L89" s="44"/>
      <x:c r="M89" s="44"/>
      <x:c r="N89" s="44"/>
      <x:c r="O89" s="44"/>
      <x:c r="P89" s="44"/>
      <x:c r="Q89" s="44"/>
      <x:c r="R89" s="44"/>
      <x:c r="S89" s="275"/>
      <x:c r="T89" s="44"/>
      <x:c r="U89" s="44"/>
    </x:row>
    <x:row r="90">
      <x:c r="A90" s="44"/>
      <x:c r="B90" s="44"/>
      <x:c r="C90" s="44"/>
      <x:c r="D90" s="44"/>
      <x:c r="E90" s="44"/>
      <x:c r="F90" s="44"/>
      <x:c r="G90" s="44"/>
      <x:c r="H90" s="44"/>
      <x:c r="I90" s="44"/>
      <x:c r="J90" s="44"/>
      <x:c r="K90" s="44"/>
      <x:c r="L90" s="44"/>
      <x:c r="M90" s="44"/>
      <x:c r="N90" s="44"/>
      <x:c r="O90" s="44"/>
      <x:c r="P90" s="44"/>
      <x:c r="Q90" s="44"/>
      <x:c r="R90" s="44"/>
      <x:c r="S90" s="275"/>
      <x:c r="T90" s="44"/>
      <x:c r="U90" s="44"/>
    </x:row>
    <x:row r="91">
      <x:c r="A91" s="44"/>
      <x:c r="B91" s="44"/>
      <x:c r="C91" s="44"/>
      <x:c r="D91" s="44"/>
      <x:c r="E91" s="44"/>
      <x:c r="F91" s="44"/>
      <x:c r="G91" s="44"/>
      <x:c r="H91" s="44"/>
      <x:c r="I91" s="44"/>
      <x:c r="J91" s="44"/>
      <x:c r="K91" s="44"/>
      <x:c r="L91" s="44"/>
      <x:c r="M91" s="44"/>
      <x:c r="N91" s="44"/>
      <x:c r="O91" s="44"/>
      <x:c r="P91" s="44"/>
      <x:c r="Q91" s="44"/>
      <x:c r="R91" s="44"/>
      <x:c r="S91" s="275"/>
      <x:c r="T91" s="44"/>
      <x:c r="U91" s="44"/>
    </x:row>
    <x:row r="92">
      <x:c r="A92" s="44"/>
      <x:c r="B92" s="44"/>
      <x:c r="C92" s="44"/>
      <x:c r="D92" s="44"/>
      <x:c r="E92" s="44"/>
      <x:c r="F92" s="44"/>
      <x:c r="G92" s="44"/>
      <x:c r="H92" s="44"/>
      <x:c r="I92" s="44"/>
      <x:c r="J92" s="44"/>
      <x:c r="K92" s="44"/>
      <x:c r="L92" s="44"/>
      <x:c r="M92" s="44"/>
      <x:c r="N92" s="44"/>
      <x:c r="O92" s="44"/>
      <x:c r="P92" s="44"/>
      <x:c r="Q92" s="44"/>
      <x:c r="R92" s="44"/>
      <x:c r="S92" s="275"/>
      <x:c r="T92" s="44"/>
      <x:c r="U92" s="44"/>
    </x:row>
    <x:row r="93">
      <x:c r="A93" s="44"/>
      <x:c r="B93" s="44"/>
      <x:c r="C93" s="44"/>
      <x:c r="D93" s="44"/>
      <x:c r="E93" s="44"/>
      <x:c r="F93" s="44"/>
      <x:c r="G93" s="44"/>
      <x:c r="H93" s="44"/>
      <x:c r="I93" s="44"/>
      <x:c r="J93" s="44"/>
      <x:c r="K93" s="44"/>
      <x:c r="L93" s="44"/>
      <x:c r="M93" s="44"/>
      <x:c r="N93" s="44"/>
      <x:c r="O93" s="44"/>
      <x:c r="P93" s="44"/>
      <x:c r="Q93" s="44"/>
      <x:c r="R93" s="44"/>
      <x:c r="S93" s="275"/>
      <x:c r="T93" s="44"/>
      <x:c r="U93" s="44"/>
    </x:row>
    <x:row r="94">
      <x:c r="A94" s="44"/>
      <x:c r="B94" s="44"/>
      <x:c r="C94" s="44"/>
      <x:c r="D94" s="44"/>
      <x:c r="E94" s="44"/>
      <x:c r="F94" s="44"/>
      <x:c r="G94" s="44"/>
      <x:c r="H94" s="44"/>
      <x:c r="I94" s="44"/>
      <x:c r="J94" s="44"/>
      <x:c r="K94" s="44"/>
      <x:c r="L94" s="44"/>
      <x:c r="M94" s="44"/>
      <x:c r="N94" s="44"/>
      <x:c r="O94" s="44"/>
      <x:c r="P94" s="44"/>
      <x:c r="Q94" s="44"/>
      <x:c r="R94" s="44"/>
      <x:c r="S94" s="275"/>
      <x:c r="T94" s="44"/>
      <x:c r="U94" s="44"/>
    </x:row>
    <x:row r="95">
      <x:c r="A95" s="44"/>
      <x:c r="B95" s="44"/>
      <x:c r="C95" s="44"/>
      <x:c r="D95" s="44"/>
      <x:c r="E95" s="44"/>
      <x:c r="F95" s="44"/>
      <x:c r="G95" s="44"/>
      <x:c r="H95" s="44"/>
      <x:c r="I95" s="44"/>
      <x:c r="J95" s="44"/>
      <x:c r="K95" s="44"/>
      <x:c r="L95" s="44"/>
      <x:c r="M95" s="44"/>
      <x:c r="N95" s="44"/>
      <x:c r="O95" s="44"/>
      <x:c r="P95" s="44"/>
      <x:c r="Q95" s="44"/>
      <x:c r="R95" s="44"/>
      <x:c r="S95" s="275"/>
      <x:c r="T95" s="44"/>
      <x:c r="U95" s="44"/>
    </x:row>
    <x:row r="96">
      <x:c r="A96" s="44"/>
      <x:c r="B96" s="44"/>
      <x:c r="C96" s="44"/>
      <x:c r="D96" s="44"/>
      <x:c r="E96" s="44"/>
      <x:c r="F96" s="44"/>
      <x:c r="G96" s="44"/>
      <x:c r="H96" s="44"/>
      <x:c r="I96" s="44"/>
      <x:c r="J96" s="44"/>
      <x:c r="K96" s="44"/>
      <x:c r="L96" s="44"/>
      <x:c r="M96" s="44"/>
      <x:c r="N96" s="44"/>
      <x:c r="O96" s="44"/>
      <x:c r="P96" s="44"/>
      <x:c r="Q96" s="44"/>
      <x:c r="R96" s="44"/>
      <x:c r="S96" s="275"/>
      <x:c r="T96" s="44"/>
      <x:c r="U96" s="44"/>
    </x:row>
    <x:row r="97">
      <x:c r="A97" s="44"/>
      <x:c r="B97" s="44"/>
      <x:c r="C97" s="44"/>
      <x:c r="D97" s="44"/>
      <x:c r="E97" s="44"/>
      <x:c r="F97" s="44"/>
      <x:c r="G97" s="44"/>
      <x:c r="H97" s="44"/>
      <x:c r="I97" s="44"/>
      <x:c r="J97" s="44"/>
      <x:c r="K97" s="44"/>
      <x:c r="L97" s="44"/>
      <x:c r="M97" s="44"/>
      <x:c r="N97" s="44"/>
      <x:c r="O97" s="44"/>
      <x:c r="P97" s="44"/>
      <x:c r="Q97" s="44"/>
      <x:c r="R97" s="44"/>
      <x:c r="S97" s="275"/>
      <x:c r="T97" s="44"/>
      <x:c r="U97" s="44"/>
    </x:row>
    <x:row r="98">
      <x:c r="A98" s="44"/>
      <x:c r="B98" s="44"/>
      <x:c r="C98" s="44"/>
      <x:c r="D98" s="44"/>
      <x:c r="E98" s="44"/>
      <x:c r="F98" s="44"/>
      <x:c r="G98" s="44"/>
      <x:c r="H98" s="44"/>
      <x:c r="I98" s="44"/>
      <x:c r="J98" s="44"/>
      <x:c r="K98" s="44"/>
      <x:c r="L98" s="44"/>
      <x:c r="M98" s="44"/>
      <x:c r="N98" s="44"/>
      <x:c r="O98" s="44"/>
      <x:c r="P98" s="44"/>
      <x:c r="Q98" s="44"/>
      <x:c r="R98" s="44"/>
      <x:c r="S98" s="275"/>
      <x:c r="T98" s="44"/>
      <x:c r="U98" s="44"/>
    </x:row>
    <x:row r="99">
      <x:c r="A99" s="44"/>
      <x:c r="B99" s="44"/>
      <x:c r="C99" s="44"/>
      <x:c r="D99" s="44"/>
      <x:c r="E99" s="44"/>
      <x:c r="F99" s="44"/>
      <x:c r="G99" s="44"/>
      <x:c r="H99" s="44"/>
      <x:c r="I99" s="44"/>
      <x:c r="J99" s="44"/>
      <x:c r="K99" s="44"/>
      <x:c r="L99" s="44"/>
      <x:c r="M99" s="44"/>
      <x:c r="N99" s="44"/>
      <x:c r="O99" s="44"/>
      <x:c r="P99" s="44"/>
      <x:c r="Q99" s="44"/>
      <x:c r="R99" s="44"/>
      <x:c r="S99" s="275"/>
      <x:c r="T99" s="44"/>
      <x:c r="U99" s="44"/>
    </x:row>
    <x:row r="100">
      <x:c r="A100" s="44"/>
      <x:c r="B100" s="44"/>
      <x:c r="C100" s="44"/>
      <x:c r="D100" s="44"/>
      <x:c r="E100" s="44"/>
      <x:c r="F100" s="44"/>
      <x:c r="G100" s="44"/>
      <x:c r="H100" s="44"/>
      <x:c r="I100" s="44"/>
      <x:c r="J100" s="44"/>
      <x:c r="K100" s="44"/>
      <x:c r="L100" s="44"/>
      <x:c r="M100" s="44"/>
      <x:c r="N100" s="44"/>
      <x:c r="O100" s="44"/>
      <x:c r="P100" s="44"/>
      <x:c r="Q100" s="44"/>
      <x:c r="R100" s="44"/>
      <x:c r="S100" s="275"/>
      <x:c r="T100" s="44"/>
      <x:c r="U100" s="44"/>
    </x:row>
    <x:row r="101">
      <x:c r="A101" s="44"/>
      <x:c r="B101" s="44"/>
      <x:c r="C101" s="44"/>
      <x:c r="D101" s="44"/>
      <x:c r="E101" s="44"/>
      <x:c r="F101" s="44"/>
      <x:c r="G101" s="44"/>
      <x:c r="H101" s="44"/>
      <x:c r="I101" s="44"/>
      <x:c r="J101" s="44"/>
      <x:c r="K101" s="44"/>
      <x:c r="L101" s="44"/>
      <x:c r="M101" s="44"/>
      <x:c r="N101" s="44"/>
      <x:c r="O101" s="44"/>
      <x:c r="P101" s="44"/>
      <x:c r="Q101" s="44"/>
      <x:c r="R101" s="44"/>
      <x:c r="S101" s="275"/>
      <x:c r="T101" s="44"/>
      <x:c r="U101" s="44"/>
    </x:row>
    <x:row r="102">
      <x:c r="A102" s="44"/>
      <x:c r="B102" s="44"/>
      <x:c r="C102" s="44"/>
      <x:c r="D102" s="44"/>
      <x:c r="E102" s="44"/>
      <x:c r="F102" s="44"/>
      <x:c r="G102" s="44"/>
      <x:c r="H102" s="44"/>
      <x:c r="I102" s="44"/>
      <x:c r="J102" s="44"/>
      <x:c r="K102" s="44"/>
      <x:c r="L102" s="44"/>
      <x:c r="M102" s="44"/>
      <x:c r="N102" s="44"/>
      <x:c r="O102" s="44"/>
      <x:c r="P102" s="44"/>
      <x:c r="Q102" s="44"/>
      <x:c r="R102" s="44"/>
      <x:c r="S102" s="275"/>
      <x:c r="T102" s="44"/>
      <x:c r="U102" s="44"/>
    </x:row>
    <x:row r="103">
      <x:c r="A103" s="44"/>
      <x:c r="B103" s="44"/>
      <x:c r="C103" s="44"/>
      <x:c r="D103" s="44"/>
      <x:c r="E103" s="44"/>
      <x:c r="F103" s="44"/>
      <x:c r="G103" s="44"/>
      <x:c r="H103" s="44"/>
      <x:c r="I103" s="44"/>
      <x:c r="J103" s="44"/>
      <x:c r="K103" s="44"/>
      <x:c r="L103" s="44"/>
      <x:c r="M103" s="44"/>
      <x:c r="N103" s="44"/>
      <x:c r="O103" s="44"/>
      <x:c r="P103" s="44"/>
      <x:c r="Q103" s="44"/>
      <x:c r="R103" s="44"/>
      <x:c r="S103" s="275"/>
      <x:c r="T103" s="44"/>
      <x:c r="U103" s="44"/>
    </x:row>
    <x:row r="104">
      <x:c r="A104" s="44"/>
      <x:c r="B104" s="44"/>
      <x:c r="C104" s="44"/>
      <x:c r="D104" s="44"/>
      <x:c r="E104" s="44"/>
      <x:c r="F104" s="44"/>
      <x:c r="G104" s="44"/>
      <x:c r="H104" s="44"/>
      <x:c r="I104" s="44"/>
      <x:c r="J104" s="44"/>
      <x:c r="K104" s="44"/>
      <x:c r="L104" s="44"/>
      <x:c r="M104" s="44"/>
      <x:c r="N104" s="44"/>
      <x:c r="O104" s="44"/>
      <x:c r="P104" s="44"/>
      <x:c r="Q104" s="44"/>
      <x:c r="R104" s="44"/>
      <x:c r="S104" s="275"/>
      <x:c r="T104" s="44"/>
      <x:c r="U104" s="44"/>
    </x:row>
    <x:row r="105">
      <x:c r="A105" s="44"/>
      <x:c r="B105" s="44"/>
      <x:c r="C105" s="44"/>
      <x:c r="D105" s="44"/>
      <x:c r="E105" s="44"/>
      <x:c r="F105" s="44"/>
      <x:c r="G105" s="44"/>
      <x:c r="H105" s="44"/>
      <x:c r="I105" s="44"/>
      <x:c r="J105" s="44"/>
      <x:c r="K105" s="44"/>
      <x:c r="L105" s="44"/>
      <x:c r="M105" s="44"/>
      <x:c r="N105" s="44"/>
      <x:c r="O105" s="44"/>
      <x:c r="P105" s="44"/>
      <x:c r="Q105" s="44"/>
      <x:c r="R105" s="44"/>
      <x:c r="S105" s="275"/>
      <x:c r="T105" s="44"/>
      <x:c r="U105" s="44"/>
    </x:row>
    <x:row r="106">
      <x:c r="A106" s="44"/>
      <x:c r="B106" s="44"/>
      <x:c r="C106" s="44"/>
      <x:c r="D106" s="44"/>
      <x:c r="E106" s="44"/>
      <x:c r="F106" s="44"/>
      <x:c r="G106" s="44"/>
      <x:c r="H106" s="44"/>
      <x:c r="I106" s="44"/>
      <x:c r="J106" s="44"/>
      <x:c r="K106" s="44"/>
      <x:c r="L106" s="44"/>
      <x:c r="M106" s="44"/>
      <x:c r="N106" s="44"/>
      <x:c r="O106" s="44"/>
      <x:c r="P106" s="44"/>
      <x:c r="Q106" s="44"/>
      <x:c r="R106" s="44"/>
      <x:c r="S106" s="275"/>
      <x:c r="T106" s="44"/>
      <x:c r="U106" s="44"/>
    </x:row>
    <x:row r="107">
      <x:c r="A107" s="44"/>
      <x:c r="B107" s="44"/>
      <x:c r="C107" s="44"/>
      <x:c r="D107" s="44"/>
      <x:c r="E107" s="44"/>
      <x:c r="F107" s="44"/>
      <x:c r="G107" s="44"/>
      <x:c r="H107" s="44"/>
      <x:c r="I107" s="44"/>
      <x:c r="J107" s="44"/>
      <x:c r="K107" s="44"/>
      <x:c r="L107" s="44"/>
      <x:c r="M107" s="44"/>
      <x:c r="N107" s="44"/>
      <x:c r="O107" s="44"/>
      <x:c r="P107" s="44"/>
      <x:c r="Q107" s="44"/>
      <x:c r="R107" s="44"/>
      <x:c r="S107" s="275"/>
      <x:c r="T107" s="44"/>
      <x:c r="U107" s="44"/>
    </x:row>
    <x:row r="108">
      <x:c r="A108" s="44"/>
      <x:c r="B108" s="44"/>
      <x:c r="C108" s="44"/>
      <x:c r="D108" s="44"/>
      <x:c r="E108" s="44"/>
      <x:c r="F108" s="44"/>
      <x:c r="G108" s="44"/>
      <x:c r="H108" s="44"/>
      <x:c r="I108" s="44"/>
      <x:c r="J108" s="44"/>
      <x:c r="K108" s="44"/>
      <x:c r="L108" s="44"/>
      <x:c r="M108" s="44"/>
      <x:c r="N108" s="44"/>
      <x:c r="O108" s="44"/>
      <x:c r="P108" s="44"/>
      <x:c r="Q108" s="44"/>
      <x:c r="R108" s="44"/>
      <x:c r="S108" s="275"/>
      <x:c r="T108" s="44"/>
      <x:c r="U108" s="44"/>
    </x:row>
    <x:row r="109">
      <x:c r="A109" s="44"/>
      <x:c r="B109" s="44"/>
      <x:c r="C109" s="44"/>
      <x:c r="D109" s="44"/>
      <x:c r="E109" s="44"/>
      <x:c r="F109" s="44"/>
      <x:c r="G109" s="44"/>
      <x:c r="H109" s="44"/>
      <x:c r="I109" s="44"/>
      <x:c r="J109" s="44"/>
      <x:c r="K109" s="44"/>
      <x:c r="L109" s="44"/>
      <x:c r="M109" s="44"/>
      <x:c r="N109" s="44"/>
      <x:c r="O109" s="44"/>
      <x:c r="P109" s="44"/>
      <x:c r="Q109" s="44"/>
      <x:c r="R109" s="44"/>
      <x:c r="S109" s="275"/>
      <x:c r="T109" s="44"/>
      <x:c r="U109" s="44"/>
    </x:row>
    <x:row r="110">
      <x:c r="A110" s="44"/>
      <x:c r="B110" s="44"/>
      <x:c r="C110" s="44"/>
      <x:c r="D110" s="44"/>
      <x:c r="E110" s="44"/>
      <x:c r="F110" s="44"/>
      <x:c r="G110" s="44"/>
      <x:c r="H110" s="44"/>
      <x:c r="I110" s="44"/>
      <x:c r="J110" s="44"/>
      <x:c r="K110" s="44"/>
      <x:c r="L110" s="44"/>
      <x:c r="M110" s="44"/>
      <x:c r="N110" s="44"/>
      <x:c r="O110" s="44"/>
      <x:c r="P110" s="44"/>
      <x:c r="Q110" s="44"/>
      <x:c r="R110" s="44"/>
      <x:c r="S110" s="275"/>
      <x:c r="T110" s="44"/>
      <x:c r="U110" s="44"/>
    </x:row>
    <x:row r="111">
      <x:c r="A111" s="44"/>
      <x:c r="B111" s="44"/>
      <x:c r="C111" s="44"/>
      <x:c r="D111" s="44"/>
      <x:c r="E111" s="44"/>
      <x:c r="F111" s="44"/>
      <x:c r="G111" s="44"/>
      <x:c r="H111" s="44"/>
      <x:c r="I111" s="44"/>
      <x:c r="J111" s="44"/>
      <x:c r="K111" s="44"/>
      <x:c r="L111" s="44"/>
      <x:c r="M111" s="44"/>
      <x:c r="N111" s="44"/>
      <x:c r="O111" s="44"/>
      <x:c r="P111" s="44"/>
      <x:c r="Q111" s="44"/>
      <x:c r="R111" s="44"/>
      <x:c r="S111" s="275"/>
      <x:c r="T111" s="44"/>
      <x:c r="U111" s="44"/>
    </x:row>
    <x:row r="112">
      <x:c r="A112" s="44"/>
      <x:c r="B112" s="44"/>
      <x:c r="C112" s="44"/>
      <x:c r="D112" s="44"/>
      <x:c r="E112" s="44"/>
      <x:c r="F112" s="44"/>
      <x:c r="G112" s="44"/>
      <x:c r="H112" s="44"/>
      <x:c r="I112" s="44"/>
      <x:c r="J112" s="44"/>
      <x:c r="K112" s="44"/>
      <x:c r="L112" s="44"/>
      <x:c r="M112" s="44"/>
      <x:c r="N112" s="44"/>
      <x:c r="O112" s="44"/>
      <x:c r="P112" s="44"/>
      <x:c r="Q112" s="44"/>
      <x:c r="R112" s="44"/>
      <x:c r="S112" s="275"/>
      <x:c r="T112" s="44"/>
      <x:c r="U112" s="44"/>
    </x:row>
    <x:row r="113">
      <x:c r="A113" s="44"/>
      <x:c r="B113" s="44"/>
      <x:c r="C113" s="44"/>
      <x:c r="D113" s="44"/>
      <x:c r="E113" s="44"/>
      <x:c r="F113" s="44"/>
      <x:c r="G113" s="44"/>
      <x:c r="H113" s="44"/>
      <x:c r="I113" s="44"/>
      <x:c r="J113" s="44"/>
      <x:c r="K113" s="44"/>
      <x:c r="L113" s="44"/>
      <x:c r="M113" s="44"/>
      <x:c r="N113" s="44"/>
      <x:c r="O113" s="44"/>
      <x:c r="P113" s="44"/>
      <x:c r="Q113" s="44"/>
      <x:c r="R113" s="44"/>
      <x:c r="S113" s="275"/>
      <x:c r="T113" s="44"/>
      <x:c r="U113" s="44"/>
    </x:row>
    <x:row r="114">
      <x:c r="A114" s="44"/>
      <x:c r="B114" s="44"/>
      <x:c r="C114" s="44"/>
      <x:c r="D114" s="44"/>
      <x:c r="E114" s="44"/>
      <x:c r="F114" s="44"/>
      <x:c r="G114" s="44"/>
      <x:c r="H114" s="44"/>
      <x:c r="I114" s="44"/>
      <x:c r="J114" s="44"/>
      <x:c r="K114" s="44"/>
      <x:c r="L114" s="44"/>
      <x:c r="M114" s="44"/>
      <x:c r="N114" s="44"/>
      <x:c r="O114" s="44"/>
      <x:c r="P114" s="44"/>
      <x:c r="Q114" s="44"/>
      <x:c r="R114" s="44"/>
      <x:c r="S114" s="275"/>
      <x:c r="T114" s="44"/>
      <x:c r="U114" s="44"/>
    </x:row>
    <x:row r="115">
      <x:c r="A115" s="44"/>
      <x:c r="B115" s="44"/>
      <x:c r="C115" s="44"/>
      <x:c r="D115" s="44"/>
      <x:c r="E115" s="44"/>
      <x:c r="F115" s="44"/>
      <x:c r="G115" s="44"/>
      <x:c r="H115" s="44"/>
      <x:c r="I115" s="44"/>
      <x:c r="J115" s="44"/>
      <x:c r="K115" s="44"/>
      <x:c r="L115" s="44"/>
      <x:c r="M115" s="44"/>
      <x:c r="N115" s="44"/>
      <x:c r="O115" s="44"/>
      <x:c r="P115" s="44"/>
      <x:c r="Q115" s="44"/>
      <x:c r="R115" s="44"/>
      <x:c r="S115" s="275"/>
      <x:c r="T115" s="44"/>
      <x:c r="U115" s="44"/>
    </x:row>
    <x:row r="116">
      <x:c r="A116" s="44"/>
      <x:c r="B116" s="44"/>
      <x:c r="C116" s="44"/>
      <x:c r="D116" s="44"/>
      <x:c r="E116" s="44"/>
      <x:c r="F116" s="44"/>
      <x:c r="G116" s="44"/>
      <x:c r="H116" s="44"/>
      <x:c r="I116" s="44"/>
      <x:c r="J116" s="44"/>
      <x:c r="K116" s="44"/>
      <x:c r="L116" s="44"/>
      <x:c r="M116" s="44"/>
      <x:c r="N116" s="44"/>
      <x:c r="O116" s="44"/>
      <x:c r="P116" s="44"/>
      <x:c r="Q116" s="44"/>
      <x:c r="R116" s="44"/>
      <x:c r="S116" s="275"/>
      <x:c r="T116" s="44"/>
      <x:c r="U116" s="44"/>
    </x:row>
    <x:row r="117">
      <x:c r="A117" s="44"/>
      <x:c r="B117" s="44"/>
      <x:c r="C117" s="44"/>
      <x:c r="D117" s="44"/>
      <x:c r="E117" s="44"/>
      <x:c r="F117" s="44"/>
      <x:c r="G117" s="44"/>
      <x:c r="H117" s="44"/>
      <x:c r="I117" s="44"/>
      <x:c r="J117" s="44"/>
      <x:c r="K117" s="44"/>
      <x:c r="L117" s="44"/>
      <x:c r="M117" s="44"/>
      <x:c r="N117" s="44"/>
      <x:c r="O117" s="44"/>
      <x:c r="P117" s="44"/>
      <x:c r="Q117" s="44"/>
      <x:c r="R117" s="44"/>
      <x:c r="S117" s="275"/>
      <x:c r="T117" s="44"/>
      <x:c r="U117" s="44"/>
    </x:row>
    <x:row r="118">
      <x:c r="A118" s="44"/>
      <x:c r="B118" s="44"/>
      <x:c r="C118" s="44"/>
      <x:c r="D118" s="44"/>
      <x:c r="E118" s="44"/>
      <x:c r="F118" s="44"/>
      <x:c r="G118" s="44"/>
      <x:c r="H118" s="44"/>
      <x:c r="I118" s="44"/>
      <x:c r="J118" s="44"/>
      <x:c r="K118" s="44"/>
      <x:c r="L118" s="44"/>
      <x:c r="M118" s="44"/>
      <x:c r="N118" s="44"/>
      <x:c r="O118" s="44"/>
      <x:c r="P118" s="44"/>
      <x:c r="Q118" s="44"/>
      <x:c r="R118" s="44"/>
      <x:c r="S118" s="275"/>
      <x:c r="T118" s="44"/>
      <x:c r="U118" s="44"/>
    </x:row>
    <x:row r="119">
      <x:c r="A119" s="44"/>
      <x:c r="B119" s="44"/>
      <x:c r="C119" s="44"/>
      <x:c r="D119" s="44"/>
      <x:c r="E119" s="44"/>
      <x:c r="F119" s="44"/>
      <x:c r="G119" s="44"/>
      <x:c r="H119" s="44"/>
      <x:c r="I119" s="44"/>
      <x:c r="J119" s="44"/>
      <x:c r="K119" s="44"/>
      <x:c r="L119" s="44"/>
      <x:c r="M119" s="44"/>
      <x:c r="N119" s="44"/>
      <x:c r="O119" s="44"/>
      <x:c r="P119" s="44"/>
      <x:c r="Q119" s="44"/>
      <x:c r="R119" s="44"/>
      <x:c r="S119" s="275"/>
      <x:c r="T119" s="44"/>
      <x:c r="U119" s="44"/>
    </x:row>
    <x:row r="120">
      <x:c r="A120" s="44"/>
      <x:c r="B120" s="44"/>
      <x:c r="C120" s="44"/>
      <x:c r="D120" s="44"/>
      <x:c r="E120" s="44"/>
      <x:c r="F120" s="44"/>
      <x:c r="G120" s="44"/>
      <x:c r="H120" s="44"/>
      <x:c r="I120" s="44"/>
      <x:c r="J120" s="44"/>
      <x:c r="K120" s="44"/>
      <x:c r="L120" s="44"/>
      <x:c r="M120" s="44"/>
      <x:c r="N120" s="44"/>
      <x:c r="O120" s="44"/>
      <x:c r="P120" s="44"/>
      <x:c r="Q120" s="44"/>
      <x:c r="R120" s="44"/>
      <x:c r="S120" s="275"/>
      <x:c r="T120" s="44"/>
      <x:c r="U120" s="44"/>
    </x:row>
    <x:row r="121">
      <x:c r="A121" s="44"/>
      <x:c r="B121" s="44"/>
      <x:c r="C121" s="44"/>
      <x:c r="D121" s="44"/>
      <x:c r="E121" s="44"/>
      <x:c r="F121" s="44"/>
      <x:c r="G121" s="44"/>
      <x:c r="H121" s="44"/>
      <x:c r="I121" s="44"/>
      <x:c r="J121" s="44"/>
      <x:c r="K121" s="44"/>
      <x:c r="L121" s="44"/>
      <x:c r="M121" s="44"/>
      <x:c r="N121" s="44"/>
      <x:c r="O121" s="44"/>
      <x:c r="P121" s="44"/>
      <x:c r="Q121" s="44"/>
      <x:c r="R121" s="44"/>
      <x:c r="S121" s="275"/>
      <x:c r="T121" s="44"/>
      <x:c r="U121" s="44"/>
    </x:row>
    <x:row r="122">
      <x:c r="A122" s="44"/>
      <x:c r="B122" s="44"/>
      <x:c r="C122" s="44"/>
      <x:c r="D122" s="44"/>
      <x:c r="E122" s="44"/>
      <x:c r="F122" s="44"/>
      <x:c r="G122" s="44"/>
      <x:c r="H122" s="44"/>
      <x:c r="I122" s="44"/>
      <x:c r="J122" s="44"/>
      <x:c r="K122" s="44"/>
      <x:c r="L122" s="44"/>
      <x:c r="M122" s="44"/>
      <x:c r="N122" s="44"/>
      <x:c r="O122" s="44"/>
      <x:c r="P122" s="44"/>
      <x:c r="Q122" s="44"/>
      <x:c r="R122" s="44"/>
      <x:c r="S122" s="275"/>
      <x:c r="T122" s="44"/>
      <x:c r="U122" s="44"/>
    </x:row>
    <x:row r="123">
      <x:c r="A123" s="44"/>
      <x:c r="B123" s="44"/>
      <x:c r="C123" s="44"/>
      <x:c r="D123" s="44"/>
      <x:c r="E123" s="44"/>
      <x:c r="F123" s="44"/>
      <x:c r="G123" s="44"/>
      <x:c r="H123" s="44"/>
      <x:c r="I123" s="44"/>
      <x:c r="J123" s="44"/>
      <x:c r="K123" s="44"/>
      <x:c r="L123" s="44"/>
      <x:c r="M123" s="44"/>
      <x:c r="N123" s="44"/>
      <x:c r="O123" s="44"/>
      <x:c r="P123" s="44"/>
      <x:c r="Q123" s="44"/>
      <x:c r="R123" s="44"/>
      <x:c r="S123" s="275"/>
      <x:c r="T123" s="44"/>
      <x:c r="U123" s="44"/>
    </x:row>
    <x:row r="124">
      <x:c r="A124" s="44"/>
      <x:c r="B124" s="44"/>
      <x:c r="C124" s="44"/>
      <x:c r="D124" s="44"/>
      <x:c r="E124" s="44"/>
      <x:c r="F124" s="44"/>
      <x:c r="G124" s="44"/>
      <x:c r="H124" s="44"/>
      <x:c r="I124" s="44"/>
      <x:c r="J124" s="44"/>
      <x:c r="K124" s="44"/>
      <x:c r="L124" s="44"/>
      <x:c r="M124" s="44"/>
      <x:c r="N124" s="44"/>
      <x:c r="O124" s="44"/>
      <x:c r="P124" s="44"/>
      <x:c r="Q124" s="44"/>
      <x:c r="R124" s="44"/>
      <x:c r="S124" s="275"/>
      <x:c r="T124" s="44"/>
      <x:c r="U124" s="44"/>
    </x:row>
    <x:row r="125">
      <x:c r="A125" s="44"/>
      <x:c r="B125" s="44"/>
      <x:c r="C125" s="44"/>
      <x:c r="D125" s="44"/>
      <x:c r="E125" s="44"/>
      <x:c r="F125" s="44"/>
      <x:c r="G125" s="44"/>
      <x:c r="H125" s="44"/>
      <x:c r="I125" s="44"/>
      <x:c r="J125" s="44"/>
      <x:c r="K125" s="44"/>
      <x:c r="L125" s="44"/>
      <x:c r="M125" s="44"/>
      <x:c r="N125" s="44"/>
      <x:c r="O125" s="44"/>
      <x:c r="P125" s="44"/>
      <x:c r="Q125" s="44"/>
      <x:c r="R125" s="44"/>
      <x:c r="S125" s="275"/>
      <x:c r="T125" s="44"/>
      <x:c r="U125" s="44"/>
    </x:row>
    <x:row r="126">
      <x:c r="A126" s="44"/>
      <x:c r="B126" s="44"/>
      <x:c r="C126" s="44"/>
      <x:c r="D126" s="44"/>
      <x:c r="E126" s="44"/>
      <x:c r="F126" s="44"/>
      <x:c r="G126" s="44"/>
      <x:c r="H126" s="44"/>
      <x:c r="I126" s="44"/>
      <x:c r="J126" s="44"/>
      <x:c r="K126" s="44"/>
      <x:c r="L126" s="44"/>
      <x:c r="M126" s="44"/>
      <x:c r="N126" s="44"/>
      <x:c r="O126" s="44"/>
      <x:c r="P126" s="44"/>
      <x:c r="Q126" s="44"/>
      <x:c r="R126" s="44"/>
      <x:c r="S126" s="275"/>
      <x:c r="T126" s="44"/>
      <x:c r="U126" s="44"/>
    </x:row>
    <x:row r="127">
      <x:c r="A127" s="44"/>
      <x:c r="B127" s="44"/>
      <x:c r="C127" s="44"/>
      <x:c r="D127" s="44"/>
      <x:c r="E127" s="44"/>
      <x:c r="F127" s="44"/>
      <x:c r="G127" s="44"/>
      <x:c r="H127" s="44"/>
      <x:c r="I127" s="44"/>
      <x:c r="J127" s="44"/>
      <x:c r="K127" s="44"/>
      <x:c r="L127" s="44"/>
      <x:c r="M127" s="44"/>
      <x:c r="N127" s="44"/>
      <x:c r="O127" s="44"/>
      <x:c r="P127" s="44"/>
      <x:c r="Q127" s="44"/>
      <x:c r="R127" s="44"/>
      <x:c r="S127" s="275"/>
      <x:c r="T127" s="44"/>
      <x:c r="U127" s="44"/>
    </x:row>
    <x:row r="128">
      <x:c r="A128" s="44"/>
      <x:c r="B128" s="44"/>
      <x:c r="C128" s="44"/>
      <x:c r="D128" s="44"/>
      <x:c r="E128" s="44"/>
      <x:c r="F128" s="44"/>
      <x:c r="G128" s="44"/>
      <x:c r="H128" s="44"/>
      <x:c r="I128" s="44"/>
      <x:c r="J128" s="44"/>
      <x:c r="K128" s="44"/>
      <x:c r="L128" s="44"/>
      <x:c r="M128" s="44"/>
      <x:c r="N128" s="44"/>
      <x:c r="O128" s="44"/>
      <x:c r="P128" s="44"/>
      <x:c r="Q128" s="44"/>
      <x:c r="R128" s="44"/>
      <x:c r="S128" s="275"/>
      <x:c r="T128" s="44"/>
      <x:c r="U128" s="44"/>
    </x:row>
    <x:row r="129">
      <x:c r="A129" s="44"/>
      <x:c r="B129" s="44"/>
      <x:c r="C129" s="44"/>
      <x:c r="D129" s="44"/>
      <x:c r="E129" s="44"/>
      <x:c r="F129" s="44"/>
      <x:c r="G129" s="44"/>
      <x:c r="H129" s="44"/>
      <x:c r="I129" s="44"/>
      <x:c r="J129" s="44"/>
      <x:c r="K129" s="44"/>
      <x:c r="L129" s="44"/>
      <x:c r="M129" s="44"/>
      <x:c r="N129" s="44"/>
      <x:c r="O129" s="44"/>
      <x:c r="P129" s="44"/>
      <x:c r="Q129" s="44"/>
      <x:c r="R129" s="44"/>
      <x:c r="S129" s="275"/>
      <x:c r="T129" s="44"/>
      <x:c r="U129" s="44"/>
    </x:row>
    <x:row r="130">
      <x:c r="A130" s="44"/>
      <x:c r="B130" s="44"/>
      <x:c r="C130" s="44"/>
      <x:c r="D130" s="44"/>
      <x:c r="E130" s="44"/>
      <x:c r="F130" s="44"/>
      <x:c r="G130" s="44"/>
      <x:c r="H130" s="44"/>
      <x:c r="I130" s="44"/>
      <x:c r="J130" s="44"/>
      <x:c r="K130" s="44"/>
      <x:c r="L130" s="44"/>
      <x:c r="M130" s="44"/>
      <x:c r="N130" s="44"/>
      <x:c r="O130" s="44"/>
      <x:c r="P130" s="44"/>
      <x:c r="Q130" s="44"/>
      <x:c r="R130" s="44"/>
      <x:c r="S130" s="275"/>
      <x:c r="T130" s="44"/>
      <x:c r="U130" s="44"/>
    </x:row>
    <x:row r="131">
      <x:c r="A131" s="44"/>
      <x:c r="B131" s="44"/>
      <x:c r="C131" s="44"/>
      <x:c r="D131" s="44"/>
      <x:c r="E131" s="44"/>
      <x:c r="F131" s="44"/>
      <x:c r="G131" s="44"/>
      <x:c r="H131" s="44"/>
      <x:c r="I131" s="44"/>
      <x:c r="J131" s="44"/>
      <x:c r="K131" s="44"/>
      <x:c r="L131" s="44"/>
      <x:c r="M131" s="44"/>
      <x:c r="N131" s="44"/>
      <x:c r="O131" s="44"/>
      <x:c r="P131" s="44"/>
      <x:c r="Q131" s="44"/>
      <x:c r="R131" s="44"/>
      <x:c r="S131" s="275"/>
      <x:c r="T131" s="44"/>
      <x:c r="U131" s="44"/>
    </x:row>
    <x:row r="132">
      <x:c r="A132" s="44"/>
      <x:c r="B132" s="44"/>
      <x:c r="C132" s="44"/>
      <x:c r="D132" s="44"/>
      <x:c r="E132" s="44"/>
      <x:c r="F132" s="44"/>
      <x:c r="G132" s="44"/>
      <x:c r="H132" s="44"/>
      <x:c r="I132" s="44"/>
      <x:c r="J132" s="44"/>
      <x:c r="K132" s="44"/>
      <x:c r="L132" s="44"/>
      <x:c r="M132" s="44"/>
      <x:c r="N132" s="44"/>
      <x:c r="O132" s="44"/>
      <x:c r="P132" s="44"/>
      <x:c r="Q132" s="44"/>
      <x:c r="R132" s="44"/>
      <x:c r="S132" s="275"/>
      <x:c r="T132" s="44"/>
      <x:c r="U132" s="44"/>
    </x:row>
    <x:row r="133">
      <x:c r="A133" s="44"/>
      <x:c r="B133" s="44"/>
      <x:c r="C133" s="44"/>
      <x:c r="D133" s="44"/>
      <x:c r="E133" s="44"/>
      <x:c r="F133" s="44"/>
      <x:c r="G133" s="44"/>
      <x:c r="H133" s="44"/>
      <x:c r="I133" s="44"/>
      <x:c r="J133" s="44"/>
      <x:c r="K133" s="44"/>
      <x:c r="L133" s="44"/>
      <x:c r="M133" s="44"/>
      <x:c r="N133" s="44"/>
      <x:c r="O133" s="44"/>
      <x:c r="P133" s="44"/>
      <x:c r="Q133" s="44"/>
      <x:c r="R133" s="44"/>
      <x:c r="S133" s="275"/>
      <x:c r="T133" s="44"/>
      <x:c r="U133" s="44"/>
    </x:row>
    <x:row r="134">
      <x:c r="A134" s="44"/>
      <x:c r="B134" s="44"/>
      <x:c r="C134" s="44"/>
      <x:c r="D134" s="44"/>
      <x:c r="E134" s="44"/>
      <x:c r="F134" s="44"/>
      <x:c r="G134" s="44"/>
      <x:c r="H134" s="44"/>
      <x:c r="I134" s="44"/>
      <x:c r="J134" s="44"/>
      <x:c r="K134" s="44"/>
      <x:c r="L134" s="44"/>
      <x:c r="M134" s="44"/>
      <x:c r="N134" s="44"/>
      <x:c r="O134" s="44"/>
      <x:c r="P134" s="44"/>
      <x:c r="Q134" s="44"/>
      <x:c r="R134" s="44"/>
      <x:c r="S134" s="275"/>
      <x:c r="T134" s="44"/>
      <x:c r="U134" s="44"/>
    </x:row>
    <x:row r="135">
      <x:c r="A135" s="44"/>
      <x:c r="B135" s="44"/>
      <x:c r="C135" s="44"/>
      <x:c r="D135" s="44"/>
      <x:c r="E135" s="44"/>
      <x:c r="F135" s="44"/>
      <x:c r="G135" s="44"/>
      <x:c r="H135" s="44"/>
      <x:c r="I135" s="44"/>
      <x:c r="J135" s="44"/>
      <x:c r="K135" s="44"/>
      <x:c r="L135" s="44"/>
      <x:c r="M135" s="44"/>
      <x:c r="N135" s="44"/>
      <x:c r="O135" s="44"/>
      <x:c r="P135" s="44"/>
      <x:c r="Q135" s="44"/>
      <x:c r="R135" s="44"/>
      <x:c r="S135" s="275"/>
      <x:c r="T135" s="44"/>
      <x:c r="U135" s="44"/>
    </x:row>
    <x:row r="136">
      <x:c r="A136" s="44"/>
      <x:c r="B136" s="44"/>
      <x:c r="C136" s="44"/>
      <x:c r="D136" s="44"/>
      <x:c r="E136" s="44"/>
      <x:c r="F136" s="44"/>
      <x:c r="G136" s="44"/>
      <x:c r="H136" s="44"/>
      <x:c r="I136" s="44"/>
      <x:c r="J136" s="44"/>
      <x:c r="K136" s="44"/>
      <x:c r="L136" s="44"/>
      <x:c r="M136" s="44"/>
      <x:c r="N136" s="44"/>
      <x:c r="O136" s="44"/>
      <x:c r="P136" s="44"/>
      <x:c r="Q136" s="44"/>
      <x:c r="R136" s="44"/>
      <x:c r="S136" s="275"/>
      <x:c r="T136" s="44"/>
      <x:c r="U136" s="44"/>
    </x:row>
    <x:row r="137">
      <x:c r="A137" s="44"/>
      <x:c r="B137" s="44"/>
      <x:c r="C137" s="44"/>
      <x:c r="D137" s="44"/>
      <x:c r="E137" s="44"/>
      <x:c r="F137" s="44"/>
      <x:c r="G137" s="44"/>
      <x:c r="H137" s="44"/>
      <x:c r="I137" s="44"/>
      <x:c r="J137" s="44"/>
      <x:c r="K137" s="44"/>
      <x:c r="L137" s="44"/>
      <x:c r="M137" s="44"/>
      <x:c r="N137" s="44"/>
      <x:c r="O137" s="44"/>
      <x:c r="P137" s="44"/>
      <x:c r="Q137" s="44"/>
      <x:c r="R137" s="44"/>
      <x:c r="S137" s="275"/>
      <x:c r="T137" s="44"/>
      <x:c r="U137" s="44"/>
    </x:row>
    <x:row r="138">
      <x:c r="A138" s="44"/>
      <x:c r="B138" s="44"/>
      <x:c r="C138" s="44"/>
      <x:c r="D138" s="44"/>
      <x:c r="E138" s="44"/>
      <x:c r="F138" s="44"/>
      <x:c r="G138" s="44"/>
      <x:c r="H138" s="44"/>
      <x:c r="I138" s="44"/>
      <x:c r="J138" s="44"/>
      <x:c r="K138" s="44"/>
      <x:c r="L138" s="44"/>
      <x:c r="M138" s="44"/>
      <x:c r="N138" s="44"/>
      <x:c r="O138" s="44"/>
      <x:c r="P138" s="44"/>
      <x:c r="Q138" s="44"/>
      <x:c r="R138" s="44"/>
      <x:c r="S138" s="275"/>
      <x:c r="T138" s="44"/>
      <x:c r="U138" s="44"/>
    </x:row>
    <x:row r="139">
      <x:c r="A139" s="44"/>
      <x:c r="B139" s="44"/>
      <x:c r="C139" s="44"/>
      <x:c r="D139" s="44"/>
      <x:c r="E139" s="44"/>
      <x:c r="F139" s="44"/>
      <x:c r="G139" s="44"/>
      <x:c r="H139" s="44"/>
      <x:c r="I139" s="44"/>
      <x:c r="J139" s="44"/>
      <x:c r="K139" s="44"/>
      <x:c r="L139" s="44"/>
      <x:c r="M139" s="44"/>
      <x:c r="N139" s="44"/>
      <x:c r="O139" s="44"/>
      <x:c r="P139" s="44"/>
      <x:c r="Q139" s="44"/>
      <x:c r="R139" s="44"/>
      <x:c r="S139" s="275"/>
      <x:c r="T139" s="44"/>
      <x:c r="U139" s="44"/>
    </x:row>
    <x:row r="140">
      <x:c r="A140" s="44"/>
      <x:c r="B140" s="44"/>
      <x:c r="C140" s="44"/>
      <x:c r="D140" s="44"/>
      <x:c r="E140" s="44"/>
      <x:c r="F140" s="44"/>
      <x:c r="G140" s="44"/>
      <x:c r="H140" s="44"/>
      <x:c r="I140" s="44"/>
      <x:c r="J140" s="44"/>
      <x:c r="K140" s="44"/>
      <x:c r="L140" s="44"/>
      <x:c r="M140" s="44"/>
      <x:c r="N140" s="44"/>
      <x:c r="O140" s="44"/>
      <x:c r="P140" s="44"/>
      <x:c r="Q140" s="44"/>
      <x:c r="R140" s="44"/>
      <x:c r="S140" s="275"/>
      <x:c r="T140" s="44"/>
      <x:c r="U140" s="44"/>
    </x:row>
    <x:row r="141">
      <x:c r="A141" s="44"/>
      <x:c r="B141" s="44"/>
      <x:c r="C141" s="44"/>
      <x:c r="D141" s="44"/>
      <x:c r="E141" s="44"/>
      <x:c r="F141" s="44"/>
      <x:c r="G141" s="44"/>
      <x:c r="H141" s="44"/>
      <x:c r="I141" s="44"/>
      <x:c r="J141" s="44"/>
      <x:c r="K141" s="44"/>
      <x:c r="L141" s="44"/>
      <x:c r="M141" s="44"/>
      <x:c r="N141" s="44"/>
      <x:c r="O141" s="44"/>
      <x:c r="P141" s="44"/>
      <x:c r="Q141" s="44"/>
      <x:c r="R141" s="44"/>
      <x:c r="S141" s="275"/>
      <x:c r="T141" s="44"/>
      <x:c r="U141" s="44"/>
    </x:row>
    <x:row r="142">
      <x:c r="A142" s="44"/>
      <x:c r="B142" s="44"/>
      <x:c r="C142" s="44"/>
      <x:c r="D142" s="44"/>
      <x:c r="E142" s="44"/>
      <x:c r="F142" s="44"/>
      <x:c r="G142" s="44"/>
      <x:c r="H142" s="44"/>
      <x:c r="I142" s="44"/>
      <x:c r="J142" s="44"/>
      <x:c r="K142" s="44"/>
      <x:c r="L142" s="44"/>
      <x:c r="M142" s="44"/>
      <x:c r="N142" s="44"/>
      <x:c r="O142" s="44"/>
      <x:c r="P142" s="44"/>
      <x:c r="Q142" s="44"/>
      <x:c r="R142" s="44"/>
      <x:c r="S142" s="275"/>
      <x:c r="T142" s="44"/>
      <x:c r="U142" s="44"/>
    </x:row>
    <x:row r="143">
      <x:c r="A143" s="44"/>
      <x:c r="B143" s="44"/>
      <x:c r="C143" s="44"/>
      <x:c r="D143" s="44"/>
      <x:c r="E143" s="44"/>
      <x:c r="F143" s="44"/>
      <x:c r="G143" s="44"/>
      <x:c r="H143" s="44"/>
      <x:c r="I143" s="44"/>
      <x:c r="J143" s="44"/>
      <x:c r="K143" s="44"/>
      <x:c r="L143" s="44"/>
      <x:c r="M143" s="44"/>
      <x:c r="N143" s="44"/>
      <x:c r="O143" s="44"/>
      <x:c r="P143" s="44"/>
      <x:c r="Q143" s="44"/>
      <x:c r="R143" s="44"/>
      <x:c r="S143" s="275"/>
      <x:c r="T143" s="44"/>
      <x:c r="U143" s="44"/>
    </x:row>
    <x:row r="144">
      <x:c r="A144" s="44"/>
      <x:c r="B144" s="44"/>
      <x:c r="C144" s="44"/>
      <x:c r="D144" s="44"/>
      <x:c r="E144" s="44"/>
      <x:c r="F144" s="44"/>
      <x:c r="G144" s="44"/>
      <x:c r="H144" s="44"/>
      <x:c r="I144" s="44"/>
      <x:c r="J144" s="44"/>
      <x:c r="K144" s="44"/>
      <x:c r="L144" s="44"/>
      <x:c r="M144" s="44"/>
      <x:c r="N144" s="44"/>
      <x:c r="O144" s="44"/>
      <x:c r="P144" s="44"/>
      <x:c r="Q144" s="44"/>
      <x:c r="R144" s="44"/>
      <x:c r="S144" s="275"/>
      <x:c r="T144" s="44"/>
      <x:c r="U144" s="44"/>
    </x:row>
    <x:row r="145">
      <x:c r="A145" s="44"/>
      <x:c r="B145" s="44"/>
      <x:c r="C145" s="44"/>
      <x:c r="D145" s="44"/>
      <x:c r="E145" s="44"/>
      <x:c r="F145" s="44"/>
      <x:c r="G145" s="44"/>
      <x:c r="H145" s="44"/>
      <x:c r="I145" s="44"/>
      <x:c r="J145" s="44"/>
      <x:c r="K145" s="44"/>
      <x:c r="L145" s="44"/>
      <x:c r="M145" s="44"/>
      <x:c r="N145" s="44"/>
      <x:c r="O145" s="44"/>
      <x:c r="P145" s="44"/>
      <x:c r="Q145" s="44"/>
      <x:c r="R145" s="44"/>
      <x:c r="S145" s="275"/>
      <x:c r="T145" s="44"/>
      <x:c r="U145" s="44"/>
    </x:row>
    <x:row r="146">
      <x:c r="A146" s="44"/>
      <x:c r="B146" s="44"/>
      <x:c r="C146" s="44"/>
      <x:c r="D146" s="44"/>
      <x:c r="E146" s="44"/>
      <x:c r="F146" s="44"/>
      <x:c r="G146" s="44"/>
      <x:c r="H146" s="44"/>
      <x:c r="I146" s="44"/>
      <x:c r="J146" s="44"/>
      <x:c r="K146" s="44"/>
      <x:c r="L146" s="44"/>
      <x:c r="M146" s="44"/>
      <x:c r="N146" s="44"/>
      <x:c r="O146" s="44"/>
      <x:c r="P146" s="44"/>
      <x:c r="Q146" s="44"/>
      <x:c r="R146" s="44"/>
      <x:c r="S146" s="275"/>
      <x:c r="T146" s="44"/>
      <x:c r="U146" s="44"/>
    </x:row>
    <x:row r="147">
      <x:c r="A147" s="44"/>
      <x:c r="B147" s="44"/>
      <x:c r="C147" s="44"/>
      <x:c r="D147" s="44"/>
      <x:c r="E147" s="44"/>
      <x:c r="F147" s="44"/>
      <x:c r="G147" s="44"/>
      <x:c r="H147" s="44"/>
      <x:c r="I147" s="44"/>
      <x:c r="J147" s="44"/>
      <x:c r="K147" s="44"/>
      <x:c r="L147" s="44"/>
      <x:c r="M147" s="44"/>
      <x:c r="N147" s="44"/>
      <x:c r="O147" s="44"/>
      <x:c r="P147" s="44"/>
      <x:c r="Q147" s="44"/>
      <x:c r="R147" s="44"/>
      <x:c r="S147" s="275"/>
      <x:c r="T147" s="44"/>
      <x:c r="U147" s="44"/>
    </x:row>
    <x:row r="148">
      <x:c r="A148" s="44"/>
      <x:c r="B148" s="44"/>
      <x:c r="C148" s="44"/>
      <x:c r="D148" s="44"/>
      <x:c r="E148" s="44"/>
      <x:c r="F148" s="44"/>
      <x:c r="G148" s="44"/>
      <x:c r="H148" s="44"/>
      <x:c r="I148" s="44"/>
      <x:c r="J148" s="44"/>
      <x:c r="K148" s="44"/>
      <x:c r="L148" s="44"/>
      <x:c r="M148" s="44"/>
      <x:c r="N148" s="44"/>
      <x:c r="O148" s="44"/>
      <x:c r="P148" s="44"/>
      <x:c r="Q148" s="44"/>
      <x:c r="R148" s="44"/>
      <x:c r="S148" s="275"/>
      <x:c r="T148" s="44"/>
      <x:c r="U148" s="44"/>
    </x:row>
    <x:row r="149">
      <x:c r="A149" s="44"/>
      <x:c r="B149" s="44"/>
      <x:c r="C149" s="44"/>
      <x:c r="D149" s="44"/>
      <x:c r="E149" s="44"/>
      <x:c r="F149" s="44"/>
      <x:c r="G149" s="44"/>
      <x:c r="H149" s="44"/>
      <x:c r="I149" s="44"/>
      <x:c r="J149" s="44"/>
      <x:c r="K149" s="44"/>
      <x:c r="L149" s="44"/>
      <x:c r="M149" s="44"/>
      <x:c r="N149" s="44"/>
      <x:c r="O149" s="44"/>
      <x:c r="P149" s="44"/>
      <x:c r="Q149" s="44"/>
      <x:c r="R149" s="44"/>
      <x:c r="S149" s="275"/>
      <x:c r="T149" s="44"/>
      <x:c r="U149" s="44"/>
    </x:row>
    <x:row r="150">
      <x:c r="A150" s="44"/>
      <x:c r="B150" s="44"/>
      <x:c r="C150" s="44"/>
      <x:c r="D150" s="44"/>
      <x:c r="E150" s="44"/>
      <x:c r="F150" s="44"/>
      <x:c r="G150" s="44"/>
      <x:c r="H150" s="44"/>
      <x:c r="I150" s="44"/>
      <x:c r="J150" s="44"/>
      <x:c r="K150" s="44"/>
      <x:c r="L150" s="44"/>
      <x:c r="M150" s="44"/>
      <x:c r="N150" s="44"/>
      <x:c r="O150" s="44"/>
      <x:c r="P150" s="44"/>
      <x:c r="Q150" s="44"/>
      <x:c r="R150" s="44"/>
      <x:c r="S150" s="275"/>
      <x:c r="T150" s="44"/>
      <x:c r="U150" s="44"/>
    </x:row>
    <x:row r="151">
      <x:c r="A151" s="44"/>
      <x:c r="B151" s="44"/>
      <x:c r="C151" s="44"/>
      <x:c r="D151" s="44"/>
      <x:c r="E151" s="44"/>
      <x:c r="F151" s="44"/>
      <x:c r="G151" s="44"/>
      <x:c r="H151" s="44"/>
      <x:c r="I151" s="44"/>
      <x:c r="J151" s="44"/>
      <x:c r="K151" s="44"/>
      <x:c r="L151" s="44"/>
      <x:c r="M151" s="44"/>
      <x:c r="N151" s="44"/>
      <x:c r="O151" s="44"/>
      <x:c r="P151" s="44"/>
      <x:c r="Q151" s="44"/>
      <x:c r="R151" s="44"/>
      <x:c r="S151" s="275"/>
      <x:c r="T151" s="44"/>
      <x:c r="U151" s="44"/>
    </x:row>
    <x:row r="152">
      <x:c r="A152" s="44"/>
      <x:c r="B152" s="44"/>
      <x:c r="C152" s="44"/>
      <x:c r="D152" s="44"/>
      <x:c r="E152" s="44"/>
      <x:c r="F152" s="44"/>
      <x:c r="G152" s="44"/>
      <x:c r="H152" s="44"/>
      <x:c r="I152" s="44"/>
      <x:c r="J152" s="44"/>
      <x:c r="K152" s="44"/>
      <x:c r="L152" s="44"/>
      <x:c r="M152" s="44"/>
      <x:c r="N152" s="44"/>
      <x:c r="O152" s="44"/>
      <x:c r="P152" s="44"/>
      <x:c r="Q152" s="44"/>
      <x:c r="R152" s="44"/>
      <x:c r="S152" s="275"/>
      <x:c r="T152" s="44"/>
      <x:c r="U152" s="44"/>
    </x:row>
    <x:row r="153">
      <x:c r="A153" s="44"/>
      <x:c r="B153" s="44"/>
      <x:c r="C153" s="44"/>
      <x:c r="D153" s="44"/>
      <x:c r="E153" s="44"/>
      <x:c r="F153" s="44"/>
      <x:c r="G153" s="44"/>
      <x:c r="H153" s="44"/>
      <x:c r="I153" s="44"/>
      <x:c r="J153" s="44"/>
      <x:c r="K153" s="44"/>
      <x:c r="L153" s="44"/>
      <x:c r="M153" s="44"/>
      <x:c r="N153" s="44"/>
      <x:c r="O153" s="44"/>
      <x:c r="P153" s="44"/>
      <x:c r="Q153" s="44"/>
      <x:c r="R153" s="44"/>
      <x:c r="S153" s="275"/>
      <x:c r="T153" s="44"/>
      <x:c r="U153" s="44"/>
    </x:row>
    <x:row r="154">
      <x:c r="A154" s="44"/>
      <x:c r="B154" s="44"/>
      <x:c r="C154" s="44"/>
      <x:c r="D154" s="44"/>
      <x:c r="E154" s="44"/>
      <x:c r="F154" s="44"/>
      <x:c r="G154" s="44"/>
      <x:c r="H154" s="44"/>
      <x:c r="I154" s="44"/>
      <x:c r="J154" s="44"/>
      <x:c r="K154" s="44"/>
      <x:c r="L154" s="44"/>
      <x:c r="M154" s="44"/>
      <x:c r="N154" s="44"/>
      <x:c r="O154" s="44"/>
      <x:c r="P154" s="44"/>
      <x:c r="Q154" s="44"/>
      <x:c r="R154" s="44"/>
      <x:c r="S154" s="275"/>
      <x:c r="T154" s="44"/>
      <x:c r="U154" s="44"/>
    </x:row>
    <x:row r="155">
      <x:c r="A155" s="44"/>
      <x:c r="B155" s="44"/>
      <x:c r="C155" s="44"/>
      <x:c r="D155" s="44"/>
      <x:c r="E155" s="44"/>
      <x:c r="F155" s="44"/>
      <x:c r="G155" s="44"/>
      <x:c r="H155" s="44"/>
      <x:c r="I155" s="44"/>
      <x:c r="J155" s="44"/>
      <x:c r="K155" s="44"/>
      <x:c r="L155" s="44"/>
      <x:c r="M155" s="44"/>
      <x:c r="N155" s="44"/>
      <x:c r="O155" s="44"/>
      <x:c r="P155" s="44"/>
      <x:c r="Q155" s="44"/>
      <x:c r="R155" s="44"/>
      <x:c r="S155" s="275"/>
      <x:c r="T155" s="44"/>
      <x:c r="U155" s="44"/>
    </x:row>
    <x:row r="156">
      <x:c r="A156" s="44"/>
      <x:c r="B156" s="44"/>
      <x:c r="C156" s="44"/>
      <x:c r="D156" s="44"/>
      <x:c r="E156" s="44"/>
      <x:c r="F156" s="44"/>
      <x:c r="G156" s="44"/>
      <x:c r="H156" s="44"/>
      <x:c r="I156" s="44"/>
      <x:c r="J156" s="44"/>
      <x:c r="K156" s="44"/>
      <x:c r="L156" s="44"/>
      <x:c r="M156" s="44"/>
      <x:c r="N156" s="44"/>
      <x:c r="O156" s="44"/>
      <x:c r="P156" s="44"/>
      <x:c r="Q156" s="44"/>
      <x:c r="R156" s="44"/>
      <x:c r="S156" s="275"/>
      <x:c r="T156" s="44"/>
      <x:c r="U156" s="44"/>
    </x:row>
    <x:row r="157">
      <x:c r="A157" s="44"/>
      <x:c r="B157" s="44"/>
      <x:c r="C157" s="44"/>
      <x:c r="D157" s="44"/>
      <x:c r="E157" s="44"/>
      <x:c r="F157" s="44"/>
      <x:c r="G157" s="44"/>
      <x:c r="H157" s="44"/>
      <x:c r="I157" s="44"/>
      <x:c r="J157" s="44"/>
      <x:c r="K157" s="44"/>
      <x:c r="L157" s="44"/>
      <x:c r="M157" s="44"/>
      <x:c r="N157" s="44"/>
      <x:c r="O157" s="44"/>
      <x:c r="P157" s="44"/>
      <x:c r="Q157" s="44"/>
      <x:c r="R157" s="44"/>
      <x:c r="S157" s="275"/>
      <x:c r="T157" s="44"/>
      <x:c r="U157" s="44"/>
    </x:row>
    <x:row r="158">
      <x:c r="A158" s="44"/>
      <x:c r="B158" s="44"/>
      <x:c r="C158" s="44"/>
      <x:c r="D158" s="44"/>
      <x:c r="E158" s="44"/>
      <x:c r="F158" s="44"/>
      <x:c r="G158" s="44"/>
      <x:c r="H158" s="44"/>
      <x:c r="I158" s="44"/>
      <x:c r="J158" s="44"/>
      <x:c r="K158" s="44"/>
      <x:c r="L158" s="44"/>
      <x:c r="M158" s="44"/>
      <x:c r="N158" s="44"/>
      <x:c r="O158" s="44"/>
      <x:c r="P158" s="44"/>
      <x:c r="Q158" s="44"/>
      <x:c r="R158" s="44"/>
      <x:c r="S158" s="275"/>
      <x:c r="T158" s="44"/>
      <x:c r="U158" s="44"/>
    </x:row>
    <x:row r="159">
      <x:c r="A159" s="44"/>
      <x:c r="B159" s="44"/>
      <x:c r="C159" s="44"/>
      <x:c r="D159" s="44"/>
      <x:c r="E159" s="44"/>
      <x:c r="F159" s="44"/>
      <x:c r="G159" s="44"/>
      <x:c r="H159" s="44"/>
      <x:c r="I159" s="44"/>
      <x:c r="J159" s="44"/>
      <x:c r="K159" s="44"/>
      <x:c r="L159" s="44"/>
      <x:c r="M159" s="44"/>
      <x:c r="N159" s="44"/>
      <x:c r="O159" s="44"/>
      <x:c r="P159" s="44"/>
      <x:c r="Q159" s="44"/>
      <x:c r="R159" s="44"/>
      <x:c r="S159" s="275"/>
      <x:c r="T159" s="44"/>
      <x:c r="U159" s="44"/>
    </x:row>
    <x:row r="160">
      <x:c r="A160" s="44"/>
      <x:c r="B160" s="44"/>
      <x:c r="C160" s="44"/>
      <x:c r="D160" s="44"/>
      <x:c r="E160" s="44"/>
      <x:c r="F160" s="44"/>
      <x:c r="G160" s="44"/>
      <x:c r="H160" s="44"/>
      <x:c r="I160" s="44"/>
      <x:c r="J160" s="44"/>
      <x:c r="K160" s="44"/>
      <x:c r="L160" s="44"/>
      <x:c r="M160" s="44"/>
      <x:c r="N160" s="44"/>
      <x:c r="O160" s="44"/>
      <x:c r="P160" s="44"/>
      <x:c r="Q160" s="44"/>
      <x:c r="R160" s="44"/>
      <x:c r="S160" s="275"/>
      <x:c r="T160" s="44"/>
      <x:c r="U160" s="44"/>
    </x:row>
    <x:row r="161">
      <x:c r="A161" s="44"/>
      <x:c r="B161" s="44"/>
      <x:c r="C161" s="44"/>
      <x:c r="D161" s="44"/>
      <x:c r="E161" s="44"/>
      <x:c r="F161" s="44"/>
      <x:c r="G161" s="44"/>
      <x:c r="H161" s="44"/>
      <x:c r="I161" s="44"/>
      <x:c r="J161" s="44"/>
      <x:c r="K161" s="44"/>
      <x:c r="L161" s="44"/>
      <x:c r="M161" s="44"/>
      <x:c r="N161" s="44"/>
      <x:c r="O161" s="44"/>
      <x:c r="P161" s="44"/>
      <x:c r="Q161" s="44"/>
      <x:c r="R161" s="44"/>
      <x:c r="S161" s="275"/>
      <x:c r="T161" s="44"/>
      <x:c r="U161" s="44"/>
    </x:row>
    <x:row r="162">
      <x:c r="A162" s="44"/>
      <x:c r="B162" s="44"/>
      <x:c r="C162" s="44"/>
      <x:c r="D162" s="44"/>
      <x:c r="E162" s="44"/>
      <x:c r="F162" s="44"/>
      <x:c r="G162" s="44"/>
      <x:c r="H162" s="44"/>
      <x:c r="I162" s="44"/>
      <x:c r="J162" s="44"/>
      <x:c r="K162" s="44"/>
      <x:c r="L162" s="44"/>
      <x:c r="M162" s="44"/>
      <x:c r="N162" s="44"/>
      <x:c r="O162" s="44"/>
      <x:c r="P162" s="44"/>
      <x:c r="Q162" s="44"/>
      <x:c r="R162" s="44"/>
      <x:c r="S162" s="275"/>
      <x:c r="T162" s="44"/>
      <x:c r="U162" s="44"/>
    </x:row>
    <x:row r="163">
      <x:c r="A163" s="44"/>
      <x:c r="B163" s="44"/>
      <x:c r="C163" s="44"/>
      <x:c r="D163" s="44"/>
      <x:c r="E163" s="44"/>
      <x:c r="F163" s="44"/>
      <x:c r="G163" s="44"/>
      <x:c r="H163" s="44"/>
      <x:c r="I163" s="44"/>
      <x:c r="J163" s="44"/>
      <x:c r="K163" s="44"/>
      <x:c r="L163" s="44"/>
      <x:c r="M163" s="44"/>
      <x:c r="N163" s="44"/>
      <x:c r="O163" s="44"/>
      <x:c r="P163" s="44"/>
      <x:c r="Q163" s="44"/>
      <x:c r="R163" s="44"/>
      <x:c r="S163" s="275"/>
      <x:c r="T163" s="44"/>
      <x:c r="U163" s="44"/>
    </x:row>
    <x:row r="164">
      <x:c r="A164" s="44"/>
      <x:c r="B164" s="44"/>
      <x:c r="C164" s="44"/>
      <x:c r="D164" s="44"/>
      <x:c r="E164" s="44"/>
      <x:c r="F164" s="44"/>
      <x:c r="G164" s="44"/>
      <x:c r="H164" s="44"/>
      <x:c r="I164" s="44"/>
      <x:c r="J164" s="44"/>
      <x:c r="K164" s="44"/>
      <x:c r="L164" s="44"/>
      <x:c r="M164" s="44"/>
      <x:c r="N164" s="44"/>
      <x:c r="O164" s="44"/>
      <x:c r="P164" s="44"/>
      <x:c r="Q164" s="44"/>
      <x:c r="R164" s="44"/>
      <x:c r="S164" s="275"/>
      <x:c r="T164" s="44"/>
      <x:c r="U164" s="44"/>
    </x:row>
    <x:row r="165">
      <x:c r="A165" s="44"/>
      <x:c r="B165" s="44"/>
      <x:c r="C165" s="44"/>
      <x:c r="D165" s="44"/>
      <x:c r="E165" s="44"/>
      <x:c r="F165" s="44"/>
      <x:c r="G165" s="44"/>
      <x:c r="H165" s="44"/>
      <x:c r="I165" s="44"/>
      <x:c r="J165" s="44"/>
      <x:c r="K165" s="44"/>
      <x:c r="L165" s="44"/>
      <x:c r="M165" s="44"/>
      <x:c r="N165" s="44"/>
      <x:c r="O165" s="44"/>
      <x:c r="P165" s="44"/>
      <x:c r="Q165" s="44"/>
      <x:c r="R165" s="44"/>
      <x:c r="S165" s="275"/>
      <x:c r="T165" s="44"/>
      <x:c r="U165" s="44"/>
    </x:row>
    <x:row r="166">
      <x:c r="A166" s="44"/>
      <x:c r="B166" s="44"/>
      <x:c r="C166" s="44"/>
      <x:c r="D166" s="44"/>
      <x:c r="E166" s="44"/>
      <x:c r="F166" s="44"/>
      <x:c r="G166" s="44"/>
      <x:c r="H166" s="44"/>
      <x:c r="I166" s="44"/>
      <x:c r="J166" s="44"/>
      <x:c r="K166" s="44"/>
      <x:c r="L166" s="44"/>
      <x:c r="M166" s="44"/>
      <x:c r="N166" s="44"/>
      <x:c r="O166" s="44"/>
      <x:c r="P166" s="44"/>
      <x:c r="Q166" s="44"/>
      <x:c r="R166" s="44"/>
      <x:c r="S166" s="275"/>
      <x:c r="T166" s="44"/>
      <x:c r="U166" s="44"/>
    </x:row>
    <x:row r="167">
      <x:c r="A167" s="44"/>
      <x:c r="B167" s="44"/>
      <x:c r="C167" s="44"/>
      <x:c r="D167" s="44"/>
      <x:c r="E167" s="44"/>
      <x:c r="F167" s="44"/>
      <x:c r="G167" s="44"/>
      <x:c r="H167" s="44"/>
      <x:c r="I167" s="44"/>
      <x:c r="J167" s="44"/>
      <x:c r="K167" s="44"/>
      <x:c r="L167" s="44"/>
      <x:c r="M167" s="44"/>
      <x:c r="N167" s="44"/>
      <x:c r="O167" s="44"/>
      <x:c r="P167" s="44"/>
      <x:c r="Q167" s="44"/>
      <x:c r="R167" s="44"/>
      <x:c r="S167" s="275"/>
      <x:c r="T167" s="44"/>
      <x:c r="U167" s="44"/>
    </x:row>
    <x:row r="168">
      <x:c r="A168" s="44"/>
      <x:c r="B168" s="44"/>
      <x:c r="C168" s="44"/>
      <x:c r="D168" s="44"/>
      <x:c r="E168" s="44"/>
      <x:c r="F168" s="44"/>
      <x:c r="G168" s="44"/>
      <x:c r="H168" s="44"/>
      <x:c r="I168" s="44"/>
      <x:c r="J168" s="44"/>
      <x:c r="K168" s="44"/>
      <x:c r="L168" s="44"/>
      <x:c r="M168" s="44"/>
      <x:c r="N168" s="44"/>
      <x:c r="O168" s="44"/>
      <x:c r="P168" s="44"/>
      <x:c r="Q168" s="44"/>
      <x:c r="R168" s="44"/>
      <x:c r="S168" s="275"/>
      <x:c r="T168" s="44"/>
      <x:c r="U168" s="44"/>
    </x:row>
    <x:row r="169">
      <x:c r="A169" s="44"/>
      <x:c r="B169" s="44"/>
      <x:c r="C169" s="44"/>
      <x:c r="D169" s="44"/>
      <x:c r="E169" s="44"/>
      <x:c r="F169" s="44"/>
      <x:c r="G169" s="44"/>
      <x:c r="H169" s="44"/>
      <x:c r="I169" s="44"/>
      <x:c r="J169" s="44"/>
      <x:c r="K169" s="44"/>
      <x:c r="L169" s="44"/>
      <x:c r="M169" s="44"/>
      <x:c r="N169" s="44"/>
      <x:c r="O169" s="44"/>
      <x:c r="P169" s="44"/>
      <x:c r="Q169" s="44"/>
      <x:c r="R169" s="44"/>
      <x:c r="S169" s="275"/>
      <x:c r="T169" s="44"/>
      <x:c r="U169" s="44"/>
    </x:row>
    <x:row r="170">
      <x:c r="A170" s="44"/>
      <x:c r="B170" s="44"/>
      <x:c r="C170" s="44"/>
      <x:c r="D170" s="44"/>
      <x:c r="E170" s="44"/>
      <x:c r="F170" s="44"/>
      <x:c r="G170" s="44"/>
      <x:c r="H170" s="44"/>
      <x:c r="I170" s="44"/>
      <x:c r="J170" s="44"/>
      <x:c r="K170" s="44"/>
      <x:c r="L170" s="44"/>
      <x:c r="M170" s="44"/>
      <x:c r="N170" s="44"/>
      <x:c r="O170" s="44"/>
      <x:c r="P170" s="44"/>
      <x:c r="Q170" s="44"/>
      <x:c r="R170" s="44"/>
      <x:c r="S170" s="275"/>
      <x:c r="T170" s="44"/>
      <x:c r="U170" s="44"/>
    </x:row>
    <x:row r="171">
      <x:c r="A171" s="44"/>
      <x:c r="B171" s="44"/>
      <x:c r="C171" s="44"/>
      <x:c r="D171" s="44"/>
      <x:c r="E171" s="44"/>
      <x:c r="F171" s="44"/>
      <x:c r="G171" s="44"/>
      <x:c r="H171" s="44"/>
      <x:c r="I171" s="44"/>
      <x:c r="J171" s="44"/>
      <x:c r="K171" s="44"/>
      <x:c r="L171" s="44"/>
      <x:c r="M171" s="44"/>
      <x:c r="N171" s="44"/>
      <x:c r="O171" s="44"/>
      <x:c r="P171" s="44"/>
      <x:c r="Q171" s="44"/>
      <x:c r="R171" s="44"/>
      <x:c r="S171" s="275"/>
      <x:c r="T171" s="44"/>
      <x:c r="U171" s="44"/>
    </x:row>
    <x:row r="172">
      <x:c r="A172" s="44"/>
      <x:c r="B172" s="44"/>
      <x:c r="C172" s="44"/>
      <x:c r="D172" s="44"/>
      <x:c r="E172" s="44"/>
      <x:c r="F172" s="44"/>
      <x:c r="G172" s="44"/>
      <x:c r="H172" s="44"/>
      <x:c r="I172" s="44"/>
      <x:c r="J172" s="44"/>
      <x:c r="K172" s="44"/>
      <x:c r="L172" s="44"/>
      <x:c r="M172" s="44"/>
      <x:c r="N172" s="44"/>
      <x:c r="O172" s="44"/>
      <x:c r="P172" s="44"/>
      <x:c r="Q172" s="44"/>
      <x:c r="R172" s="44"/>
      <x:c r="S172" s="275"/>
      <x:c r="T172" s="44"/>
      <x:c r="U172" s="44"/>
    </x:row>
    <x:row r="173">
      <x:c r="A173" s="44"/>
      <x:c r="B173" s="44"/>
      <x:c r="C173" s="44"/>
      <x:c r="D173" s="44"/>
      <x:c r="E173" s="44"/>
      <x:c r="F173" s="44"/>
      <x:c r="G173" s="44"/>
      <x:c r="H173" s="44"/>
      <x:c r="I173" s="44"/>
      <x:c r="J173" s="44"/>
      <x:c r="K173" s="44"/>
      <x:c r="L173" s="44"/>
      <x:c r="M173" s="44"/>
      <x:c r="N173" s="44"/>
      <x:c r="O173" s="44"/>
      <x:c r="P173" s="44"/>
      <x:c r="Q173" s="44"/>
      <x:c r="R173" s="44"/>
      <x:c r="S173" s="275"/>
      <x:c r="T173" s="44"/>
      <x:c r="U173" s="44"/>
    </x:row>
    <x:row r="174">
      <x:c r="A174" s="44"/>
      <x:c r="B174" s="44"/>
      <x:c r="C174" s="44"/>
      <x:c r="D174" s="44"/>
      <x:c r="E174" s="44"/>
      <x:c r="F174" s="44"/>
      <x:c r="G174" s="44"/>
      <x:c r="H174" s="44"/>
      <x:c r="I174" s="44"/>
      <x:c r="J174" s="44"/>
      <x:c r="K174" s="44"/>
      <x:c r="L174" s="44"/>
      <x:c r="M174" s="44"/>
      <x:c r="N174" s="44"/>
      <x:c r="O174" s="44"/>
      <x:c r="P174" s="44"/>
      <x:c r="Q174" s="44"/>
      <x:c r="R174" s="44"/>
      <x:c r="S174" s="275"/>
      <x:c r="T174" s="44"/>
      <x:c r="U174" s="44"/>
    </x:row>
    <x:row r="175">
      <x:c r="A175" s="44"/>
      <x:c r="B175" s="44"/>
      <x:c r="C175" s="44"/>
      <x:c r="D175" s="44"/>
      <x:c r="E175" s="44"/>
      <x:c r="F175" s="44"/>
      <x:c r="G175" s="44"/>
      <x:c r="H175" s="44"/>
      <x:c r="I175" s="44"/>
      <x:c r="J175" s="44"/>
      <x:c r="K175" s="44"/>
      <x:c r="L175" s="44"/>
      <x:c r="M175" s="44"/>
      <x:c r="N175" s="44"/>
      <x:c r="O175" s="44"/>
      <x:c r="P175" s="44"/>
      <x:c r="Q175" s="44"/>
      <x:c r="R175" s="44"/>
      <x:c r="S175" s="275"/>
      <x:c r="T175" s="44"/>
      <x:c r="U175" s="44"/>
    </x:row>
    <x:row r="176">
      <x:c r="A176" s="44"/>
      <x:c r="B176" s="44"/>
      <x:c r="C176" s="44"/>
      <x:c r="D176" s="44"/>
      <x:c r="E176" s="44"/>
      <x:c r="F176" s="44"/>
      <x:c r="G176" s="44"/>
      <x:c r="H176" s="44"/>
      <x:c r="I176" s="44"/>
      <x:c r="J176" s="44"/>
      <x:c r="K176" s="44"/>
      <x:c r="L176" s="44"/>
      <x:c r="M176" s="44"/>
      <x:c r="N176" s="44"/>
      <x:c r="O176" s="44"/>
      <x:c r="P176" s="44"/>
      <x:c r="Q176" s="44"/>
      <x:c r="R176" s="44"/>
      <x:c r="S176" s="275"/>
      <x:c r="T176" s="44"/>
      <x:c r="U176" s="44"/>
    </x:row>
    <x:row r="177">
      <x:c r="A177" s="44"/>
      <x:c r="B177" s="44"/>
      <x:c r="C177" s="44"/>
      <x:c r="D177" s="44"/>
      <x:c r="E177" s="44"/>
      <x:c r="F177" s="44"/>
      <x:c r="G177" s="44"/>
      <x:c r="H177" s="44"/>
      <x:c r="I177" s="44"/>
      <x:c r="J177" s="44"/>
      <x:c r="K177" s="44"/>
      <x:c r="L177" s="44"/>
      <x:c r="M177" s="44"/>
      <x:c r="N177" s="44"/>
      <x:c r="O177" s="44"/>
      <x:c r="P177" s="44"/>
      <x:c r="Q177" s="44"/>
      <x:c r="R177" s="44"/>
      <x:c r="S177" s="275"/>
      <x:c r="T177" s="44"/>
      <x:c r="U177" s="44"/>
    </x:row>
    <x:row r="178">
      <x:c r="A178" s="44"/>
      <x:c r="B178" s="44"/>
      <x:c r="C178" s="44"/>
      <x:c r="D178" s="44"/>
      <x:c r="E178" s="44"/>
      <x:c r="F178" s="44"/>
      <x:c r="G178" s="44"/>
      <x:c r="H178" s="44"/>
      <x:c r="I178" s="44"/>
      <x:c r="J178" s="44"/>
      <x:c r="K178" s="44"/>
      <x:c r="L178" s="44"/>
      <x:c r="M178" s="44"/>
      <x:c r="N178" s="44"/>
      <x:c r="O178" s="44"/>
      <x:c r="P178" s="44"/>
      <x:c r="Q178" s="44"/>
      <x:c r="R178" s="44"/>
      <x:c r="S178" s="275"/>
      <x:c r="T178" s="44"/>
      <x:c r="U178" s="44"/>
    </x:row>
    <x:row r="179">
      <x:c r="A179" s="44"/>
      <x:c r="B179" s="44"/>
      <x:c r="C179" s="44"/>
      <x:c r="D179" s="44"/>
      <x:c r="E179" s="44"/>
      <x:c r="F179" s="44"/>
      <x:c r="G179" s="44"/>
      <x:c r="H179" s="44"/>
      <x:c r="I179" s="44"/>
      <x:c r="J179" s="44"/>
      <x:c r="K179" s="44"/>
      <x:c r="L179" s="44"/>
      <x:c r="M179" s="44"/>
      <x:c r="N179" s="44"/>
      <x:c r="O179" s="44"/>
      <x:c r="P179" s="44"/>
      <x:c r="Q179" s="44"/>
      <x:c r="R179" s="44"/>
      <x:c r="S179" s="275"/>
      <x:c r="T179" s="44"/>
      <x:c r="U179" s="44"/>
    </x:row>
    <x:row r="180">
      <x:c r="A180" s="44"/>
      <x:c r="B180" s="44"/>
      <x:c r="C180" s="44"/>
      <x:c r="D180" s="44"/>
      <x:c r="E180" s="44"/>
      <x:c r="F180" s="44"/>
      <x:c r="G180" s="44"/>
      <x:c r="H180" s="44"/>
      <x:c r="I180" s="44"/>
      <x:c r="J180" s="44"/>
      <x:c r="K180" s="44"/>
      <x:c r="L180" s="44"/>
      <x:c r="M180" s="44"/>
      <x:c r="N180" s="44"/>
      <x:c r="O180" s="44"/>
      <x:c r="P180" s="44"/>
      <x:c r="Q180" s="44"/>
      <x:c r="R180" s="44"/>
      <x:c r="S180" s="275"/>
      <x:c r="T180" s="44"/>
      <x:c r="U180" s="44"/>
    </x:row>
    <x:row r="181">
      <x:c r="A181" s="44"/>
      <x:c r="B181" s="44"/>
      <x:c r="C181" s="44"/>
      <x:c r="D181" s="44"/>
      <x:c r="E181" s="44"/>
      <x:c r="F181" s="44"/>
      <x:c r="G181" s="44"/>
      <x:c r="H181" s="44"/>
      <x:c r="I181" s="44"/>
      <x:c r="J181" s="44"/>
      <x:c r="K181" s="44"/>
      <x:c r="L181" s="44"/>
      <x:c r="M181" s="44"/>
      <x:c r="N181" s="44"/>
      <x:c r="O181" s="44"/>
      <x:c r="P181" s="44"/>
      <x:c r="Q181" s="44"/>
      <x:c r="R181" s="44"/>
      <x:c r="S181" s="275"/>
      <x:c r="T181" s="44"/>
      <x:c r="U181" s="44"/>
    </x:row>
    <x:row r="182">
      <x:c r="A182" s="44"/>
      <x:c r="B182" s="44"/>
      <x:c r="C182" s="44"/>
      <x:c r="D182" s="44"/>
      <x:c r="E182" s="44"/>
      <x:c r="F182" s="44"/>
      <x:c r="G182" s="44"/>
      <x:c r="H182" s="44"/>
      <x:c r="I182" s="44"/>
      <x:c r="J182" s="44"/>
      <x:c r="K182" s="44"/>
      <x:c r="L182" s="44"/>
      <x:c r="M182" s="44"/>
      <x:c r="N182" s="44"/>
      <x:c r="O182" s="44"/>
      <x:c r="P182" s="44"/>
      <x:c r="Q182" s="44"/>
      <x:c r="R182" s="44"/>
      <x:c r="S182" s="275"/>
      <x:c r="T182" s="44"/>
      <x:c r="U182" s="44"/>
    </x:row>
    <x:row r="183">
      <x:c r="A183" s="44"/>
      <x:c r="B183" s="44"/>
      <x:c r="C183" s="44"/>
      <x:c r="D183" s="44"/>
      <x:c r="E183" s="44"/>
      <x:c r="F183" s="44"/>
      <x:c r="G183" s="44"/>
      <x:c r="H183" s="44"/>
      <x:c r="I183" s="44"/>
      <x:c r="J183" s="44"/>
      <x:c r="K183" s="44"/>
      <x:c r="L183" s="44"/>
      <x:c r="M183" s="44"/>
      <x:c r="N183" s="44"/>
      <x:c r="O183" s="44"/>
      <x:c r="P183" s="44"/>
      <x:c r="Q183" s="44"/>
      <x:c r="R183" s="44"/>
      <x:c r="S183" s="275"/>
      <x:c r="T183" s="44"/>
      <x:c r="U183" s="44"/>
    </x:row>
    <x:row r="184">
      <x:c r="A184" s="44"/>
      <x:c r="B184" s="44"/>
      <x:c r="C184" s="44"/>
      <x:c r="D184" s="44"/>
      <x:c r="E184" s="44"/>
      <x:c r="F184" s="44"/>
      <x:c r="G184" s="44"/>
      <x:c r="H184" s="44"/>
      <x:c r="I184" s="44"/>
      <x:c r="J184" s="44"/>
      <x:c r="K184" s="44"/>
      <x:c r="L184" s="44"/>
      <x:c r="M184" s="44"/>
      <x:c r="N184" s="44"/>
      <x:c r="O184" s="44"/>
      <x:c r="P184" s="44"/>
      <x:c r="Q184" s="44"/>
      <x:c r="R184" s="44"/>
      <x:c r="S184" s="275"/>
      <x:c r="T184" s="44"/>
      <x:c r="U184" s="44"/>
    </x:row>
    <x:row r="185">
      <x:c r="A185" s="44"/>
      <x:c r="B185" s="44"/>
      <x:c r="C185" s="44"/>
      <x:c r="D185" s="44"/>
      <x:c r="E185" s="44"/>
      <x:c r="F185" s="44"/>
      <x:c r="G185" s="44"/>
      <x:c r="H185" s="44"/>
      <x:c r="I185" s="44"/>
      <x:c r="J185" s="44"/>
      <x:c r="K185" s="44"/>
      <x:c r="L185" s="44"/>
      <x:c r="M185" s="44"/>
      <x:c r="N185" s="44"/>
      <x:c r="O185" s="44"/>
      <x:c r="P185" s="44"/>
      <x:c r="Q185" s="44"/>
      <x:c r="R185" s="44"/>
      <x:c r="S185" s="275"/>
      <x:c r="T185" s="44"/>
      <x:c r="U185" s="44"/>
    </x:row>
    <x:row r="186">
      <x:c r="A186" s="44"/>
      <x:c r="B186" s="44"/>
      <x:c r="C186" s="44"/>
      <x:c r="D186" s="44"/>
      <x:c r="E186" s="44"/>
      <x:c r="F186" s="44"/>
      <x:c r="G186" s="44"/>
      <x:c r="H186" s="44"/>
      <x:c r="I186" s="44"/>
      <x:c r="J186" s="44"/>
      <x:c r="K186" s="44"/>
      <x:c r="L186" s="44"/>
      <x:c r="M186" s="44"/>
      <x:c r="N186" s="44"/>
      <x:c r="O186" s="44"/>
      <x:c r="P186" s="44"/>
      <x:c r="Q186" s="44"/>
      <x:c r="R186" s="44"/>
      <x:c r="S186" s="275"/>
      <x:c r="T186" s="44"/>
      <x:c r="U186" s="44"/>
    </x:row>
    <x:row r="187">
      <x:c r="A187" s="44"/>
      <x:c r="B187" s="44"/>
      <x:c r="C187" s="44"/>
      <x:c r="D187" s="44"/>
      <x:c r="E187" s="44"/>
      <x:c r="F187" s="44"/>
      <x:c r="G187" s="44"/>
      <x:c r="H187" s="44"/>
      <x:c r="I187" s="44"/>
      <x:c r="J187" s="44"/>
      <x:c r="K187" s="44"/>
      <x:c r="L187" s="44"/>
      <x:c r="M187" s="44"/>
      <x:c r="N187" s="44"/>
      <x:c r="O187" s="44"/>
      <x:c r="P187" s="44"/>
      <x:c r="Q187" s="44"/>
      <x:c r="R187" s="44"/>
      <x:c r="S187" s="275"/>
      <x:c r="T187" s="44"/>
      <x:c r="U187" s="44"/>
    </x:row>
    <x:row r="188">
      <x:c r="A188" s="44"/>
      <x:c r="B188" s="44"/>
      <x:c r="C188" s="44"/>
      <x:c r="D188" s="44"/>
      <x:c r="E188" s="44"/>
      <x:c r="F188" s="44"/>
      <x:c r="G188" s="44"/>
      <x:c r="H188" s="44"/>
      <x:c r="I188" s="44"/>
      <x:c r="J188" s="44"/>
      <x:c r="K188" s="44"/>
      <x:c r="L188" s="44"/>
      <x:c r="M188" s="44"/>
      <x:c r="N188" s="44"/>
      <x:c r="O188" s="44"/>
      <x:c r="P188" s="44"/>
      <x:c r="Q188" s="44"/>
      <x:c r="R188" s="44"/>
      <x:c r="S188" s="275"/>
      <x:c r="T188" s="44"/>
      <x:c r="U188" s="44"/>
    </x:row>
    <x:row r="189">
      <x:c r="A189" s="44"/>
      <x:c r="B189" s="44"/>
      <x:c r="C189" s="44"/>
      <x:c r="D189" s="44"/>
      <x:c r="E189" s="44"/>
      <x:c r="F189" s="44"/>
      <x:c r="G189" s="44"/>
      <x:c r="H189" s="44"/>
      <x:c r="I189" s="44"/>
      <x:c r="J189" s="44"/>
      <x:c r="K189" s="44"/>
      <x:c r="L189" s="44"/>
      <x:c r="M189" s="44"/>
      <x:c r="N189" s="44"/>
      <x:c r="O189" s="44"/>
      <x:c r="P189" s="44"/>
      <x:c r="Q189" s="44"/>
      <x:c r="R189" s="44"/>
      <x:c r="S189" s="275"/>
      <x:c r="T189" s="44"/>
      <x:c r="U189" s="44"/>
    </x:row>
    <x:row r="190">
      <x:c r="A190" s="44"/>
      <x:c r="B190" s="44"/>
      <x:c r="C190" s="44"/>
      <x:c r="D190" s="44"/>
      <x:c r="E190" s="44"/>
      <x:c r="F190" s="44"/>
      <x:c r="G190" s="44"/>
      <x:c r="H190" s="44"/>
      <x:c r="I190" s="44"/>
      <x:c r="J190" s="44"/>
      <x:c r="K190" s="44"/>
      <x:c r="L190" s="44"/>
      <x:c r="M190" s="44"/>
      <x:c r="N190" s="44"/>
      <x:c r="O190" s="44"/>
      <x:c r="P190" s="44"/>
      <x:c r="Q190" s="44"/>
      <x:c r="R190" s="44"/>
      <x:c r="S190" s="275"/>
      <x:c r="T190" s="44"/>
      <x:c r="U190" s="44"/>
    </x:row>
    <x:row r="191">
      <x:c r="A191" s="44"/>
      <x:c r="B191" s="44"/>
      <x:c r="C191" s="44"/>
      <x:c r="D191" s="44"/>
      <x:c r="E191" s="44"/>
      <x:c r="F191" s="44"/>
      <x:c r="G191" s="44"/>
      <x:c r="H191" s="44"/>
      <x:c r="I191" s="44"/>
      <x:c r="J191" s="44"/>
      <x:c r="K191" s="44"/>
      <x:c r="L191" s="44"/>
      <x:c r="M191" s="44"/>
      <x:c r="N191" s="44"/>
      <x:c r="O191" s="44"/>
      <x:c r="P191" s="44"/>
      <x:c r="Q191" s="44"/>
      <x:c r="R191" s="44"/>
      <x:c r="S191" s="275"/>
      <x:c r="T191" s="44"/>
      <x:c r="U191" s="44"/>
    </x:row>
    <x:row r="192">
      <x:c r="A192" s="44"/>
      <x:c r="B192" s="44"/>
      <x:c r="C192" s="44"/>
      <x:c r="D192" s="44"/>
      <x:c r="E192" s="44"/>
      <x:c r="F192" s="44"/>
      <x:c r="G192" s="44"/>
      <x:c r="H192" s="44"/>
      <x:c r="I192" s="44"/>
      <x:c r="J192" s="44"/>
      <x:c r="K192" s="44"/>
      <x:c r="L192" s="44"/>
      <x:c r="M192" s="44"/>
      <x:c r="N192" s="44"/>
      <x:c r="O192" s="44"/>
      <x:c r="P192" s="44"/>
      <x:c r="Q192" s="44"/>
      <x:c r="R192" s="44"/>
      <x:c r="S192" s="275"/>
      <x:c r="T192" s="44"/>
      <x:c r="U192" s="44"/>
    </x:row>
    <x:row r="193">
      <x:c r="A193" s="44"/>
      <x:c r="B193" s="44"/>
      <x:c r="C193" s="44"/>
      <x:c r="D193" s="44"/>
      <x:c r="E193" s="44"/>
      <x:c r="F193" s="44"/>
      <x:c r="G193" s="44"/>
      <x:c r="H193" s="44"/>
      <x:c r="I193" s="44"/>
      <x:c r="J193" s="44"/>
      <x:c r="K193" s="44"/>
      <x:c r="L193" s="44"/>
      <x:c r="M193" s="44"/>
      <x:c r="N193" s="44"/>
      <x:c r="O193" s="44"/>
      <x:c r="P193" s="44"/>
      <x:c r="Q193" s="44"/>
      <x:c r="R193" s="44"/>
      <x:c r="S193" s="275"/>
      <x:c r="T193" s="44"/>
      <x:c r="U193" s="44"/>
    </x:row>
    <x:row r="194">
      <x:c r="A194" s="44"/>
      <x:c r="B194" s="44"/>
      <x:c r="C194" s="44"/>
      <x:c r="D194" s="44"/>
      <x:c r="E194" s="44"/>
      <x:c r="F194" s="44"/>
      <x:c r="G194" s="44"/>
      <x:c r="H194" s="44"/>
      <x:c r="I194" s="44"/>
      <x:c r="J194" s="44"/>
      <x:c r="K194" s="44"/>
      <x:c r="L194" s="44"/>
      <x:c r="M194" s="44"/>
      <x:c r="N194" s="44"/>
      <x:c r="O194" s="44"/>
      <x:c r="P194" s="44"/>
      <x:c r="Q194" s="44"/>
      <x:c r="R194" s="44"/>
      <x:c r="S194" s="275"/>
      <x:c r="T194" s="44"/>
      <x:c r="U194" s="44"/>
    </x:row>
    <x:row r="195">
      <x:c r="A195" s="44"/>
      <x:c r="B195" s="44"/>
      <x:c r="C195" s="44"/>
      <x:c r="D195" s="44"/>
      <x:c r="E195" s="44"/>
      <x:c r="F195" s="44"/>
      <x:c r="G195" s="44"/>
      <x:c r="H195" s="44"/>
      <x:c r="I195" s="44"/>
      <x:c r="J195" s="44"/>
      <x:c r="K195" s="44"/>
      <x:c r="L195" s="44"/>
      <x:c r="M195" s="44"/>
      <x:c r="N195" s="44"/>
      <x:c r="O195" s="44"/>
      <x:c r="P195" s="44"/>
      <x:c r="Q195" s="44"/>
      <x:c r="R195" s="44"/>
      <x:c r="S195" s="275"/>
      <x:c r="T195" s="44"/>
      <x:c r="U195" s="44"/>
    </x:row>
    <x:row r="196">
      <x:c r="A196" s="44"/>
      <x:c r="B196" s="44"/>
      <x:c r="C196" s="44"/>
      <x:c r="D196" s="44"/>
      <x:c r="E196" s="44"/>
      <x:c r="F196" s="44"/>
      <x:c r="G196" s="44"/>
      <x:c r="H196" s="44"/>
      <x:c r="I196" s="44"/>
      <x:c r="J196" s="44"/>
      <x:c r="K196" s="44"/>
      <x:c r="L196" s="44"/>
      <x:c r="M196" s="44"/>
      <x:c r="N196" s="44"/>
      <x:c r="O196" s="44"/>
      <x:c r="P196" s="44"/>
      <x:c r="Q196" s="44"/>
      <x:c r="R196" s="44"/>
      <x:c r="S196" s="275"/>
      <x:c r="T196" s="44"/>
      <x:c r="U196" s="44"/>
    </x:row>
    <x:row r="197">
      <x:c r="A197" s="44"/>
      <x:c r="B197" s="44"/>
      <x:c r="C197" s="44"/>
      <x:c r="D197" s="44"/>
      <x:c r="E197" s="44"/>
      <x:c r="F197" s="44"/>
      <x:c r="G197" s="44"/>
      <x:c r="H197" s="44"/>
      <x:c r="I197" s="44"/>
      <x:c r="J197" s="44"/>
      <x:c r="K197" s="44"/>
      <x:c r="L197" s="44"/>
      <x:c r="M197" s="44"/>
      <x:c r="N197" s="44"/>
      <x:c r="O197" s="44"/>
      <x:c r="P197" s="44"/>
      <x:c r="Q197" s="44"/>
      <x:c r="R197" s="44"/>
      <x:c r="S197" s="275"/>
      <x:c r="T197" s="44"/>
      <x:c r="U197" s="44"/>
    </x:row>
    <x:row r="198">
      <x:c r="A198" s="44"/>
      <x:c r="B198" s="44"/>
      <x:c r="C198" s="44"/>
      <x:c r="D198" s="44"/>
      <x:c r="E198" s="44"/>
      <x:c r="F198" s="44"/>
      <x:c r="G198" s="44"/>
      <x:c r="H198" s="44"/>
      <x:c r="I198" s="44"/>
      <x:c r="J198" s="44"/>
      <x:c r="K198" s="44"/>
      <x:c r="L198" s="44"/>
      <x:c r="M198" s="44"/>
      <x:c r="N198" s="44"/>
      <x:c r="O198" s="44"/>
      <x:c r="P198" s="44"/>
      <x:c r="Q198" s="44"/>
      <x:c r="R198" s="44"/>
      <x:c r="S198" s="275"/>
      <x:c r="T198" s="44"/>
      <x:c r="U198" s="44"/>
    </x:row>
    <x:row r="199">
      <x:c r="A199" s="44"/>
      <x:c r="B199" s="44"/>
      <x:c r="C199" s="44"/>
      <x:c r="D199" s="44"/>
      <x:c r="E199" s="44"/>
      <x:c r="F199" s="44"/>
      <x:c r="G199" s="44"/>
      <x:c r="H199" s="44"/>
      <x:c r="I199" s="44"/>
      <x:c r="J199" s="44"/>
      <x:c r="K199" s="44"/>
      <x:c r="L199" s="44"/>
      <x:c r="M199" s="44"/>
      <x:c r="N199" s="44"/>
      <x:c r="O199" s="44"/>
      <x:c r="P199" s="44"/>
      <x:c r="Q199" s="44"/>
      <x:c r="R199" s="44"/>
      <x:c r="S199" s="275"/>
      <x:c r="T199" s="44"/>
      <x:c r="U199" s="44"/>
    </x:row>
    <x:row r="200">
      <x:c r="A200" s="44"/>
      <x:c r="B200" s="44"/>
      <x:c r="C200" s="44"/>
      <x:c r="D200" s="44"/>
      <x:c r="E200" s="44"/>
      <x:c r="F200" s="44"/>
      <x:c r="G200" s="44"/>
      <x:c r="H200" s="44"/>
      <x:c r="I200" s="44"/>
      <x:c r="J200" s="44"/>
      <x:c r="K200" s="44"/>
      <x:c r="L200" s="44"/>
      <x:c r="M200" s="44"/>
      <x:c r="N200" s="44"/>
      <x:c r="O200" s="44"/>
      <x:c r="P200" s="44"/>
      <x:c r="Q200" s="44"/>
      <x:c r="R200" s="44"/>
      <x:c r="S200" s="275"/>
      <x:c r="T200" s="44"/>
      <x:c r="U200" s="44"/>
    </x:row>
    <x:row r="201">
      <x:c r="A201" s="44"/>
      <x:c r="B201" s="44"/>
      <x:c r="C201" s="44"/>
      <x:c r="D201" s="44"/>
      <x:c r="E201" s="44"/>
      <x:c r="F201" s="44"/>
      <x:c r="G201" s="44"/>
      <x:c r="H201" s="44"/>
      <x:c r="I201" s="44"/>
      <x:c r="J201" s="44"/>
      <x:c r="K201" s="44"/>
      <x:c r="L201" s="44"/>
      <x:c r="M201" s="44"/>
      <x:c r="N201" s="44"/>
      <x:c r="O201" s="44"/>
      <x:c r="P201" s="44"/>
      <x:c r="Q201" s="44"/>
      <x:c r="R201" s="44"/>
      <x:c r="S201" s="44"/>
      <x:c r="T201" s="44"/>
      <x:c r="U201" s="44"/>
    </x:row>
    <x:row r="202">
      <x:c r="A202" s="44"/>
      <x:c r="B202" s="44"/>
      <x:c r="C202" s="44"/>
      <x:c r="D202" s="44"/>
      <x:c r="E202" s="44"/>
      <x:c r="F202" s="44"/>
      <x:c r="G202" s="44"/>
      <x:c r="H202" s="44"/>
      <x:c r="I202" s="44"/>
      <x:c r="J202" s="44"/>
      <x:c r="K202" s="44"/>
      <x:c r="L202" s="44"/>
      <x:c r="M202" s="44"/>
      <x:c r="N202" s="44"/>
      <x:c r="O202" s="44"/>
      <x:c r="P202" s="44"/>
      <x:c r="Q202" s="44"/>
      <x:c r="R202" s="44"/>
      <x:c r="S202" s="44"/>
      <x:c r="T202" s="44"/>
      <x:c r="U202" s="44"/>
    </x:row>
    <x:row r="203">
      <x:c r="A203" s="44"/>
      <x:c r="B203" s="44"/>
      <x:c r="C203" s="44"/>
      <x:c r="D203" s="44"/>
      <x:c r="E203" s="44"/>
      <x:c r="F203" s="44"/>
      <x:c r="G203" s="44"/>
      <x:c r="H203" s="44"/>
      <x:c r="I203" s="44"/>
      <x:c r="J203" s="44"/>
      <x:c r="K203" s="44"/>
      <x:c r="L203" s="44"/>
      <x:c r="M203" s="44"/>
      <x:c r="N203" s="44"/>
      <x:c r="O203" s="44"/>
      <x:c r="P203" s="44"/>
      <x:c r="Q203" s="44"/>
      <x:c r="R203" s="44"/>
      <x:c r="S203" s="44"/>
      <x:c r="T203" s="44"/>
      <x:c r="U203" s="44"/>
    </x:row>
    <x:row r="204">
      <x:c r="A204" s="44"/>
      <x:c r="B204" s="44"/>
      <x:c r="C204" s="44"/>
      <x:c r="D204" s="44"/>
      <x:c r="E204" s="44"/>
      <x:c r="F204" s="44"/>
      <x:c r="G204" s="44"/>
      <x:c r="H204" s="44"/>
      <x:c r="I204" s="44"/>
      <x:c r="J204" s="44"/>
      <x:c r="K204" s="44"/>
      <x:c r="L204" s="44"/>
      <x:c r="M204" s="44"/>
      <x:c r="N204" s="44"/>
      <x:c r="O204" s="44"/>
      <x:c r="P204" s="44"/>
      <x:c r="Q204" s="44"/>
      <x:c r="R204" s="44"/>
      <x:c r="S204" s="44"/>
      <x:c r="T204" s="44"/>
      <x:c r="U204" s="44"/>
    </x:row>
    <x:row r="205">
      <x:c r="A205" s="44"/>
      <x:c r="B205" s="44"/>
      <x:c r="C205" s="44"/>
      <x:c r="D205" s="44"/>
      <x:c r="E205" s="44"/>
      <x:c r="F205" s="44"/>
      <x:c r="G205" s="44"/>
      <x:c r="H205" s="44"/>
      <x:c r="I205" s="44"/>
      <x:c r="J205" s="44"/>
      <x:c r="K205" s="44"/>
      <x:c r="L205" s="44"/>
      <x:c r="M205" s="44"/>
      <x:c r="N205" s="44"/>
      <x:c r="O205" s="44"/>
      <x:c r="P205" s="44"/>
      <x:c r="Q205" s="44"/>
      <x:c r="R205" s="44"/>
      <x:c r="S205" s="44"/>
      <x:c r="T205" s="44"/>
      <x:c r="U205" s="44"/>
    </x:row>
    <x:row r="206">
      <x:c r="A206" s="44"/>
      <x:c r="B206" s="44"/>
      <x:c r="C206" s="44"/>
      <x:c r="D206" s="44"/>
      <x:c r="E206" s="44"/>
      <x:c r="F206" s="44"/>
      <x:c r="G206" s="44"/>
      <x:c r="H206" s="44"/>
      <x:c r="I206" s="44"/>
      <x:c r="J206" s="44"/>
      <x:c r="K206" s="44"/>
      <x:c r="L206" s="44"/>
      <x:c r="M206" s="44"/>
      <x:c r="N206" s="44"/>
      <x:c r="O206" s="44"/>
      <x:c r="P206" s="44"/>
      <x:c r="Q206" s="44"/>
      <x:c r="R206" s="44"/>
      <x:c r="S206" s="44"/>
      <x:c r="T206" s="44"/>
      <x:c r="U206" s="44"/>
    </x:row>
    <x:row r="207">
      <x:c r="A207" s="44"/>
      <x:c r="B207" s="44"/>
      <x:c r="C207" s="44"/>
      <x:c r="D207" s="44"/>
      <x:c r="E207" s="44"/>
      <x:c r="F207" s="44"/>
      <x:c r="G207" s="44"/>
      <x:c r="H207" s="44"/>
      <x:c r="I207" s="44"/>
      <x:c r="J207" s="44"/>
      <x:c r="K207" s="44"/>
      <x:c r="L207" s="44"/>
      <x:c r="M207" s="44"/>
      <x:c r="N207" s="44"/>
      <x:c r="O207" s="44"/>
      <x:c r="P207" s="44"/>
      <x:c r="Q207" s="44"/>
      <x:c r="R207" s="44"/>
      <x:c r="S207" s="44"/>
      <x:c r="T207" s="44"/>
      <x:c r="U207" s="44"/>
    </x:row>
    <x:row r="208">
      <x:c r="A208" s="44"/>
      <x:c r="B208" s="44"/>
      <x:c r="C208" s="44"/>
      <x:c r="D208" s="44"/>
      <x:c r="E208" s="44"/>
      <x:c r="F208" s="44"/>
      <x:c r="G208" s="44"/>
      <x:c r="H208" s="44"/>
      <x:c r="I208" s="44"/>
      <x:c r="J208" s="44"/>
      <x:c r="K208" s="44"/>
      <x:c r="L208" s="44"/>
      <x:c r="M208" s="44"/>
      <x:c r="N208" s="44"/>
      <x:c r="O208" s="44"/>
      <x:c r="P208" s="44"/>
      <x:c r="Q208" s="44"/>
      <x:c r="R208" s="44"/>
      <x:c r="S208" s="44"/>
      <x:c r="T208" s="44"/>
      <x:c r="U208" s="44"/>
    </x:row>
    <x:row r="209">
      <x:c r="A209" s="44"/>
      <x:c r="B209" s="44"/>
      <x:c r="C209" s="44"/>
      <x:c r="D209" s="44"/>
      <x:c r="E209" s="44"/>
      <x:c r="F209" s="44"/>
      <x:c r="G209" s="44"/>
      <x:c r="H209" s="44"/>
      <x:c r="I209" s="44"/>
      <x:c r="J209" s="44"/>
      <x:c r="K209" s="44"/>
      <x:c r="L209" s="44"/>
      <x:c r="M209" s="44"/>
      <x:c r="N209" s="44"/>
      <x:c r="O209" s="44"/>
      <x:c r="P209" s="44"/>
      <x:c r="Q209" s="44"/>
      <x:c r="R209" s="44"/>
      <x:c r="S209" s="44"/>
      <x:c r="T209" s="44"/>
      <x:c r="U209" s="44"/>
    </x:row>
    <x:row r="210">
      <x:c r="A210" s="44"/>
      <x:c r="B210" s="44"/>
      <x:c r="C210" s="44"/>
      <x:c r="D210" s="44"/>
      <x:c r="E210" s="44"/>
      <x:c r="F210" s="44"/>
      <x:c r="G210" s="44"/>
      <x:c r="H210" s="44"/>
      <x:c r="I210" s="44"/>
      <x:c r="J210" s="44"/>
      <x:c r="K210" s="44"/>
      <x:c r="L210" s="44"/>
      <x:c r="M210" s="44"/>
      <x:c r="N210" s="44"/>
      <x:c r="O210" s="44"/>
      <x:c r="P210" s="44"/>
      <x:c r="Q210" s="44"/>
      <x:c r="R210" s="44"/>
      <x:c r="S210" s="44"/>
      <x:c r="T210" s="44"/>
      <x:c r="U210" s="44"/>
    </x:row>
    <x:row r="211">
      <x:c r="A211" s="44"/>
      <x:c r="B211" s="44"/>
      <x:c r="C211" s="44"/>
      <x:c r="D211" s="44"/>
      <x:c r="E211" s="44"/>
      <x:c r="F211" s="44"/>
      <x:c r="G211" s="44"/>
      <x:c r="H211" s="44"/>
      <x:c r="I211" s="44"/>
      <x:c r="J211" s="44"/>
      <x:c r="K211" s="44"/>
      <x:c r="L211" s="44"/>
      <x:c r="M211" s="44"/>
      <x:c r="N211" s="44"/>
      <x:c r="O211" s="44"/>
      <x:c r="P211" s="44"/>
      <x:c r="Q211" s="44"/>
      <x:c r="R211" s="44"/>
      <x:c r="S211" s="44"/>
      <x:c r="T211" s="44"/>
      <x:c r="U211" s="44"/>
    </x:row>
    <x:row r="212">
      <x:c r="A212" s="44"/>
      <x:c r="B212" s="44"/>
      <x:c r="C212" s="44"/>
      <x:c r="D212" s="44"/>
      <x:c r="E212" s="44"/>
      <x:c r="F212" s="44"/>
      <x:c r="G212" s="44"/>
      <x:c r="H212" s="44"/>
      <x:c r="I212" s="44"/>
      <x:c r="J212" s="44"/>
      <x:c r="K212" s="44"/>
      <x:c r="L212" s="44"/>
      <x:c r="M212" s="44"/>
      <x:c r="N212" s="44"/>
      <x:c r="O212" s="44"/>
      <x:c r="P212" s="44"/>
      <x:c r="Q212" s="44"/>
      <x:c r="R212" s="44"/>
      <x:c r="S212" s="44"/>
      <x:c r="T212" s="44"/>
      <x:c r="U212" s="44"/>
    </x:row>
    <x:row r="213">
      <x:c r="A213" s="44"/>
      <x:c r="B213" s="44"/>
      <x:c r="C213" s="44"/>
      <x:c r="D213" s="44"/>
      <x:c r="E213" s="44"/>
      <x:c r="F213" s="44"/>
      <x:c r="G213" s="44"/>
      <x:c r="H213" s="44"/>
      <x:c r="I213" s="44"/>
      <x:c r="J213" s="44"/>
      <x:c r="K213" s="44"/>
      <x:c r="L213" s="44"/>
      <x:c r="M213" s="44"/>
      <x:c r="N213" s="44"/>
      <x:c r="O213" s="44"/>
      <x:c r="P213" s="44"/>
      <x:c r="Q213" s="44"/>
      <x:c r="R213" s="44"/>
      <x:c r="S213" s="44"/>
      <x:c r="T213" s="44"/>
      <x:c r="U213" s="44"/>
    </x:row>
    <x:row r="214">
      <x:c r="A214" s="44"/>
      <x:c r="B214" s="44"/>
      <x:c r="C214" s="44"/>
      <x:c r="D214" s="44"/>
      <x:c r="E214" s="44"/>
      <x:c r="F214" s="44"/>
      <x:c r="G214" s="44"/>
      <x:c r="H214" s="44"/>
      <x:c r="I214" s="44"/>
      <x:c r="J214" s="44"/>
      <x:c r="K214" s="44"/>
      <x:c r="L214" s="44"/>
      <x:c r="M214" s="44"/>
      <x:c r="N214" s="44"/>
      <x:c r="O214" s="44"/>
      <x:c r="P214" s="44"/>
      <x:c r="Q214" s="44"/>
      <x:c r="R214" s="44"/>
      <x:c r="S214" s="44"/>
      <x:c r="T214" s="44"/>
      <x:c r="U214" s="44"/>
    </x:row>
    <x:row r="215">
      <x:c r="A215" s="44"/>
      <x:c r="B215" s="44"/>
      <x:c r="C215" s="44"/>
      <x:c r="D215" s="44"/>
      <x:c r="E215" s="44"/>
      <x:c r="F215" s="44"/>
      <x:c r="G215" s="44"/>
      <x:c r="H215" s="44"/>
      <x:c r="I215" s="44"/>
      <x:c r="J215" s="44"/>
      <x:c r="K215" s="44"/>
      <x:c r="L215" s="44"/>
      <x:c r="M215" s="44"/>
      <x:c r="N215" s="44"/>
      <x:c r="O215" s="44"/>
      <x:c r="P215" s="44"/>
      <x:c r="Q215" s="44"/>
      <x:c r="R215" s="44"/>
      <x:c r="S215" s="44"/>
      <x:c r="T215" s="44"/>
      <x:c r="U215" s="44"/>
    </x:row>
    <x:row r="216">
      <x:c r="A216" s="44"/>
      <x:c r="B216" s="44"/>
      <x:c r="C216" s="44"/>
      <x:c r="D216" s="44"/>
      <x:c r="E216" s="44"/>
      <x:c r="F216" s="44"/>
      <x:c r="G216" s="44"/>
      <x:c r="H216" s="44"/>
      <x:c r="I216" s="44"/>
      <x:c r="J216" s="44"/>
      <x:c r="K216" s="44"/>
      <x:c r="L216" s="44"/>
      <x:c r="M216" s="44"/>
      <x:c r="N216" s="44"/>
      <x:c r="O216" s="44"/>
      <x:c r="P216" s="44"/>
      <x:c r="Q216" s="44"/>
      <x:c r="R216" s="44"/>
      <x:c r="S216" s="44"/>
      <x:c r="T216" s="44"/>
      <x:c r="U216" s="44"/>
    </x:row>
    <x:row r="217">
      <x:c r="A217" s="44"/>
      <x:c r="B217" s="44"/>
      <x:c r="C217" s="44"/>
      <x:c r="D217" s="44"/>
      <x:c r="E217" s="44"/>
      <x:c r="F217" s="44"/>
      <x:c r="G217" s="44"/>
      <x:c r="H217" s="44"/>
      <x:c r="I217" s="44"/>
      <x:c r="J217" s="44"/>
      <x:c r="K217" s="44"/>
      <x:c r="L217" s="44"/>
      <x:c r="M217" s="44"/>
      <x:c r="N217" s="44"/>
      <x:c r="O217" s="44"/>
      <x:c r="P217" s="44"/>
      <x:c r="Q217" s="44"/>
      <x:c r="R217" s="44"/>
      <x:c r="S217" s="44"/>
      <x:c r="T217" s="44"/>
      <x:c r="U217" s="44"/>
    </x:row>
    <x:row r="218">
      <x:c r="A218" s="44"/>
      <x:c r="B218" s="44"/>
      <x:c r="C218" s="44"/>
      <x:c r="D218" s="44"/>
      <x:c r="E218" s="44"/>
      <x:c r="F218" s="44"/>
      <x:c r="G218" s="44"/>
      <x:c r="H218" s="44"/>
      <x:c r="I218" s="44"/>
      <x:c r="J218" s="44"/>
      <x:c r="K218" s="44"/>
      <x:c r="L218" s="44"/>
      <x:c r="M218" s="44"/>
      <x:c r="N218" s="44"/>
      <x:c r="O218" s="44"/>
      <x:c r="P218" s="44"/>
      <x:c r="Q218" s="44"/>
      <x:c r="R218" s="44"/>
      <x:c r="S218" s="44"/>
      <x:c r="T218" s="44"/>
      <x:c r="U218" s="44"/>
    </x:row>
    <x:row r="219">
      <x:c r="A219" s="44"/>
      <x:c r="B219" s="44"/>
      <x:c r="C219" s="44"/>
      <x:c r="D219" s="44"/>
      <x:c r="E219" s="44"/>
      <x:c r="F219" s="44"/>
      <x:c r="G219" s="44"/>
      <x:c r="H219" s="44"/>
      <x:c r="I219" s="44"/>
      <x:c r="J219" s="44"/>
      <x:c r="K219" s="44"/>
      <x:c r="L219" s="44"/>
      <x:c r="M219" s="44"/>
      <x:c r="N219" s="44"/>
      <x:c r="O219" s="44"/>
      <x:c r="P219" s="44"/>
      <x:c r="Q219" s="44"/>
      <x:c r="R219" s="44"/>
      <x:c r="S219" s="44"/>
      <x:c r="T219" s="44"/>
      <x:c r="U219" s="44"/>
    </x:row>
    <x:row r="220">
      <x:c r="A220" s="44"/>
      <x:c r="B220" s="44"/>
      <x:c r="C220" s="44"/>
      <x:c r="D220" s="44"/>
      <x:c r="E220" s="44"/>
      <x:c r="F220" s="44"/>
      <x:c r="G220" s="44"/>
      <x:c r="H220" s="44"/>
      <x:c r="I220" s="44"/>
      <x:c r="J220" s="44"/>
      <x:c r="K220" s="44"/>
      <x:c r="L220" s="44"/>
      <x:c r="M220" s="44"/>
      <x:c r="N220" s="44"/>
      <x:c r="O220" s="44"/>
      <x:c r="P220" s="44"/>
      <x:c r="Q220" s="44"/>
      <x:c r="R220" s="44"/>
      <x:c r="S220" s="44"/>
      <x:c r="T220" s="44"/>
      <x:c r="U220" s="44"/>
    </x:row>
    <x:row r="221">
      <x:c r="A221" s="44"/>
      <x:c r="B221" s="44"/>
      <x:c r="C221" s="44"/>
      <x:c r="D221" s="44"/>
      <x:c r="E221" s="44"/>
      <x:c r="F221" s="44"/>
      <x:c r="G221" s="44"/>
      <x:c r="H221" s="44"/>
      <x:c r="I221" s="44"/>
      <x:c r="J221" s="44"/>
      <x:c r="K221" s="44"/>
      <x:c r="L221" s="44"/>
      <x:c r="M221" s="44"/>
      <x:c r="N221" s="44"/>
      <x:c r="O221" s="44"/>
      <x:c r="P221" s="44"/>
      <x:c r="Q221" s="44"/>
      <x:c r="R221" s="44"/>
      <x:c r="S221" s="44"/>
      <x:c r="T221" s="44"/>
      <x:c r="U221" s="44"/>
    </x:row>
    <x:row r="222">
      <x:c r="A222" s="44"/>
      <x:c r="B222" s="44"/>
      <x:c r="C222" s="44"/>
      <x:c r="D222" s="44"/>
      <x:c r="E222" s="44"/>
      <x:c r="F222" s="44"/>
      <x:c r="G222" s="44"/>
      <x:c r="H222" s="44"/>
      <x:c r="I222" s="44"/>
      <x:c r="J222" s="44"/>
      <x:c r="K222" s="44"/>
      <x:c r="L222" s="44"/>
      <x:c r="M222" s="44"/>
      <x:c r="N222" s="44"/>
      <x:c r="O222" s="44"/>
      <x:c r="P222" s="44"/>
      <x:c r="Q222" s="44"/>
      <x:c r="R222" s="44"/>
      <x:c r="S222" s="44"/>
      <x:c r="T222" s="44"/>
      <x:c r="U222" s="44"/>
    </x:row>
    <x:row r="223">
      <x:c r="A223" s="44"/>
      <x:c r="B223" s="44"/>
      <x:c r="C223" s="44"/>
      <x:c r="D223" s="44"/>
      <x:c r="E223" s="44"/>
      <x:c r="F223" s="44"/>
      <x:c r="G223" s="44"/>
      <x:c r="H223" s="44"/>
      <x:c r="I223" s="44"/>
      <x:c r="J223" s="44"/>
      <x:c r="K223" s="44"/>
      <x:c r="L223" s="44"/>
      <x:c r="M223" s="44"/>
      <x:c r="N223" s="44"/>
      <x:c r="O223" s="44"/>
      <x:c r="P223" s="44"/>
      <x:c r="Q223" s="44"/>
      <x:c r="R223" s="44"/>
      <x:c r="S223" s="44"/>
      <x:c r="T223" s="44"/>
      <x:c r="U223" s="44"/>
    </x:row>
    <x:row r="224">
      <x:c r="A224" s="44"/>
      <x:c r="B224" s="44"/>
      <x:c r="C224" s="44"/>
      <x:c r="D224" s="44"/>
      <x:c r="E224" s="44"/>
      <x:c r="F224" s="44"/>
      <x:c r="G224" s="44"/>
      <x:c r="H224" s="44"/>
      <x:c r="I224" s="44"/>
      <x:c r="J224" s="44"/>
      <x:c r="K224" s="44"/>
      <x:c r="L224" s="44"/>
      <x:c r="M224" s="44"/>
      <x:c r="N224" s="44"/>
      <x:c r="O224" s="44"/>
      <x:c r="P224" s="44"/>
      <x:c r="Q224" s="44"/>
      <x:c r="R224" s="44"/>
      <x:c r="S224" s="44"/>
      <x:c r="T224" s="44"/>
      <x:c r="U224" s="44"/>
    </x:row>
    <x:row r="225">
      <x:c r="A225" s="44"/>
      <x:c r="B225" s="44"/>
      <x:c r="C225" s="44"/>
      <x:c r="D225" s="44"/>
      <x:c r="E225" s="44"/>
      <x:c r="F225" s="44"/>
      <x:c r="G225" s="44"/>
      <x:c r="H225" s="44"/>
      <x:c r="I225" s="44"/>
      <x:c r="J225" s="44"/>
      <x:c r="K225" s="44"/>
      <x:c r="L225" s="44"/>
      <x:c r="M225" s="44"/>
      <x:c r="N225" s="44"/>
      <x:c r="O225" s="44"/>
      <x:c r="P225" s="44"/>
      <x:c r="Q225" s="44"/>
      <x:c r="R225" s="44"/>
      <x:c r="S225" s="44"/>
      <x:c r="T225" s="44"/>
      <x:c r="U225" s="44"/>
    </x:row>
    <x:row r="226">
      <x:c r="A226" s="44"/>
      <x:c r="B226" s="44"/>
      <x:c r="C226" s="44"/>
      <x:c r="D226" s="44"/>
      <x:c r="E226" s="44"/>
      <x:c r="F226" s="44"/>
      <x:c r="G226" s="44"/>
      <x:c r="H226" s="44"/>
      <x:c r="I226" s="44"/>
      <x:c r="J226" s="44"/>
      <x:c r="K226" s="44"/>
      <x:c r="L226" s="44"/>
      <x:c r="M226" s="44"/>
      <x:c r="N226" s="44"/>
      <x:c r="O226" s="44"/>
      <x:c r="P226" s="44"/>
      <x:c r="Q226" s="44"/>
      <x:c r="R226" s="44"/>
      <x:c r="S226" s="44"/>
      <x:c r="T226" s="44"/>
      <x:c r="U226" s="44"/>
    </x:row>
    <x:row r="227">
      <x:c r="A227" s="44"/>
      <x:c r="B227" s="44"/>
      <x:c r="C227" s="44"/>
      <x:c r="D227" s="44"/>
      <x:c r="E227" s="44"/>
      <x:c r="F227" s="44"/>
      <x:c r="G227" s="44"/>
      <x:c r="H227" s="44"/>
      <x:c r="I227" s="44"/>
      <x:c r="J227" s="44"/>
      <x:c r="K227" s="44"/>
      <x:c r="L227" s="44"/>
      <x:c r="M227" s="44"/>
      <x:c r="N227" s="44"/>
      <x:c r="O227" s="44"/>
      <x:c r="P227" s="44"/>
      <x:c r="Q227" s="44"/>
      <x:c r="R227" s="44"/>
      <x:c r="S227" s="44"/>
      <x:c r="T227" s="44"/>
      <x:c r="U227" s="44"/>
    </x:row>
    <x:row r="228">
      <x:c r="A228" s="44"/>
      <x:c r="B228" s="44"/>
      <x:c r="C228" s="44"/>
      <x:c r="D228" s="44"/>
      <x:c r="E228" s="44"/>
      <x:c r="F228" s="44"/>
      <x:c r="G228" s="44"/>
      <x:c r="H228" s="44"/>
      <x:c r="I228" s="44"/>
      <x:c r="J228" s="44"/>
      <x:c r="K228" s="44"/>
      <x:c r="L228" s="44"/>
      <x:c r="M228" s="44"/>
      <x:c r="N228" s="44"/>
      <x:c r="O228" s="44"/>
      <x:c r="P228" s="44"/>
      <x:c r="Q228" s="44"/>
      <x:c r="R228" s="44"/>
      <x:c r="S228" s="44"/>
      <x:c r="T228" s="44"/>
      <x:c r="U228" s="44"/>
    </x:row>
    <x:row r="229">
      <x:c r="A229" s="44"/>
      <x:c r="B229" s="44"/>
      <x:c r="C229" s="44"/>
      <x:c r="D229" s="44"/>
      <x:c r="E229" s="44"/>
      <x:c r="F229" s="44"/>
      <x:c r="G229" s="44"/>
      <x:c r="H229" s="44"/>
      <x:c r="I229" s="44"/>
      <x:c r="J229" s="44"/>
      <x:c r="K229" s="44"/>
      <x:c r="L229" s="44"/>
      <x:c r="M229" s="44"/>
      <x:c r="N229" s="44"/>
      <x:c r="O229" s="44"/>
      <x:c r="P229" s="44"/>
      <x:c r="Q229" s="44"/>
      <x:c r="R229" s="44"/>
      <x:c r="S229" s="44"/>
      <x:c r="T229" s="44"/>
      <x:c r="U229" s="44"/>
    </x:row>
    <x:row r="230">
      <x:c r="A230" s="44"/>
      <x:c r="B230" s="44"/>
      <x:c r="C230" s="44"/>
      <x:c r="D230" s="44"/>
      <x:c r="E230" s="44"/>
      <x:c r="F230" s="44"/>
      <x:c r="G230" s="44"/>
      <x:c r="H230" s="44"/>
      <x:c r="I230" s="44"/>
      <x:c r="J230" s="44"/>
      <x:c r="K230" s="44"/>
      <x:c r="L230" s="44"/>
      <x:c r="M230" s="44"/>
      <x:c r="N230" s="44"/>
      <x:c r="O230" s="44"/>
      <x:c r="P230" s="44"/>
      <x:c r="Q230" s="44"/>
      <x:c r="R230" s="44"/>
      <x:c r="S230" s="44"/>
      <x:c r="T230" s="44"/>
      <x:c r="U230" s="44"/>
    </x:row>
    <x:row r="231">
      <x:c r="A231" s="44"/>
      <x:c r="B231" s="44"/>
      <x:c r="C231" s="44"/>
      <x:c r="D231" s="44"/>
      <x:c r="E231" s="44"/>
      <x:c r="F231" s="44"/>
      <x:c r="G231" s="44"/>
      <x:c r="H231" s="44"/>
      <x:c r="I231" s="44"/>
      <x:c r="J231" s="44"/>
      <x:c r="K231" s="44"/>
      <x:c r="L231" s="44"/>
      <x:c r="M231" s="44"/>
      <x:c r="N231" s="44"/>
      <x:c r="O231" s="44"/>
      <x:c r="P231" s="44"/>
      <x:c r="Q231" s="44"/>
      <x:c r="R231" s="44"/>
      <x:c r="S231" s="44"/>
      <x:c r="T231" s="44"/>
      <x:c r="U231" s="44"/>
    </x:row>
    <x:row r="232">
      <x:c r="A232" s="44"/>
      <x:c r="B232" s="44"/>
      <x:c r="C232" s="44"/>
      <x:c r="D232" s="44"/>
      <x:c r="E232" s="44"/>
      <x:c r="F232" s="44"/>
      <x:c r="G232" s="44"/>
      <x:c r="H232" s="44"/>
      <x:c r="I232" s="44"/>
      <x:c r="J232" s="44"/>
      <x:c r="K232" s="44"/>
      <x:c r="L232" s="44"/>
      <x:c r="M232" s="44"/>
      <x:c r="N232" s="44"/>
      <x:c r="O232" s="44"/>
      <x:c r="P232" s="44"/>
      <x:c r="Q232" s="44"/>
      <x:c r="R232" s="44"/>
      <x:c r="S232" s="44"/>
      <x:c r="T232" s="44"/>
      <x:c r="U232" s="44"/>
    </x:row>
    <x:row r="233">
      <x:c r="A233" s="44"/>
      <x:c r="B233" s="44"/>
      <x:c r="C233" s="44"/>
      <x:c r="D233" s="44"/>
      <x:c r="E233" s="44"/>
      <x:c r="F233" s="44"/>
      <x:c r="G233" s="44"/>
      <x:c r="H233" s="44"/>
      <x:c r="I233" s="44"/>
      <x:c r="J233" s="44"/>
      <x:c r="K233" s="44"/>
      <x:c r="L233" s="44"/>
      <x:c r="M233" s="44"/>
      <x:c r="N233" s="44"/>
      <x:c r="O233" s="44"/>
      <x:c r="P233" s="44"/>
      <x:c r="Q233" s="44"/>
      <x:c r="R233" s="44"/>
      <x:c r="S233" s="44"/>
      <x:c r="T233" s="44"/>
      <x:c r="U233" s="44"/>
    </x:row>
    <x:row r="234">
      <x:c r="A234" s="44"/>
      <x:c r="B234" s="44"/>
      <x:c r="C234" s="44"/>
      <x:c r="D234" s="44"/>
      <x:c r="E234" s="44"/>
      <x:c r="F234" s="44"/>
      <x:c r="G234" s="44"/>
      <x:c r="H234" s="44"/>
      <x:c r="I234" s="44"/>
      <x:c r="J234" s="44"/>
      <x:c r="K234" s="44"/>
      <x:c r="L234" s="44"/>
      <x:c r="M234" s="44"/>
      <x:c r="N234" s="44"/>
      <x:c r="O234" s="44"/>
      <x:c r="P234" s="44"/>
      <x:c r="Q234" s="44"/>
      <x:c r="R234" s="44"/>
      <x:c r="S234" s="44"/>
      <x:c r="T234" s="44"/>
      <x:c r="U234" s="44"/>
    </x:row>
    <x:row r="235">
      <x:c r="A235" s="44"/>
      <x:c r="B235" s="44"/>
      <x:c r="C235" s="44"/>
      <x:c r="D235" s="44"/>
      <x:c r="E235" s="44"/>
      <x:c r="F235" s="44"/>
      <x:c r="G235" s="44"/>
      <x:c r="H235" s="44"/>
      <x:c r="I235" s="44"/>
      <x:c r="J235" s="44"/>
      <x:c r="K235" s="44"/>
      <x:c r="L235" s="44"/>
      <x:c r="M235" s="44"/>
      <x:c r="N235" s="44"/>
      <x:c r="O235" s="44"/>
      <x:c r="P235" s="44"/>
      <x:c r="Q235" s="44"/>
      <x:c r="R235" s="44"/>
      <x:c r="S235" s="44"/>
      <x:c r="T235" s="44"/>
      <x:c r="U235" s="44"/>
    </x:row>
    <x:row r="236">
      <x:c r="A236" s="44"/>
      <x:c r="B236" s="44"/>
      <x:c r="C236" s="44"/>
      <x:c r="D236" s="44"/>
      <x:c r="E236" s="44"/>
      <x:c r="F236" s="44"/>
      <x:c r="G236" s="44"/>
      <x:c r="H236" s="44"/>
      <x:c r="I236" s="44"/>
      <x:c r="J236" s="44"/>
      <x:c r="K236" s="44"/>
      <x:c r="L236" s="44"/>
      <x:c r="M236" s="44"/>
      <x:c r="N236" s="44"/>
      <x:c r="O236" s="44"/>
      <x:c r="P236" s="44"/>
      <x:c r="Q236" s="44"/>
      <x:c r="R236" s="44"/>
      <x:c r="S236" s="44"/>
      <x:c r="T236" s="44"/>
      <x:c r="U236" s="44"/>
    </x:row>
    <x:row r="237">
      <x:c r="A237" s="44"/>
      <x:c r="B237" s="44"/>
      <x:c r="C237" s="44"/>
      <x:c r="D237" s="44"/>
      <x:c r="E237" s="44"/>
      <x:c r="F237" s="44"/>
      <x:c r="G237" s="44"/>
      <x:c r="H237" s="44"/>
      <x:c r="I237" s="44"/>
      <x:c r="J237" s="44"/>
      <x:c r="K237" s="44"/>
      <x:c r="L237" s="44"/>
      <x:c r="M237" s="44"/>
      <x:c r="N237" s="44"/>
      <x:c r="O237" s="44"/>
      <x:c r="P237" s="44"/>
      <x:c r="Q237" s="44"/>
      <x:c r="R237" s="44"/>
      <x:c r="S237" s="44"/>
      <x:c r="T237" s="44"/>
      <x:c r="U237" s="44"/>
    </x:row>
    <x:row r="238">
      <x:c r="A238" s="44"/>
      <x:c r="B238" s="44"/>
      <x:c r="C238" s="44"/>
      <x:c r="D238" s="44"/>
      <x:c r="E238" s="44"/>
      <x:c r="F238" s="44"/>
      <x:c r="G238" s="44"/>
      <x:c r="H238" s="44"/>
      <x:c r="I238" s="44"/>
      <x:c r="J238" s="44"/>
      <x:c r="K238" s="44"/>
      <x:c r="L238" s="44"/>
      <x:c r="M238" s="44"/>
      <x:c r="N238" s="44"/>
      <x:c r="O238" s="44"/>
      <x:c r="P238" s="44"/>
      <x:c r="Q238" s="44"/>
      <x:c r="R238" s="44"/>
      <x:c r="S238" s="44"/>
      <x:c r="T238" s="44"/>
      <x:c r="U238" s="44"/>
    </x:row>
    <x:row r="239">
      <x:c r="A239" s="44"/>
      <x:c r="B239" s="44"/>
      <x:c r="C239" s="44"/>
      <x:c r="D239" s="44"/>
      <x:c r="E239" s="44"/>
      <x:c r="F239" s="44"/>
      <x:c r="G239" s="44"/>
      <x:c r="H239" s="44"/>
      <x:c r="I239" s="44"/>
      <x:c r="J239" s="44"/>
      <x:c r="K239" s="44"/>
      <x:c r="L239" s="44"/>
      <x:c r="M239" s="44"/>
      <x:c r="N239" s="44"/>
      <x:c r="O239" s="44"/>
      <x:c r="P239" s="44"/>
      <x:c r="Q239" s="44"/>
      <x:c r="R239" s="44"/>
      <x:c r="S239" s="44"/>
      <x:c r="T239" s="44"/>
      <x:c r="U239" s="44"/>
    </x:row>
    <x:row r="240">
      <x:c r="A240" s="44"/>
      <x:c r="B240" s="44"/>
      <x:c r="C240" s="44"/>
      <x:c r="D240" s="44"/>
      <x:c r="E240" s="44"/>
      <x:c r="F240" s="44"/>
      <x:c r="G240" s="44"/>
      <x:c r="H240" s="44"/>
      <x:c r="I240" s="44"/>
      <x:c r="J240" s="44"/>
      <x:c r="K240" s="44"/>
      <x:c r="L240" s="44"/>
      <x:c r="M240" s="44"/>
      <x:c r="N240" s="44"/>
      <x:c r="O240" s="44"/>
      <x:c r="P240" s="44"/>
      <x:c r="Q240" s="44"/>
      <x:c r="R240" s="44"/>
      <x:c r="S240" s="44"/>
      <x:c r="T240" s="44"/>
      <x:c r="U240" s="44"/>
    </x:row>
    <x:row r="241">
      <x:c r="A241" s="44"/>
      <x:c r="B241" s="44"/>
      <x:c r="C241" s="44"/>
      <x:c r="D241" s="44"/>
      <x:c r="E241" s="44"/>
      <x:c r="F241" s="44"/>
      <x:c r="G241" s="44"/>
      <x:c r="H241" s="44"/>
      <x:c r="I241" s="44"/>
      <x:c r="J241" s="44"/>
      <x:c r="K241" s="44"/>
      <x:c r="L241" s="44"/>
      <x:c r="M241" s="44"/>
      <x:c r="N241" s="44"/>
      <x:c r="O241" s="44"/>
      <x:c r="P241" s="44"/>
      <x:c r="Q241" s="44"/>
      <x:c r="R241" s="44"/>
      <x:c r="S241" s="44"/>
      <x:c r="T241" s="44"/>
      <x:c r="U241" s="44"/>
    </x:row>
    <x:row r="242">
      <x:c r="A242" s="44"/>
      <x:c r="B242" s="44"/>
      <x:c r="C242" s="44"/>
      <x:c r="D242" s="44"/>
      <x:c r="E242" s="44"/>
      <x:c r="F242" s="44"/>
      <x:c r="G242" s="44"/>
      <x:c r="H242" s="44"/>
      <x:c r="I242" s="44"/>
      <x:c r="J242" s="44"/>
      <x:c r="K242" s="44"/>
      <x:c r="L242" s="44"/>
      <x:c r="M242" s="44"/>
      <x:c r="N242" s="44"/>
      <x:c r="O242" s="44"/>
      <x:c r="P242" s="44"/>
      <x:c r="Q242" s="44"/>
      <x:c r="R242" s="44"/>
      <x:c r="S242" s="44"/>
      <x:c r="T242" s="44"/>
      <x:c r="U242" s="44"/>
    </x:row>
    <x:row r="243">
      <x:c r="A243" s="44"/>
      <x:c r="B243" s="44"/>
      <x:c r="C243" s="44"/>
      <x:c r="D243" s="44"/>
      <x:c r="E243" s="44"/>
      <x:c r="F243" s="44"/>
      <x:c r="G243" s="44"/>
      <x:c r="H243" s="44"/>
      <x:c r="I243" s="44"/>
      <x:c r="J243" s="44"/>
      <x:c r="K243" s="44"/>
      <x:c r="L243" s="44"/>
      <x:c r="M243" s="44"/>
      <x:c r="N243" s="44"/>
      <x:c r="O243" s="44"/>
      <x:c r="P243" s="44"/>
      <x:c r="Q243" s="44"/>
      <x:c r="R243" s="44"/>
      <x:c r="S243" s="44"/>
      <x:c r="T243" s="44"/>
      <x:c r="U243" s="44"/>
    </x:row>
    <x:row r="244">
      <x:c r="A244" s="44"/>
      <x:c r="B244" s="44"/>
      <x:c r="C244" s="44"/>
      <x:c r="D244" s="44"/>
      <x:c r="E244" s="44"/>
      <x:c r="F244" s="44"/>
      <x:c r="G244" s="44"/>
      <x:c r="H244" s="44"/>
      <x:c r="I244" s="44"/>
      <x:c r="J244" s="44"/>
      <x:c r="K244" s="44"/>
      <x:c r="L244" s="44"/>
      <x:c r="M244" s="44"/>
      <x:c r="N244" s="44"/>
      <x:c r="O244" s="44"/>
      <x:c r="P244" s="44"/>
      <x:c r="Q244" s="44"/>
      <x:c r="R244" s="44"/>
      <x:c r="S244" s="44"/>
      <x:c r="T244" s="44"/>
      <x:c r="U244" s="44"/>
    </x:row>
    <x:row r="245">
      <x:c r="A245" s="44"/>
      <x:c r="B245" s="44"/>
      <x:c r="C245" s="44"/>
      <x:c r="D245" s="44"/>
      <x:c r="E245" s="44"/>
      <x:c r="F245" s="44"/>
      <x:c r="G245" s="44"/>
      <x:c r="H245" s="44"/>
      <x:c r="I245" s="44"/>
      <x:c r="J245" s="44"/>
      <x:c r="K245" s="44"/>
      <x:c r="L245" s="44"/>
      <x:c r="M245" s="44"/>
      <x:c r="N245" s="44"/>
      <x:c r="O245" s="44"/>
      <x:c r="P245" s="44"/>
      <x:c r="Q245" s="44"/>
      <x:c r="R245" s="44"/>
      <x:c r="S245" s="44"/>
      <x:c r="T245" s="44"/>
      <x:c r="U245" s="44"/>
    </x:row>
    <x:row r="246">
      <x:c r="A246" s="44"/>
      <x:c r="B246" s="44"/>
      <x:c r="C246" s="44"/>
      <x:c r="D246" s="44"/>
      <x:c r="E246" s="44"/>
      <x:c r="F246" s="44"/>
      <x:c r="G246" s="44"/>
      <x:c r="H246" s="44"/>
      <x:c r="I246" s="44"/>
      <x:c r="J246" s="44"/>
      <x:c r="K246" s="44"/>
      <x:c r="L246" s="44"/>
      <x:c r="M246" s="44"/>
      <x:c r="N246" s="44"/>
      <x:c r="O246" s="44"/>
      <x:c r="P246" s="44"/>
      <x:c r="Q246" s="44"/>
      <x:c r="R246" s="44"/>
      <x:c r="S246" s="44"/>
      <x:c r="T246" s="44"/>
      <x:c r="U246" s="44"/>
    </x:row>
    <x:row r="247">
      <x:c r="A247" s="44"/>
      <x:c r="B247" s="44"/>
      <x:c r="C247" s="44"/>
      <x:c r="D247" s="44"/>
      <x:c r="E247" s="44"/>
      <x:c r="F247" s="44"/>
      <x:c r="G247" s="44"/>
      <x:c r="H247" s="44"/>
      <x:c r="I247" s="44"/>
      <x:c r="J247" s="44"/>
      <x:c r="K247" s="44"/>
      <x:c r="L247" s="44"/>
      <x:c r="M247" s="44"/>
      <x:c r="N247" s="44"/>
      <x:c r="O247" s="44"/>
      <x:c r="P247" s="44"/>
      <x:c r="Q247" s="44"/>
      <x:c r="R247" s="44"/>
      <x:c r="S247" s="44"/>
      <x:c r="T247" s="44"/>
      <x:c r="U247" s="44"/>
    </x:row>
    <x:row r="248">
      <x:c r="A248" s="44"/>
      <x:c r="B248" s="44"/>
      <x:c r="C248" s="44"/>
      <x:c r="D248" s="44"/>
      <x:c r="E248" s="44"/>
      <x:c r="F248" s="44"/>
      <x:c r="G248" s="44"/>
      <x:c r="H248" s="44"/>
      <x:c r="I248" s="44"/>
      <x:c r="J248" s="44"/>
      <x:c r="K248" s="44"/>
      <x:c r="L248" s="44"/>
      <x:c r="M248" s="44"/>
      <x:c r="N248" s="44"/>
      <x:c r="O248" s="44"/>
      <x:c r="P248" s="44"/>
      <x:c r="Q248" s="44"/>
      <x:c r="R248" s="44"/>
      <x:c r="S248" s="44"/>
      <x:c r="T248" s="44"/>
      <x:c r="U248" s="44"/>
    </x:row>
    <x:row r="249">
      <x:c r="A249" s="44"/>
      <x:c r="B249" s="44"/>
      <x:c r="C249" s="44"/>
      <x:c r="D249" s="44"/>
      <x:c r="E249" s="44"/>
      <x:c r="F249" s="44"/>
      <x:c r="G249" s="44"/>
      <x:c r="H249" s="44"/>
      <x:c r="I249" s="44"/>
      <x:c r="J249" s="44"/>
      <x:c r="K249" s="44"/>
      <x:c r="L249" s="44"/>
      <x:c r="M249" s="44"/>
      <x:c r="N249" s="44"/>
      <x:c r="O249" s="44"/>
      <x:c r="P249" s="44"/>
      <x:c r="Q249" s="44"/>
      <x:c r="R249" s="44"/>
      <x:c r="S249" s="44"/>
      <x:c r="T249" s="44"/>
      <x:c r="U249" s="44"/>
    </x:row>
    <x:row r="250">
      <x:c r="A250" s="44"/>
      <x:c r="B250" s="44"/>
      <x:c r="C250" s="44"/>
      <x:c r="D250" s="44"/>
      <x:c r="E250" s="44"/>
      <x:c r="F250" s="44"/>
      <x:c r="G250" s="44"/>
      <x:c r="H250" s="44"/>
      <x:c r="I250" s="44"/>
      <x:c r="J250" s="44"/>
      <x:c r="K250" s="44"/>
      <x:c r="L250" s="44"/>
      <x:c r="M250" s="44"/>
      <x:c r="N250" s="44"/>
      <x:c r="O250" s="44"/>
      <x:c r="P250" s="44"/>
      <x:c r="Q250" s="44"/>
      <x:c r="R250" s="44"/>
      <x:c r="S250" s="44"/>
      <x:c r="T250" s="44"/>
      <x:c r="U250" s="44"/>
    </x:row>
    <x:row r="251">
      <x:c r="A251" s="44"/>
      <x:c r="B251" s="44"/>
      <x:c r="C251" s="44"/>
      <x:c r="D251" s="44"/>
      <x:c r="E251" s="44"/>
      <x:c r="F251" s="44"/>
      <x:c r="G251" s="44"/>
      <x:c r="H251" s="44"/>
      <x:c r="I251" s="44"/>
      <x:c r="J251" s="44"/>
      <x:c r="K251" s="44"/>
      <x:c r="L251" s="44"/>
      <x:c r="M251" s="44"/>
      <x:c r="N251" s="44"/>
      <x:c r="O251" s="44"/>
      <x:c r="P251" s="44"/>
      <x:c r="Q251" s="44"/>
      <x:c r="R251" s="44"/>
      <x:c r="S251" s="44"/>
      <x:c r="T251" s="44"/>
      <x:c r="U251" s="44"/>
    </x:row>
    <x:row r="252">
      <x:c r="A252" s="44"/>
      <x:c r="B252" s="44"/>
      <x:c r="C252" s="44"/>
      <x:c r="D252" s="44"/>
      <x:c r="E252" s="44"/>
      <x:c r="F252" s="44"/>
      <x:c r="G252" s="44"/>
      <x:c r="H252" s="44"/>
      <x:c r="I252" s="44"/>
      <x:c r="J252" s="44"/>
      <x:c r="K252" s="44"/>
      <x:c r="L252" s="44"/>
      <x:c r="M252" s="44"/>
      <x:c r="N252" s="44"/>
      <x:c r="O252" s="44"/>
      <x:c r="P252" s="44"/>
      <x:c r="Q252" s="44"/>
      <x:c r="R252" s="44"/>
      <x:c r="S252" s="44"/>
      <x:c r="T252" s="44"/>
      <x:c r="U252" s="44"/>
    </x:row>
    <x:row r="253">
      <x:c r="A253" s="44"/>
      <x:c r="B253" s="44"/>
      <x:c r="C253" s="44"/>
      <x:c r="D253" s="44"/>
      <x:c r="E253" s="44"/>
      <x:c r="F253" s="44"/>
      <x:c r="G253" s="44"/>
      <x:c r="H253" s="44"/>
      <x:c r="I253" s="44"/>
      <x:c r="J253" s="44"/>
      <x:c r="K253" s="44"/>
      <x:c r="L253" s="44"/>
      <x:c r="M253" s="44"/>
      <x:c r="N253" s="44"/>
      <x:c r="O253" s="44"/>
      <x:c r="P253" s="44"/>
      <x:c r="Q253" s="44"/>
      <x:c r="R253" s="44"/>
      <x:c r="S253" s="44"/>
      <x:c r="T253" s="44"/>
      <x:c r="U253" s="44"/>
    </x:row>
    <x:row r="254">
      <x:c r="A254" s="44"/>
      <x:c r="B254" s="44"/>
      <x:c r="C254" s="44"/>
      <x:c r="D254" s="44"/>
      <x:c r="E254" s="44"/>
      <x:c r="F254" s="44"/>
      <x:c r="G254" s="44"/>
      <x:c r="H254" s="44"/>
      <x:c r="I254" s="44"/>
      <x:c r="J254" s="44"/>
      <x:c r="K254" s="44"/>
      <x:c r="L254" s="44"/>
      <x:c r="M254" s="44"/>
      <x:c r="N254" s="44"/>
      <x:c r="O254" s="44"/>
      <x:c r="P254" s="44"/>
      <x:c r="Q254" s="44"/>
      <x:c r="R254" s="44"/>
      <x:c r="S254" s="44"/>
      <x:c r="T254" s="44"/>
      <x:c r="U254" s="44"/>
    </x:row>
    <x:row r="255">
      <x:c r="A255" s="44"/>
      <x:c r="B255" s="44"/>
      <x:c r="C255" s="44"/>
      <x:c r="D255" s="44"/>
      <x:c r="E255" s="44"/>
      <x:c r="F255" s="44"/>
      <x:c r="G255" s="44"/>
      <x:c r="H255" s="44"/>
      <x:c r="I255" s="44"/>
      <x:c r="J255" s="44"/>
      <x:c r="K255" s="44"/>
      <x:c r="L255" s="44"/>
      <x:c r="M255" s="44"/>
      <x:c r="N255" s="44"/>
      <x:c r="O255" s="44"/>
      <x:c r="P255" s="44"/>
      <x:c r="Q255" s="44"/>
      <x:c r="R255" s="44"/>
      <x:c r="S255" s="44"/>
      <x:c r="T255" s="44"/>
      <x:c r="U255" s="44"/>
    </x:row>
    <x:row r="256">
      <x:c r="A256" s="44"/>
      <x:c r="B256" s="44"/>
      <x:c r="C256" s="44"/>
      <x:c r="D256" s="44"/>
      <x:c r="E256" s="44"/>
      <x:c r="F256" s="44"/>
      <x:c r="G256" s="44"/>
      <x:c r="H256" s="44"/>
      <x:c r="I256" s="44"/>
      <x:c r="J256" s="44"/>
      <x:c r="K256" s="44"/>
      <x:c r="L256" s="44"/>
      <x:c r="M256" s="44"/>
      <x:c r="N256" s="44"/>
      <x:c r="O256" s="44"/>
      <x:c r="P256" s="44"/>
      <x:c r="Q256" s="44"/>
      <x:c r="R256" s="44"/>
      <x:c r="S256" s="44"/>
      <x:c r="T256" s="44"/>
      <x:c r="U256" s="44"/>
    </x:row>
    <x:row r="257">
      <x:c r="A257" s="44"/>
      <x:c r="B257" s="44"/>
      <x:c r="C257" s="44"/>
      <x:c r="D257" s="44"/>
      <x:c r="E257" s="44"/>
      <x:c r="F257" s="44"/>
      <x:c r="G257" s="44"/>
      <x:c r="H257" s="44"/>
      <x:c r="I257" s="44"/>
      <x:c r="J257" s="44"/>
      <x:c r="K257" s="44"/>
      <x:c r="L257" s="44"/>
      <x:c r="M257" s="44"/>
      <x:c r="N257" s="44"/>
      <x:c r="O257" s="44"/>
      <x:c r="P257" s="44"/>
      <x:c r="Q257" s="44"/>
      <x:c r="R257" s="44"/>
      <x:c r="S257" s="44"/>
      <x:c r="T257" s="44"/>
      <x:c r="U257" s="44"/>
    </x:row>
    <x:row r="258">
      <x:c r="A258" s="44"/>
      <x:c r="B258" s="44"/>
      <x:c r="C258" s="44"/>
      <x:c r="D258" s="44"/>
      <x:c r="E258" s="44"/>
      <x:c r="F258" s="44"/>
      <x:c r="G258" s="44"/>
      <x:c r="H258" s="44"/>
      <x:c r="I258" s="44"/>
      <x:c r="J258" s="44"/>
      <x:c r="K258" s="44"/>
      <x:c r="L258" s="44"/>
      <x:c r="M258" s="44"/>
      <x:c r="N258" s="44"/>
      <x:c r="O258" s="44"/>
      <x:c r="P258" s="44"/>
      <x:c r="Q258" s="44"/>
      <x:c r="R258" s="44"/>
      <x:c r="S258" s="44"/>
      <x:c r="T258" s="44"/>
      <x:c r="U258" s="44"/>
    </x:row>
    <x:row r="259">
      <x:c r="A259" s="44"/>
      <x:c r="B259" s="44"/>
      <x:c r="C259" s="44"/>
      <x:c r="D259" s="44"/>
      <x:c r="E259" s="44"/>
      <x:c r="F259" s="44"/>
      <x:c r="G259" s="44"/>
      <x:c r="H259" s="44"/>
      <x:c r="I259" s="44"/>
      <x:c r="J259" s="44"/>
      <x:c r="K259" s="44"/>
      <x:c r="L259" s="44"/>
      <x:c r="M259" s="44"/>
      <x:c r="N259" s="44"/>
      <x:c r="O259" s="44"/>
      <x:c r="P259" s="44"/>
      <x:c r="Q259" s="44"/>
      <x:c r="R259" s="44"/>
      <x:c r="S259" s="44"/>
      <x:c r="T259" s="44"/>
      <x:c r="U259" s="44"/>
    </x:row>
    <x:row r="260">
      <x:c r="A260" s="44"/>
      <x:c r="B260" s="44"/>
      <x:c r="C260" s="44"/>
      <x:c r="D260" s="44"/>
      <x:c r="E260" s="44"/>
      <x:c r="F260" s="44"/>
      <x:c r="G260" s="44"/>
      <x:c r="H260" s="44"/>
      <x:c r="I260" s="44"/>
      <x:c r="J260" s="44"/>
      <x:c r="K260" s="44"/>
      <x:c r="L260" s="44"/>
      <x:c r="M260" s="44"/>
      <x:c r="N260" s="44"/>
      <x:c r="O260" s="44"/>
      <x:c r="P260" s="44"/>
      <x:c r="Q260" s="44"/>
      <x:c r="R260" s="44"/>
      <x:c r="S260" s="44"/>
      <x:c r="T260" s="44"/>
      <x:c r="U260" s="44"/>
    </x:row>
    <x:row r="261">
      <x:c r="A261" s="44"/>
      <x:c r="B261" s="44"/>
      <x:c r="C261" s="44"/>
      <x:c r="D261" s="44"/>
      <x:c r="E261" s="44"/>
      <x:c r="F261" s="44"/>
      <x:c r="G261" s="44"/>
      <x:c r="H261" s="44"/>
      <x:c r="I261" s="44"/>
      <x:c r="J261" s="44"/>
      <x:c r="K261" s="44"/>
      <x:c r="L261" s="44"/>
      <x:c r="M261" s="44"/>
      <x:c r="N261" s="44"/>
      <x:c r="O261" s="44"/>
      <x:c r="P261" s="44"/>
      <x:c r="Q261" s="44"/>
      <x:c r="R261" s="44"/>
      <x:c r="S261" s="44"/>
      <x:c r="T261" s="44"/>
      <x:c r="U261" s="44"/>
    </x:row>
    <x:row r="262">
      <x:c r="A262" s="44"/>
      <x:c r="B262" s="44"/>
      <x:c r="C262" s="44"/>
      <x:c r="D262" s="44"/>
      <x:c r="E262" s="44"/>
      <x:c r="F262" s="44"/>
      <x:c r="G262" s="44"/>
      <x:c r="H262" s="44"/>
      <x:c r="I262" s="44"/>
      <x:c r="J262" s="44"/>
      <x:c r="K262" s="44"/>
      <x:c r="L262" s="44"/>
      <x:c r="M262" s="44"/>
      <x:c r="N262" s="44"/>
      <x:c r="O262" s="44"/>
      <x:c r="P262" s="44"/>
      <x:c r="Q262" s="44"/>
      <x:c r="R262" s="44"/>
      <x:c r="S262" s="44"/>
      <x:c r="T262" s="44"/>
      <x:c r="U262" s="44"/>
    </x:row>
    <x:row r="263">
      <x:c r="A263" s="44"/>
      <x:c r="B263" s="44"/>
      <x:c r="C263" s="44"/>
      <x:c r="D263" s="44"/>
      <x:c r="E263" s="44"/>
      <x:c r="F263" s="44"/>
      <x:c r="G263" s="44"/>
      <x:c r="H263" s="44"/>
      <x:c r="I263" s="44"/>
      <x:c r="J263" s="44"/>
      <x:c r="K263" s="44"/>
      <x:c r="L263" s="44"/>
      <x:c r="M263" s="44"/>
      <x:c r="N263" s="44"/>
      <x:c r="O263" s="44"/>
      <x:c r="P263" s="44"/>
      <x:c r="Q263" s="44"/>
      <x:c r="R263" s="44"/>
      <x:c r="S263" s="44"/>
      <x:c r="T263" s="44"/>
      <x:c r="U263" s="44"/>
    </x:row>
    <x:row r="264">
      <x:c r="A264" s="44"/>
      <x:c r="B264" s="44"/>
      <x:c r="C264" s="44"/>
      <x:c r="D264" s="44"/>
      <x:c r="E264" s="44"/>
      <x:c r="F264" s="44"/>
      <x:c r="G264" s="44"/>
      <x:c r="H264" s="44"/>
      <x:c r="I264" s="44"/>
      <x:c r="J264" s="44"/>
      <x:c r="K264" s="44"/>
      <x:c r="L264" s="44"/>
      <x:c r="M264" s="44"/>
      <x:c r="N264" s="44"/>
      <x:c r="O264" s="44"/>
      <x:c r="P264" s="44"/>
      <x:c r="Q264" s="44"/>
      <x:c r="R264" s="44"/>
      <x:c r="S264" s="44"/>
      <x:c r="T264" s="44"/>
      <x:c r="U264" s="44"/>
    </x:row>
    <x:row r="265">
      <x:c r="A265" s="44"/>
      <x:c r="B265" s="44"/>
      <x:c r="C265" s="44"/>
      <x:c r="D265" s="44"/>
      <x:c r="E265" s="44"/>
      <x:c r="F265" s="44"/>
      <x:c r="G265" s="44"/>
      <x:c r="H265" s="44"/>
      <x:c r="I265" s="44"/>
      <x:c r="J265" s="44"/>
      <x:c r="K265" s="44"/>
      <x:c r="L265" s="44"/>
      <x:c r="M265" s="44"/>
      <x:c r="N265" s="44"/>
      <x:c r="O265" s="44"/>
      <x:c r="P265" s="44"/>
      <x:c r="Q265" s="44"/>
      <x:c r="R265" s="44"/>
      <x:c r="S265" s="44"/>
      <x:c r="T265" s="44"/>
      <x:c r="U265" s="44"/>
    </x:row>
    <x:row r="266">
      <x:c r="A266" s="44"/>
      <x:c r="B266" s="44"/>
      <x:c r="C266" s="44"/>
      <x:c r="D266" s="44"/>
      <x:c r="E266" s="44"/>
      <x:c r="F266" s="44"/>
      <x:c r="G266" s="44"/>
      <x:c r="H266" s="44"/>
      <x:c r="I266" s="44"/>
      <x:c r="J266" s="44"/>
      <x:c r="K266" s="44"/>
      <x:c r="L266" s="44"/>
      <x:c r="M266" s="44"/>
      <x:c r="N266" s="44"/>
      <x:c r="O266" s="44"/>
      <x:c r="P266" s="44"/>
      <x:c r="Q266" s="44"/>
      <x:c r="R266" s="44"/>
      <x:c r="S266" s="44"/>
      <x:c r="T266" s="44"/>
      <x:c r="U266" s="44"/>
    </x:row>
    <x:row r="267">
      <x:c r="A267" s="44"/>
      <x:c r="B267" s="44"/>
      <x:c r="C267" s="44"/>
      <x:c r="D267" s="44"/>
      <x:c r="E267" s="44"/>
      <x:c r="F267" s="44"/>
      <x:c r="G267" s="44"/>
      <x:c r="H267" s="44"/>
      <x:c r="I267" s="44"/>
      <x:c r="J267" s="44"/>
      <x:c r="K267" s="44"/>
      <x:c r="L267" s="44"/>
      <x:c r="M267" s="44"/>
      <x:c r="N267" s="44"/>
      <x:c r="O267" s="44"/>
      <x:c r="P267" s="44"/>
      <x:c r="Q267" s="44"/>
      <x:c r="R267" s="44"/>
      <x:c r="S267" s="44"/>
      <x:c r="T267" s="44"/>
      <x:c r="U267" s="44"/>
    </x:row>
    <x:row r="268">
      <x:c r="A268" s="44"/>
      <x:c r="B268" s="44"/>
      <x:c r="C268" s="44"/>
      <x:c r="D268" s="44"/>
      <x:c r="E268" s="44"/>
      <x:c r="F268" s="44"/>
      <x:c r="G268" s="44"/>
      <x:c r="H268" s="44"/>
      <x:c r="I268" s="44"/>
      <x:c r="J268" s="44"/>
      <x:c r="K268" s="44"/>
      <x:c r="L268" s="44"/>
      <x:c r="M268" s="44"/>
      <x:c r="N268" s="44"/>
      <x:c r="O268" s="44"/>
      <x:c r="P268" s="44"/>
      <x:c r="Q268" s="44"/>
      <x:c r="R268" s="44"/>
      <x:c r="S268" s="44"/>
      <x:c r="T268" s="44"/>
      <x:c r="U268" s="44"/>
    </x:row>
    <x:row r="269">
      <x:c r="A269" s="44"/>
      <x:c r="B269" s="44"/>
      <x:c r="C269" s="44"/>
      <x:c r="D269" s="44"/>
      <x:c r="E269" s="44"/>
      <x:c r="F269" s="44"/>
      <x:c r="G269" s="44"/>
      <x:c r="H269" s="44"/>
      <x:c r="I269" s="44"/>
      <x:c r="J269" s="44"/>
      <x:c r="K269" s="44"/>
      <x:c r="L269" s="44"/>
      <x:c r="M269" s="44"/>
      <x:c r="N269" s="44"/>
      <x:c r="O269" s="44"/>
      <x:c r="P269" s="44"/>
      <x:c r="Q269" s="44"/>
      <x:c r="R269" s="44"/>
      <x:c r="S269" s="44"/>
      <x:c r="T269" s="44"/>
      <x:c r="U269" s="44"/>
    </x:row>
    <x:row r="270">
      <x:c r="A270" s="44"/>
      <x:c r="B270" s="44"/>
      <x:c r="C270" s="44"/>
      <x:c r="D270" s="44"/>
      <x:c r="E270" s="44"/>
      <x:c r="F270" s="44"/>
      <x:c r="G270" s="44"/>
      <x:c r="H270" s="44"/>
      <x:c r="I270" s="44"/>
      <x:c r="J270" s="44"/>
      <x:c r="K270" s="44"/>
      <x:c r="L270" s="44"/>
      <x:c r="M270" s="44"/>
      <x:c r="N270" s="44"/>
      <x:c r="O270" s="44"/>
      <x:c r="P270" s="44"/>
      <x:c r="Q270" s="44"/>
      <x:c r="R270" s="44"/>
      <x:c r="S270" s="44"/>
      <x:c r="T270" s="44"/>
      <x:c r="U270" s="44"/>
    </x:row>
    <x:row r="271">
      <x:c r="A271" s="44"/>
      <x:c r="B271" s="44"/>
      <x:c r="C271" s="44"/>
      <x:c r="D271" s="44"/>
      <x:c r="E271" s="44"/>
      <x:c r="F271" s="44"/>
      <x:c r="G271" s="44"/>
      <x:c r="H271" s="44"/>
      <x:c r="I271" s="44"/>
      <x:c r="J271" s="44"/>
      <x:c r="K271" s="44"/>
      <x:c r="L271" s="44"/>
      <x:c r="M271" s="44"/>
      <x:c r="N271" s="44"/>
      <x:c r="O271" s="44"/>
      <x:c r="P271" s="44"/>
      <x:c r="Q271" s="44"/>
      <x:c r="R271" s="44"/>
      <x:c r="S271" s="44"/>
      <x:c r="T271" s="44"/>
      <x:c r="U271" s="44"/>
    </x:row>
    <x:row r="272">
      <x:c r="A272" s="44"/>
      <x:c r="B272" s="44"/>
      <x:c r="C272" s="44"/>
      <x:c r="D272" s="44"/>
      <x:c r="E272" s="44"/>
      <x:c r="F272" s="44"/>
      <x:c r="G272" s="44"/>
      <x:c r="H272" s="44"/>
      <x:c r="I272" s="44"/>
      <x:c r="J272" s="44"/>
      <x:c r="K272" s="44"/>
      <x:c r="L272" s="44"/>
      <x:c r="M272" s="44"/>
      <x:c r="N272" s="44"/>
      <x:c r="O272" s="44"/>
      <x:c r="P272" s="44"/>
      <x:c r="Q272" s="44"/>
      <x:c r="R272" s="44"/>
      <x:c r="S272" s="44"/>
      <x:c r="T272" s="44"/>
      <x:c r="U272" s="44"/>
    </x:row>
    <x:row r="273">
      <x:c r="A273" s="44"/>
      <x:c r="B273" s="44"/>
      <x:c r="C273" s="44"/>
      <x:c r="D273" s="44"/>
      <x:c r="E273" s="44"/>
      <x:c r="F273" s="44"/>
      <x:c r="G273" s="44"/>
      <x:c r="H273" s="44"/>
      <x:c r="I273" s="44"/>
      <x:c r="J273" s="44"/>
      <x:c r="K273" s="44"/>
      <x:c r="L273" s="44"/>
      <x:c r="M273" s="44"/>
      <x:c r="N273" s="44"/>
      <x:c r="O273" s="44"/>
      <x:c r="P273" s="44"/>
      <x:c r="Q273" s="44"/>
      <x:c r="R273" s="44"/>
      <x:c r="S273" s="44"/>
      <x:c r="T273" s="44"/>
      <x:c r="U273" s="44"/>
    </x:row>
    <x:row r="274">
      <x:c r="A274" s="44"/>
      <x:c r="B274" s="44"/>
      <x:c r="C274" s="44"/>
      <x:c r="D274" s="44"/>
      <x:c r="E274" s="44"/>
      <x:c r="F274" s="44"/>
      <x:c r="G274" s="44"/>
      <x:c r="H274" s="44"/>
      <x:c r="I274" s="44"/>
      <x:c r="J274" s="44"/>
      <x:c r="K274" s="44"/>
      <x:c r="L274" s="44"/>
      <x:c r="M274" s="44"/>
      <x:c r="N274" s="44"/>
      <x:c r="O274" s="44"/>
      <x:c r="P274" s="44"/>
      <x:c r="Q274" s="44"/>
      <x:c r="R274" s="44"/>
      <x:c r="S274" s="44"/>
      <x:c r="T274" s="44"/>
      <x:c r="U274" s="44"/>
    </x:row>
    <x:row r="275">
      <x:c r="A275" s="44"/>
      <x:c r="B275" s="44"/>
      <x:c r="C275" s="44"/>
      <x:c r="D275" s="44"/>
      <x:c r="E275" s="44"/>
      <x:c r="F275" s="44"/>
      <x:c r="G275" s="44"/>
      <x:c r="H275" s="44"/>
      <x:c r="I275" s="44"/>
      <x:c r="J275" s="44"/>
      <x:c r="K275" s="44"/>
      <x:c r="L275" s="44"/>
      <x:c r="M275" s="44"/>
      <x:c r="N275" s="44"/>
      <x:c r="O275" s="44"/>
      <x:c r="P275" s="44"/>
      <x:c r="Q275" s="44"/>
      <x:c r="R275" s="44"/>
      <x:c r="S275" s="44"/>
      <x:c r="T275" s="44"/>
      <x:c r="U275" s="44"/>
    </x:row>
    <x:row r="276">
      <x:c r="A276" s="44"/>
      <x:c r="B276" s="44"/>
      <x:c r="C276" s="44"/>
      <x:c r="D276" s="44"/>
      <x:c r="E276" s="44"/>
      <x:c r="F276" s="44"/>
      <x:c r="G276" s="44"/>
      <x:c r="H276" s="44"/>
      <x:c r="I276" s="44"/>
      <x:c r="J276" s="44"/>
      <x:c r="K276" s="44"/>
      <x:c r="L276" s="44"/>
      <x:c r="M276" s="44"/>
      <x:c r="N276" s="44"/>
      <x:c r="O276" s="44"/>
      <x:c r="P276" s="44"/>
      <x:c r="Q276" s="44"/>
      <x:c r="R276" s="44"/>
      <x:c r="S276" s="44"/>
      <x:c r="T276" s="44"/>
      <x:c r="U276" s="44"/>
    </x:row>
    <x:row r="277">
      <x:c r="A277" s="44"/>
      <x:c r="B277" s="44"/>
      <x:c r="C277" s="44"/>
      <x:c r="D277" s="44"/>
      <x:c r="E277" s="44"/>
      <x:c r="F277" s="44"/>
      <x:c r="G277" s="44"/>
      <x:c r="H277" s="44"/>
      <x:c r="I277" s="44"/>
      <x:c r="J277" s="44"/>
      <x:c r="K277" s="44"/>
      <x:c r="L277" s="44"/>
      <x:c r="M277" s="44"/>
      <x:c r="N277" s="44"/>
      <x:c r="O277" s="44"/>
      <x:c r="P277" s="44"/>
      <x:c r="Q277" s="44"/>
      <x:c r="R277" s="44"/>
      <x:c r="S277" s="44"/>
      <x:c r="T277" s="44"/>
      <x:c r="U277" s="44"/>
    </x:row>
    <x:row r="278">
      <x:c r="A278" s="44"/>
      <x:c r="B278" s="44"/>
      <x:c r="C278" s="44"/>
      <x:c r="D278" s="44"/>
      <x:c r="E278" s="44"/>
      <x:c r="F278" s="44"/>
      <x:c r="G278" s="44"/>
      <x:c r="H278" s="44"/>
      <x:c r="I278" s="44"/>
      <x:c r="J278" s="44"/>
      <x:c r="K278" s="44"/>
      <x:c r="L278" s="44"/>
      <x:c r="M278" s="44"/>
      <x:c r="N278" s="44"/>
      <x:c r="O278" s="44"/>
      <x:c r="P278" s="44"/>
      <x:c r="Q278" s="44"/>
      <x:c r="R278" s="44"/>
      <x:c r="S278" s="44"/>
      <x:c r="T278" s="44"/>
      <x:c r="U278" s="44"/>
    </x:row>
    <x:row r="279">
      <x:c r="A279" s="44"/>
      <x:c r="B279" s="44"/>
      <x:c r="C279" s="44"/>
      <x:c r="D279" s="44"/>
      <x:c r="E279" s="44"/>
      <x:c r="F279" s="44"/>
      <x:c r="G279" s="44"/>
      <x:c r="H279" s="44"/>
      <x:c r="I279" s="44"/>
      <x:c r="J279" s="44"/>
      <x:c r="K279" s="44"/>
      <x:c r="L279" s="44"/>
      <x:c r="M279" s="44"/>
      <x:c r="N279" s="44"/>
      <x:c r="O279" s="44"/>
      <x:c r="P279" s="44"/>
      <x:c r="Q279" s="44"/>
      <x:c r="R279" s="44"/>
      <x:c r="S279" s="44"/>
      <x:c r="T279" s="44"/>
      <x:c r="U279" s="44"/>
    </x:row>
    <x:row r="280">
      <x:c r="A280" s="44"/>
      <x:c r="B280" s="44"/>
      <x:c r="C280" s="44"/>
      <x:c r="D280" s="44"/>
      <x:c r="E280" s="44"/>
      <x:c r="F280" s="44"/>
      <x:c r="G280" s="44"/>
      <x:c r="H280" s="44"/>
      <x:c r="I280" s="44"/>
      <x:c r="J280" s="44"/>
      <x:c r="K280" s="44"/>
      <x:c r="L280" s="44"/>
      <x:c r="M280" s="44"/>
      <x:c r="N280" s="44"/>
      <x:c r="O280" s="44"/>
      <x:c r="P280" s="44"/>
      <x:c r="Q280" s="44"/>
      <x:c r="R280" s="44"/>
      <x:c r="S280" s="44"/>
      <x:c r="T280" s="44"/>
      <x:c r="U280" s="44"/>
    </x:row>
    <x:row r="281">
      <x:c r="A281" s="44"/>
      <x:c r="B281" s="44"/>
      <x:c r="C281" s="44"/>
      <x:c r="D281" s="44"/>
      <x:c r="E281" s="44"/>
      <x:c r="F281" s="44"/>
      <x:c r="G281" s="44"/>
      <x:c r="H281" s="44"/>
      <x:c r="I281" s="44"/>
      <x:c r="J281" s="44"/>
      <x:c r="K281" s="44"/>
      <x:c r="L281" s="44"/>
      <x:c r="M281" s="44"/>
      <x:c r="N281" s="44"/>
      <x:c r="O281" s="44"/>
      <x:c r="P281" s="44"/>
      <x:c r="Q281" s="44"/>
      <x:c r="R281" s="44"/>
      <x:c r="S281" s="44"/>
      <x:c r="T281" s="44"/>
      <x:c r="U281" s="44"/>
    </x:row>
    <x:row r="282">
      <x:c r="A282" s="44"/>
      <x:c r="B282" s="44"/>
      <x:c r="C282" s="44"/>
      <x:c r="D282" s="44"/>
      <x:c r="E282" s="44"/>
      <x:c r="F282" s="44"/>
      <x:c r="G282" s="44"/>
      <x:c r="H282" s="44"/>
      <x:c r="I282" s="44"/>
      <x:c r="J282" s="44"/>
      <x:c r="K282" s="44"/>
      <x:c r="L282" s="44"/>
      <x:c r="M282" s="44"/>
      <x:c r="N282" s="44"/>
      <x:c r="O282" s="44"/>
      <x:c r="P282" s="44"/>
      <x:c r="Q282" s="44"/>
      <x:c r="R282" s="44"/>
      <x:c r="S282" s="44"/>
      <x:c r="T282" s="44"/>
      <x:c r="U282" s="44"/>
    </x:row>
    <x:row r="283">
      <x:c r="A283" s="44"/>
      <x:c r="B283" s="44"/>
      <x:c r="C283" s="44"/>
      <x:c r="D283" s="44"/>
      <x:c r="E283" s="44"/>
      <x:c r="F283" s="44"/>
      <x:c r="G283" s="44"/>
      <x:c r="H283" s="44"/>
      <x:c r="I283" s="44"/>
      <x:c r="J283" s="44"/>
      <x:c r="K283" s="44"/>
      <x:c r="L283" s="44"/>
      <x:c r="M283" s="44"/>
      <x:c r="N283" s="44"/>
      <x:c r="O283" s="44"/>
      <x:c r="P283" s="44"/>
      <x:c r="Q283" s="44"/>
      <x:c r="R283" s="44"/>
      <x:c r="S283" s="44"/>
      <x:c r="T283" s="44"/>
      <x:c r="U283" s="44"/>
    </x:row>
    <x:row r="284">
      <x:c r="A284" s="44"/>
      <x:c r="B284" s="44"/>
      <x:c r="C284" s="44"/>
      <x:c r="D284" s="44"/>
      <x:c r="E284" s="44"/>
      <x:c r="F284" s="44"/>
      <x:c r="G284" s="44"/>
      <x:c r="H284" s="44"/>
      <x:c r="I284" s="44"/>
      <x:c r="J284" s="44"/>
      <x:c r="K284" s="44"/>
      <x:c r="L284" s="44"/>
      <x:c r="M284" s="44"/>
      <x:c r="N284" s="44"/>
      <x:c r="O284" s="44"/>
      <x:c r="P284" s="44"/>
      <x:c r="Q284" s="44"/>
      <x:c r="R284" s="44"/>
      <x:c r="S284" s="44"/>
      <x:c r="T284" s="44"/>
      <x:c r="U284" s="44"/>
    </x:row>
    <x:row r="285">
      <x:c r="A285" s="44"/>
      <x:c r="B285" s="44"/>
      <x:c r="C285" s="44"/>
      <x:c r="D285" s="44"/>
      <x:c r="E285" s="44"/>
      <x:c r="F285" s="44"/>
      <x:c r="G285" s="44"/>
      <x:c r="H285" s="44"/>
      <x:c r="I285" s="44"/>
      <x:c r="J285" s="44"/>
      <x:c r="K285" s="44"/>
      <x:c r="L285" s="44"/>
      <x:c r="M285" s="44"/>
      <x:c r="N285" s="44"/>
      <x:c r="O285" s="44"/>
      <x:c r="P285" s="44"/>
      <x:c r="Q285" s="44"/>
      <x:c r="R285" s="44"/>
      <x:c r="S285" s="44"/>
      <x:c r="T285" s="44"/>
      <x:c r="U285" s="44"/>
    </x:row>
    <x:row r="286">
      <x:c r="A286" s="44"/>
      <x:c r="B286" s="44"/>
      <x:c r="C286" s="44"/>
      <x:c r="D286" s="44"/>
      <x:c r="E286" s="44"/>
      <x:c r="F286" s="44"/>
      <x:c r="G286" s="44"/>
      <x:c r="H286" s="44"/>
      <x:c r="I286" s="44"/>
      <x:c r="J286" s="44"/>
      <x:c r="K286" s="44"/>
      <x:c r="L286" s="44"/>
      <x:c r="M286" s="44"/>
      <x:c r="N286" s="44"/>
      <x:c r="O286" s="44"/>
      <x:c r="P286" s="44"/>
      <x:c r="Q286" s="44"/>
      <x:c r="R286" s="44"/>
      <x:c r="S286" s="44"/>
      <x:c r="T286" s="44"/>
      <x:c r="U286" s="44"/>
    </x:row>
    <x:row r="287">
      <x:c r="A287" s="44"/>
      <x:c r="B287" s="44"/>
      <x:c r="C287" s="44"/>
      <x:c r="D287" s="44"/>
      <x:c r="E287" s="44"/>
      <x:c r="F287" s="44"/>
      <x:c r="G287" s="44"/>
      <x:c r="H287" s="44"/>
      <x:c r="I287" s="44"/>
      <x:c r="J287" s="44"/>
      <x:c r="K287" s="44"/>
      <x:c r="L287" s="44"/>
      <x:c r="M287" s="44"/>
      <x:c r="N287" s="44"/>
      <x:c r="O287" s="44"/>
      <x:c r="P287" s="44"/>
      <x:c r="Q287" s="44"/>
      <x:c r="R287" s="44"/>
      <x:c r="S287" s="44"/>
      <x:c r="T287" s="44"/>
      <x:c r="U287" s="44"/>
    </x:row>
    <x:row r="288">
      <x:c r="A288" s="44"/>
      <x:c r="B288" s="44"/>
      <x:c r="C288" s="44"/>
      <x:c r="D288" s="44"/>
      <x:c r="E288" s="44"/>
      <x:c r="F288" s="44"/>
      <x:c r="G288" s="44"/>
      <x:c r="H288" s="44"/>
      <x:c r="I288" s="44"/>
      <x:c r="J288" s="44"/>
      <x:c r="K288" s="44"/>
      <x:c r="L288" s="44"/>
      <x:c r="M288" s="44"/>
      <x:c r="N288" s="44"/>
      <x:c r="O288" s="44"/>
      <x:c r="P288" s="44"/>
      <x:c r="Q288" s="44"/>
      <x:c r="R288" s="44"/>
      <x:c r="S288" s="44"/>
      <x:c r="T288" s="44"/>
      <x:c r="U288" s="44"/>
    </x:row>
    <x:row r="289">
      <x:c r="A289" s="44"/>
      <x:c r="B289" s="44"/>
      <x:c r="C289" s="44"/>
      <x:c r="D289" s="44"/>
      <x:c r="E289" s="44"/>
      <x:c r="F289" s="44"/>
      <x:c r="G289" s="44"/>
      <x:c r="H289" s="44"/>
      <x:c r="I289" s="44"/>
      <x:c r="J289" s="44"/>
      <x:c r="K289" s="44"/>
      <x:c r="L289" s="44"/>
      <x:c r="M289" s="44"/>
      <x:c r="N289" s="44"/>
      <x:c r="O289" s="44"/>
      <x:c r="P289" s="44"/>
      <x:c r="Q289" s="44"/>
      <x:c r="R289" s="44"/>
      <x:c r="S289" s="44"/>
      <x:c r="T289" s="44"/>
      <x:c r="U289" s="44"/>
    </x:row>
    <x:row r="290">
      <x:c r="A290" s="44"/>
      <x:c r="B290" s="44"/>
      <x:c r="C290" s="44"/>
      <x:c r="D290" s="44"/>
      <x:c r="E290" s="44"/>
      <x:c r="F290" s="44"/>
      <x:c r="G290" s="44"/>
      <x:c r="H290" s="44"/>
      <x:c r="I290" s="44"/>
      <x:c r="J290" s="44"/>
      <x:c r="K290" s="44"/>
      <x:c r="L290" s="44"/>
      <x:c r="M290" s="44"/>
      <x:c r="N290" s="44"/>
      <x:c r="O290" s="44"/>
      <x:c r="P290" s="44"/>
      <x:c r="Q290" s="44"/>
      <x:c r="R290" s="44"/>
      <x:c r="S290" s="44"/>
      <x:c r="T290" s="44"/>
      <x:c r="U290" s="44"/>
    </x:row>
    <x:row r="291">
      <x:c r="A291" s="44"/>
      <x:c r="B291" s="44"/>
      <x:c r="C291" s="44"/>
      <x:c r="D291" s="44"/>
      <x:c r="E291" s="44"/>
      <x:c r="F291" s="44"/>
      <x:c r="G291" s="44"/>
      <x:c r="H291" s="44"/>
      <x:c r="I291" s="44"/>
      <x:c r="J291" s="44"/>
      <x:c r="K291" s="44"/>
      <x:c r="L291" s="44"/>
      <x:c r="M291" s="44"/>
      <x:c r="N291" s="44"/>
      <x:c r="O291" s="44"/>
      <x:c r="P291" s="44"/>
      <x:c r="Q291" s="44"/>
      <x:c r="R291" s="44"/>
      <x:c r="S291" s="44"/>
      <x:c r="T291" s="44"/>
      <x:c r="U291" s="44"/>
    </x:row>
    <x:row r="292">
      <x:c r="A292" s="44"/>
      <x:c r="B292" s="44"/>
      <x:c r="C292" s="44"/>
      <x:c r="D292" s="44"/>
      <x:c r="E292" s="44"/>
      <x:c r="F292" s="44"/>
      <x:c r="G292" s="44"/>
      <x:c r="H292" s="44"/>
      <x:c r="I292" s="44"/>
      <x:c r="J292" s="44"/>
      <x:c r="K292" s="44"/>
      <x:c r="L292" s="44"/>
      <x:c r="M292" s="44"/>
      <x:c r="N292" s="44"/>
      <x:c r="O292" s="44"/>
      <x:c r="P292" s="44"/>
      <x:c r="Q292" s="44"/>
      <x:c r="R292" s="44"/>
      <x:c r="S292" s="44"/>
      <x:c r="T292" s="44"/>
      <x:c r="U292" s="44"/>
    </x:row>
    <x:row r="293">
      <x:c r="A293" s="44"/>
      <x:c r="B293" s="44"/>
      <x:c r="C293" s="44"/>
      <x:c r="D293" s="44"/>
      <x:c r="E293" s="44"/>
      <x:c r="F293" s="44"/>
      <x:c r="G293" s="44"/>
      <x:c r="H293" s="44"/>
      <x:c r="I293" s="44"/>
      <x:c r="J293" s="44"/>
      <x:c r="K293" s="44"/>
      <x:c r="L293" s="44"/>
      <x:c r="M293" s="44"/>
      <x:c r="N293" s="44"/>
      <x:c r="O293" s="44"/>
      <x:c r="P293" s="44"/>
      <x:c r="Q293" s="44"/>
      <x:c r="R293" s="44"/>
      <x:c r="S293" s="44"/>
      <x:c r="T293" s="44"/>
      <x:c r="U293" s="44"/>
    </x:row>
    <x:row r="294">
      <x:c r="A294" s="44"/>
      <x:c r="B294" s="44"/>
      <x:c r="C294" s="44"/>
      <x:c r="D294" s="44"/>
      <x:c r="E294" s="44"/>
      <x:c r="F294" s="44"/>
      <x:c r="G294" s="44"/>
      <x:c r="H294" s="44"/>
      <x:c r="I294" s="44"/>
      <x:c r="J294" s="44"/>
      <x:c r="K294" s="44"/>
      <x:c r="L294" s="44"/>
      <x:c r="M294" s="44"/>
      <x:c r="N294" s="44"/>
      <x:c r="O294" s="44"/>
      <x:c r="P294" s="44"/>
      <x:c r="Q294" s="44"/>
      <x:c r="R294" s="44"/>
      <x:c r="S294" s="44"/>
      <x:c r="T294" s="44"/>
      <x:c r="U294" s="44"/>
    </x:row>
    <x:row r="295">
      <x:c r="A295" s="44"/>
      <x:c r="B295" s="44"/>
      <x:c r="C295" s="44"/>
      <x:c r="D295" s="44"/>
      <x:c r="E295" s="44"/>
      <x:c r="F295" s="44"/>
      <x:c r="G295" s="44"/>
      <x:c r="H295" s="44"/>
      <x:c r="I295" s="44"/>
      <x:c r="J295" s="44"/>
      <x:c r="K295" s="44"/>
      <x:c r="L295" s="44"/>
      <x:c r="M295" s="44"/>
      <x:c r="N295" s="44"/>
      <x:c r="O295" s="44"/>
      <x:c r="P295" s="44"/>
      <x:c r="Q295" s="44"/>
      <x:c r="R295" s="44"/>
      <x:c r="S295" s="44"/>
      <x:c r="T295" s="44"/>
      <x:c r="U295" s="44"/>
    </x:row>
    <x:row r="296">
      <x:c r="A296" s="44"/>
      <x:c r="B296" s="44"/>
      <x:c r="C296" s="44"/>
      <x:c r="D296" s="44"/>
      <x:c r="E296" s="44"/>
      <x:c r="F296" s="44"/>
      <x:c r="G296" s="44"/>
      <x:c r="H296" s="44"/>
      <x:c r="I296" s="44"/>
      <x:c r="J296" s="44"/>
      <x:c r="K296" s="44"/>
      <x:c r="L296" s="44"/>
      <x:c r="M296" s="44"/>
      <x:c r="N296" s="44"/>
      <x:c r="O296" s="44"/>
      <x:c r="P296" s="44"/>
      <x:c r="Q296" s="44"/>
      <x:c r="R296" s="44"/>
      <x:c r="S296" s="44"/>
      <x:c r="T296" s="44"/>
      <x:c r="U296" s="44"/>
    </x:row>
    <x:row r="297">
      <x:c r="A297" s="44"/>
      <x:c r="B297" s="44"/>
      <x:c r="C297" s="44"/>
      <x:c r="D297" s="44"/>
      <x:c r="E297" s="44"/>
      <x:c r="F297" s="44"/>
      <x:c r="G297" s="44"/>
      <x:c r="H297" s="44"/>
      <x:c r="I297" s="44"/>
      <x:c r="J297" s="44"/>
      <x:c r="K297" s="44"/>
      <x:c r="L297" s="44"/>
      <x:c r="M297" s="44"/>
      <x:c r="N297" s="44"/>
      <x:c r="O297" s="44"/>
      <x:c r="P297" s="44"/>
      <x:c r="Q297" s="44"/>
      <x:c r="R297" s="44"/>
      <x:c r="S297" s="44"/>
      <x:c r="T297" s="44"/>
      <x:c r="U297" s="44"/>
    </x:row>
    <x:row r="298">
      <x:c r="A298" s="44"/>
      <x:c r="B298" s="44"/>
      <x:c r="C298" s="44"/>
      <x:c r="D298" s="44"/>
      <x:c r="E298" s="44"/>
      <x:c r="F298" s="44"/>
      <x:c r="G298" s="44"/>
      <x:c r="H298" s="44"/>
      <x:c r="I298" s="44"/>
      <x:c r="J298" s="44"/>
      <x:c r="K298" s="44"/>
      <x:c r="L298" s="44"/>
      <x:c r="M298" s="44"/>
      <x:c r="N298" s="44"/>
      <x:c r="O298" s="44"/>
      <x:c r="P298" s="44"/>
      <x:c r="Q298" s="44"/>
      <x:c r="R298" s="44"/>
      <x:c r="S298" s="44"/>
      <x:c r="T298" s="44"/>
      <x:c r="U298" s="44"/>
    </x:row>
    <x:row r="299">
      <x:c r="A299" s="44"/>
      <x:c r="B299" s="44"/>
      <x:c r="C299" s="44"/>
      <x:c r="D299" s="44"/>
      <x:c r="E299" s="44"/>
      <x:c r="F299" s="44"/>
      <x:c r="G299" s="44"/>
      <x:c r="H299" s="44"/>
      <x:c r="I299" s="44"/>
      <x:c r="J299" s="44"/>
      <x:c r="K299" s="44"/>
      <x:c r="L299" s="44"/>
      <x:c r="M299" s="44"/>
      <x:c r="N299" s="44"/>
      <x:c r="O299" s="44"/>
      <x:c r="P299" s="44"/>
      <x:c r="Q299" s="44"/>
      <x:c r="R299" s="44"/>
      <x:c r="S299" s="44"/>
      <x:c r="T299" s="44"/>
      <x:c r="U299" s="44"/>
    </x:row>
    <x:row r="300">
      <x:c r="A300" s="44"/>
      <x:c r="B300" s="44"/>
      <x:c r="C300" s="44"/>
      <x:c r="D300" s="44"/>
      <x:c r="E300" s="44"/>
      <x:c r="F300" s="44"/>
      <x:c r="G300" s="44"/>
      <x:c r="H300" s="44"/>
      <x:c r="I300" s="44"/>
      <x:c r="J300" s="44"/>
      <x:c r="K300" s="44"/>
      <x:c r="L300" s="44"/>
      <x:c r="M300" s="44"/>
      <x:c r="N300" s="44"/>
      <x:c r="O300" s="44"/>
      <x:c r="P300" s="44"/>
      <x:c r="Q300" s="44"/>
      <x:c r="R300" s="44"/>
      <x:c r="S300" s="44"/>
      <x:c r="T300" s="44"/>
      <x:c r="U300" s="44"/>
    </x:row>
    <x:row r="301">
      <x:c r="A301" s="44"/>
      <x:c r="B301" s="44"/>
      <x:c r="C301" s="44"/>
      <x:c r="D301" s="44"/>
      <x:c r="E301" s="44"/>
      <x:c r="F301" s="44"/>
      <x:c r="G301" s="44"/>
      <x:c r="H301" s="44"/>
      <x:c r="I301" s="44"/>
      <x:c r="J301" s="44"/>
      <x:c r="K301" s="44"/>
      <x:c r="L301" s="44"/>
      <x:c r="M301" s="44"/>
      <x:c r="N301" s="44"/>
      <x:c r="O301" s="44"/>
      <x:c r="P301" s="44"/>
      <x:c r="Q301" s="44"/>
      <x:c r="R301" s="44"/>
      <x:c r="S301" s="44"/>
      <x:c r="T301" s="44"/>
      <x:c r="U301" s="44"/>
    </x:row>
    <x:row r="302">
      <x:c r="A302" s="44"/>
      <x:c r="B302" s="44"/>
      <x:c r="C302" s="44"/>
      <x:c r="D302" s="44"/>
      <x:c r="E302" s="44"/>
      <x:c r="F302" s="44"/>
      <x:c r="G302" s="44"/>
      <x:c r="H302" s="44"/>
      <x:c r="I302" s="44"/>
      <x:c r="J302" s="44"/>
      <x:c r="K302" s="44"/>
      <x:c r="L302" s="44"/>
      <x:c r="M302" s="44"/>
      <x:c r="N302" s="44"/>
      <x:c r="O302" s="44"/>
      <x:c r="P302" s="44"/>
      <x:c r="Q302" s="44"/>
      <x:c r="R302" s="44"/>
      <x:c r="S302" s="44"/>
      <x:c r="T302" s="44"/>
      <x:c r="U302" s="44"/>
    </x:row>
    <x:row r="303">
      <x:c r="A303" s="44"/>
      <x:c r="B303" s="44"/>
      <x:c r="C303" s="44"/>
      <x:c r="D303" s="44"/>
      <x:c r="E303" s="44"/>
      <x:c r="F303" s="44"/>
      <x:c r="G303" s="44"/>
      <x:c r="H303" s="44"/>
      <x:c r="I303" s="44"/>
      <x:c r="J303" s="44"/>
      <x:c r="K303" s="44"/>
      <x:c r="L303" s="44"/>
      <x:c r="M303" s="44"/>
      <x:c r="N303" s="44"/>
      <x:c r="O303" s="44"/>
      <x:c r="P303" s="44"/>
      <x:c r="Q303" s="44"/>
      <x:c r="R303" s="44"/>
      <x:c r="S303" s="44"/>
      <x:c r="T303" s="44"/>
      <x:c r="U303" s="44"/>
    </x:row>
    <x:row r="304">
      <x:c r="A304" s="44"/>
      <x:c r="B304" s="44"/>
      <x:c r="C304" s="44"/>
      <x:c r="D304" s="44"/>
      <x:c r="E304" s="44"/>
      <x:c r="F304" s="44"/>
      <x:c r="G304" s="44"/>
      <x:c r="H304" s="44"/>
      <x:c r="I304" s="44"/>
      <x:c r="J304" s="44"/>
      <x:c r="K304" s="44"/>
      <x:c r="L304" s="44"/>
      <x:c r="M304" s="44"/>
      <x:c r="N304" s="44"/>
      <x:c r="O304" s="44"/>
      <x:c r="P304" s="44"/>
      <x:c r="Q304" s="44"/>
      <x:c r="R304" s="44"/>
      <x:c r="S304" s="44"/>
      <x:c r="T304" s="44"/>
      <x:c r="U304" s="44"/>
    </x:row>
    <x:row r="305">
      <x:c r="A305" s="44"/>
      <x:c r="B305" s="44"/>
      <x:c r="C305" s="44"/>
      <x:c r="D305" s="44"/>
      <x:c r="E305" s="44"/>
      <x:c r="F305" s="44"/>
      <x:c r="G305" s="44"/>
      <x:c r="H305" s="44"/>
      <x:c r="I305" s="44"/>
      <x:c r="J305" s="44"/>
      <x:c r="K305" s="44"/>
      <x:c r="L305" s="44"/>
      <x:c r="M305" s="44"/>
      <x:c r="N305" s="44"/>
      <x:c r="O305" s="44"/>
      <x:c r="P305" s="44"/>
      <x:c r="Q305" s="44"/>
      <x:c r="R305" s="44"/>
      <x:c r="S305" s="44"/>
      <x:c r="T305" s="44"/>
      <x:c r="U305" s="44"/>
    </x:row>
    <x:row r="306">
      <x:c r="A306" s="44"/>
      <x:c r="B306" s="44"/>
      <x:c r="C306" s="44"/>
      <x:c r="D306" s="44"/>
      <x:c r="E306" s="44"/>
      <x:c r="F306" s="44"/>
      <x:c r="G306" s="44"/>
      <x:c r="H306" s="44"/>
      <x:c r="I306" s="44"/>
      <x:c r="J306" s="44"/>
      <x:c r="K306" s="44"/>
      <x:c r="L306" s="44"/>
      <x:c r="M306" s="44"/>
      <x:c r="N306" s="44"/>
      <x:c r="O306" s="44"/>
      <x:c r="P306" s="44"/>
      <x:c r="Q306" s="44"/>
      <x:c r="R306" s="44"/>
      <x:c r="S306" s="44"/>
      <x:c r="T306" s="44"/>
      <x:c r="U306" s="44"/>
    </x:row>
    <x:row r="307">
      <x:c r="A307" s="44"/>
      <x:c r="B307" s="44"/>
      <x:c r="C307" s="44"/>
      <x:c r="D307" s="44"/>
      <x:c r="E307" s="44"/>
      <x:c r="F307" s="44"/>
      <x:c r="G307" s="44"/>
      <x:c r="H307" s="44"/>
      <x:c r="I307" s="44"/>
      <x:c r="J307" s="44"/>
      <x:c r="K307" s="44"/>
      <x:c r="L307" s="44"/>
      <x:c r="M307" s="44"/>
      <x:c r="N307" s="44"/>
      <x:c r="O307" s="44"/>
      <x:c r="P307" s="44"/>
      <x:c r="Q307" s="44"/>
      <x:c r="R307" s="44"/>
      <x:c r="S307" s="44"/>
      <x:c r="T307" s="44"/>
      <x:c r="U307" s="44"/>
    </x:row>
    <x:row r="308">
      <x:c r="A308" s="44"/>
      <x:c r="B308" s="44"/>
      <x:c r="C308" s="44"/>
      <x:c r="D308" s="44"/>
      <x:c r="E308" s="44"/>
      <x:c r="F308" s="44"/>
      <x:c r="G308" s="44"/>
      <x:c r="H308" s="44"/>
      <x:c r="I308" s="44"/>
      <x:c r="J308" s="44"/>
      <x:c r="K308" s="44"/>
      <x:c r="L308" s="44"/>
      <x:c r="M308" s="44"/>
      <x:c r="N308" s="44"/>
      <x:c r="O308" s="44"/>
      <x:c r="P308" s="44"/>
      <x:c r="Q308" s="44"/>
      <x:c r="R308" s="44"/>
      <x:c r="S308" s="44"/>
      <x:c r="T308" s="44"/>
      <x:c r="U308" s="44"/>
    </x:row>
    <x:row r="309">
      <x:c r="A309" s="44"/>
      <x:c r="B309" s="44"/>
      <x:c r="C309" s="44"/>
      <x:c r="D309" s="44"/>
      <x:c r="E309" s="44"/>
      <x:c r="F309" s="44"/>
      <x:c r="G309" s="44"/>
      <x:c r="H309" s="44"/>
      <x:c r="I309" s="44"/>
      <x:c r="J309" s="44"/>
      <x:c r="K309" s="44"/>
      <x:c r="L309" s="44"/>
      <x:c r="M309" s="44"/>
      <x:c r="N309" s="44"/>
      <x:c r="O309" s="44"/>
      <x:c r="P309" s="44"/>
      <x:c r="Q309" s="44"/>
      <x:c r="R309" s="44"/>
      <x:c r="S309" s="44"/>
      <x:c r="T309" s="44"/>
      <x:c r="U309" s="44"/>
    </x:row>
    <x:row r="310">
      <x:c r="A310" s="44"/>
      <x:c r="B310" s="44"/>
      <x:c r="C310" s="44"/>
      <x:c r="D310" s="44"/>
      <x:c r="E310" s="44"/>
      <x:c r="F310" s="44"/>
      <x:c r="G310" s="44"/>
      <x:c r="H310" s="44"/>
      <x:c r="I310" s="44"/>
      <x:c r="J310" s="44"/>
      <x:c r="K310" s="44"/>
      <x:c r="L310" s="44"/>
      <x:c r="M310" s="44"/>
      <x:c r="N310" s="44"/>
      <x:c r="O310" s="44"/>
      <x:c r="P310" s="44"/>
      <x:c r="Q310" s="44"/>
      <x:c r="R310" s="44"/>
      <x:c r="S310" s="44"/>
      <x:c r="T310" s="44"/>
      <x:c r="U310" s="44"/>
    </x:row>
    <x:row r="311">
      <x:c r="A311" s="44"/>
      <x:c r="B311" s="44"/>
      <x:c r="C311" s="44"/>
      <x:c r="D311" s="44"/>
      <x:c r="E311" s="44"/>
      <x:c r="F311" s="44"/>
      <x:c r="G311" s="44"/>
      <x:c r="H311" s="44"/>
      <x:c r="I311" s="44"/>
      <x:c r="J311" s="44"/>
      <x:c r="K311" s="44"/>
      <x:c r="L311" s="44"/>
      <x:c r="M311" s="44"/>
      <x:c r="N311" s="44"/>
      <x:c r="O311" s="44"/>
      <x:c r="P311" s="44"/>
      <x:c r="Q311" s="44"/>
      <x:c r="R311" s="44"/>
      <x:c r="S311" s="44"/>
      <x:c r="T311" s="44"/>
      <x:c r="U311" s="44"/>
    </x:row>
    <x:row r="312">
      <x:c r="A312" s="44"/>
      <x:c r="B312" s="44"/>
      <x:c r="C312" s="44"/>
      <x:c r="D312" s="44"/>
      <x:c r="E312" s="44"/>
      <x:c r="F312" s="44"/>
      <x:c r="G312" s="44"/>
      <x:c r="H312" s="44"/>
      <x:c r="I312" s="44"/>
      <x:c r="J312" s="44"/>
      <x:c r="K312" s="44"/>
      <x:c r="L312" s="44"/>
      <x:c r="M312" s="44"/>
      <x:c r="N312" s="44"/>
      <x:c r="O312" s="44"/>
      <x:c r="P312" s="44"/>
      <x:c r="Q312" s="44"/>
      <x:c r="R312" s="44"/>
      <x:c r="S312" s="44"/>
      <x:c r="T312" s="44"/>
      <x:c r="U312" s="44"/>
    </x:row>
    <x:row r="313">
      <x:c r="A313" s="44"/>
      <x:c r="B313" s="44"/>
      <x:c r="C313" s="44"/>
      <x:c r="D313" s="44"/>
      <x:c r="E313" s="44"/>
      <x:c r="F313" s="44"/>
      <x:c r="G313" s="44"/>
      <x:c r="H313" s="44"/>
      <x:c r="I313" s="44"/>
      <x:c r="J313" s="44"/>
      <x:c r="K313" s="44"/>
      <x:c r="L313" s="44"/>
      <x:c r="M313" s="44"/>
      <x:c r="N313" s="44"/>
      <x:c r="O313" s="44"/>
      <x:c r="P313" s="44"/>
      <x:c r="Q313" s="44"/>
      <x:c r="R313" s="44"/>
      <x:c r="S313" s="44"/>
      <x:c r="T313" s="44"/>
      <x:c r="U313" s="44"/>
    </x:row>
    <x:row r="314">
      <x:c r="A314" s="44"/>
      <x:c r="B314" s="44"/>
      <x:c r="C314" s="44"/>
      <x:c r="D314" s="44"/>
      <x:c r="E314" s="44"/>
      <x:c r="F314" s="44"/>
      <x:c r="G314" s="44"/>
      <x:c r="H314" s="44"/>
      <x:c r="I314" s="44"/>
      <x:c r="J314" s="44"/>
      <x:c r="K314" s="44"/>
      <x:c r="L314" s="44"/>
      <x:c r="M314" s="44"/>
      <x:c r="N314" s="44"/>
      <x:c r="O314" s="44"/>
      <x:c r="P314" s="44"/>
      <x:c r="Q314" s="44"/>
      <x:c r="R314" s="44"/>
      <x:c r="S314" s="44"/>
      <x:c r="T314" s="44"/>
      <x:c r="U314" s="44"/>
    </x:row>
    <x:row r="315">
      <x:c r="A315" s="44"/>
      <x:c r="B315" s="44"/>
      <x:c r="C315" s="44"/>
      <x:c r="D315" s="44"/>
      <x:c r="E315" s="44"/>
      <x:c r="F315" s="44"/>
      <x:c r="G315" s="44"/>
      <x:c r="H315" s="44"/>
      <x:c r="I315" s="44"/>
      <x:c r="J315" s="44"/>
      <x:c r="K315" s="44"/>
      <x:c r="L315" s="44"/>
      <x:c r="M315" s="44"/>
      <x:c r="N315" s="44"/>
      <x:c r="O315" s="44"/>
      <x:c r="P315" s="44"/>
      <x:c r="Q315" s="44"/>
      <x:c r="R315" s="44"/>
      <x:c r="S315" s="44"/>
      <x:c r="T315" s="44"/>
      <x:c r="U315" s="44"/>
    </x:row>
    <x:row r="316">
      <x:c r="A316" s="44"/>
      <x:c r="B316" s="44"/>
      <x:c r="C316" s="44"/>
      <x:c r="D316" s="44"/>
      <x:c r="E316" s="44"/>
      <x:c r="F316" s="44"/>
      <x:c r="G316" s="44"/>
      <x:c r="H316" s="44"/>
      <x:c r="I316" s="44"/>
      <x:c r="J316" s="44"/>
      <x:c r="K316" s="44"/>
      <x:c r="L316" s="44"/>
      <x:c r="M316" s="44"/>
      <x:c r="N316" s="44"/>
      <x:c r="O316" s="44"/>
      <x:c r="P316" s="44"/>
      <x:c r="Q316" s="44"/>
      <x:c r="R316" s="44"/>
      <x:c r="S316" s="44"/>
      <x:c r="T316" s="44"/>
      <x:c r="U316" s="44"/>
    </x:row>
    <x:row r="317">
      <x:c r="A317" s="44"/>
      <x:c r="B317" s="44"/>
      <x:c r="C317" s="44"/>
      <x:c r="D317" s="44"/>
      <x:c r="E317" s="44"/>
      <x:c r="F317" s="44"/>
      <x:c r="G317" s="44"/>
      <x:c r="H317" s="44"/>
      <x:c r="I317" s="44"/>
      <x:c r="J317" s="44"/>
      <x:c r="K317" s="44"/>
      <x:c r="L317" s="44"/>
      <x:c r="M317" s="44"/>
      <x:c r="N317" s="44"/>
      <x:c r="O317" s="44"/>
      <x:c r="P317" s="44"/>
      <x:c r="Q317" s="44"/>
      <x:c r="R317" s="44"/>
      <x:c r="S317" s="44"/>
      <x:c r="T317" s="44"/>
      <x:c r="U317" s="44"/>
    </x:row>
    <x:row r="318">
      <x:c r="A318" s="44"/>
      <x:c r="B318" s="44"/>
      <x:c r="C318" s="44"/>
      <x:c r="D318" s="44"/>
      <x:c r="E318" s="44"/>
      <x:c r="F318" s="44"/>
      <x:c r="G318" s="44"/>
      <x:c r="H318" s="44"/>
      <x:c r="I318" s="44"/>
      <x:c r="J318" s="44"/>
      <x:c r="K318" s="44"/>
      <x:c r="L318" s="44"/>
      <x:c r="M318" s="44"/>
      <x:c r="N318" s="44"/>
      <x:c r="O318" s="44"/>
      <x:c r="P318" s="44"/>
      <x:c r="Q318" s="44"/>
      <x:c r="R318" s="44"/>
      <x:c r="S318" s="44"/>
      <x:c r="T318" s="44"/>
      <x:c r="U318" s="44"/>
    </x:row>
    <x:row r="319">
      <x:c r="A319" s="44"/>
      <x:c r="B319" s="44"/>
      <x:c r="C319" s="44"/>
      <x:c r="D319" s="44"/>
      <x:c r="E319" s="44"/>
      <x:c r="F319" s="44"/>
      <x:c r="G319" s="44"/>
      <x:c r="H319" s="44"/>
      <x:c r="I319" s="44"/>
      <x:c r="J319" s="44"/>
      <x:c r="K319" s="44"/>
      <x:c r="L319" s="44"/>
      <x:c r="M319" s="44"/>
      <x:c r="N319" s="44"/>
      <x:c r="O319" s="44"/>
      <x:c r="P319" s="44"/>
      <x:c r="Q319" s="44"/>
      <x:c r="R319" s="44"/>
      <x:c r="S319" s="44"/>
      <x:c r="T319" s="44"/>
      <x:c r="U319" s="44"/>
    </x:row>
    <x:row r="320">
      <x:c r="A320" s="44"/>
      <x:c r="B320" s="44"/>
      <x:c r="C320" s="44"/>
      <x:c r="D320" s="44"/>
      <x:c r="E320" s="44"/>
      <x:c r="F320" s="44"/>
      <x:c r="G320" s="44"/>
      <x:c r="H320" s="44"/>
      <x:c r="I320" s="44"/>
      <x:c r="J320" s="44"/>
      <x:c r="K320" s="44"/>
      <x:c r="L320" s="44"/>
      <x:c r="M320" s="44"/>
      <x:c r="N320" s="44"/>
      <x:c r="O320" s="44"/>
      <x:c r="P320" s="44"/>
      <x:c r="Q320" s="44"/>
      <x:c r="R320" s="44"/>
      <x:c r="S320" s="44"/>
      <x:c r="T320" s="44"/>
      <x:c r="U320" s="44"/>
    </x:row>
    <x:row r="321">
      <x:c r="A321" s="44"/>
      <x:c r="B321" s="44"/>
      <x:c r="C321" s="44"/>
      <x:c r="D321" s="44"/>
      <x:c r="E321" s="44"/>
      <x:c r="F321" s="44"/>
      <x:c r="G321" s="44"/>
      <x:c r="H321" s="44"/>
      <x:c r="I321" s="44"/>
      <x:c r="J321" s="44"/>
      <x:c r="K321" s="44"/>
      <x:c r="L321" s="44"/>
      <x:c r="M321" s="44"/>
      <x:c r="N321" s="44"/>
      <x:c r="O321" s="44"/>
      <x:c r="P321" s="44"/>
      <x:c r="Q321" s="44"/>
      <x:c r="R321" s="44"/>
      <x:c r="S321" s="44"/>
      <x:c r="T321" s="44"/>
      <x:c r="U321" s="44"/>
    </x:row>
    <x:row r="322">
      <x:c r="A322" s="44"/>
      <x:c r="B322" s="44"/>
      <x:c r="C322" s="44"/>
      <x:c r="D322" s="44"/>
      <x:c r="E322" s="44"/>
      <x:c r="F322" s="44"/>
      <x:c r="G322" s="44"/>
      <x:c r="H322" s="44"/>
      <x:c r="I322" s="44"/>
      <x:c r="J322" s="44"/>
      <x:c r="K322" s="44"/>
      <x:c r="L322" s="44"/>
      <x:c r="M322" s="44"/>
      <x:c r="N322" s="44"/>
      <x:c r="O322" s="44"/>
      <x:c r="P322" s="44"/>
      <x:c r="Q322" s="44"/>
      <x:c r="R322" s="44"/>
      <x:c r="S322" s="44"/>
      <x:c r="T322" s="44"/>
      <x:c r="U322" s="44"/>
    </x:row>
    <x:row r="323">
      <x:c r="A323" s="44"/>
      <x:c r="B323" s="44"/>
      <x:c r="C323" s="44"/>
      <x:c r="D323" s="44"/>
      <x:c r="E323" s="44"/>
      <x:c r="F323" s="44"/>
      <x:c r="G323" s="44"/>
      <x:c r="H323" s="44"/>
      <x:c r="I323" s="44"/>
      <x:c r="J323" s="44"/>
      <x:c r="K323" s="44"/>
      <x:c r="L323" s="44"/>
      <x:c r="M323" s="44"/>
      <x:c r="N323" s="44"/>
      <x:c r="O323" s="44"/>
      <x:c r="P323" s="44"/>
      <x:c r="Q323" s="44"/>
      <x:c r="R323" s="44"/>
      <x:c r="S323" s="44"/>
      <x:c r="T323" s="44"/>
      <x:c r="U323" s="44"/>
    </x:row>
    <x:row r="324">
      <x:c r="A324" s="44"/>
      <x:c r="B324" s="44"/>
      <x:c r="C324" s="44"/>
      <x:c r="D324" s="44"/>
      <x:c r="E324" s="44"/>
      <x:c r="F324" s="44"/>
      <x:c r="G324" s="44"/>
      <x:c r="H324" s="44"/>
      <x:c r="I324" s="44"/>
      <x:c r="J324" s="44"/>
      <x:c r="K324" s="44"/>
      <x:c r="L324" s="44"/>
      <x:c r="M324" s="44"/>
      <x:c r="N324" s="44"/>
      <x:c r="O324" s="44"/>
      <x:c r="P324" s="44"/>
      <x:c r="Q324" s="44"/>
      <x:c r="R324" s="44"/>
      <x:c r="S324" s="44"/>
      <x:c r="T324" s="44"/>
      <x:c r="U324" s="44"/>
    </x:row>
    <x:row r="325">
      <x:c r="A325" s="44"/>
      <x:c r="B325" s="44"/>
      <x:c r="C325" s="44"/>
      <x:c r="D325" s="44"/>
      <x:c r="E325" s="44"/>
      <x:c r="F325" s="44"/>
      <x:c r="G325" s="44"/>
      <x:c r="H325" s="44"/>
      <x:c r="I325" s="44"/>
      <x:c r="J325" s="44"/>
      <x:c r="K325" s="44"/>
      <x:c r="L325" s="44"/>
      <x:c r="M325" s="44"/>
      <x:c r="N325" s="44"/>
      <x:c r="O325" s="44"/>
      <x:c r="P325" s="44"/>
      <x:c r="Q325" s="44"/>
      <x:c r="R325" s="44"/>
      <x:c r="S325" s="44"/>
      <x:c r="T325" s="44"/>
      <x:c r="U325" s="44"/>
    </x:row>
    <x:row r="326">
      <x:c r="A326" s="44"/>
      <x:c r="B326" s="44"/>
      <x:c r="C326" s="44"/>
      <x:c r="D326" s="44"/>
      <x:c r="E326" s="44"/>
      <x:c r="F326" s="44"/>
      <x:c r="G326" s="44"/>
      <x:c r="H326" s="44"/>
      <x:c r="I326" s="44"/>
      <x:c r="J326" s="44"/>
      <x:c r="K326" s="44"/>
      <x:c r="L326" s="44"/>
      <x:c r="M326" s="44"/>
      <x:c r="N326" s="44"/>
      <x:c r="O326" s="44"/>
      <x:c r="P326" s="44"/>
      <x:c r="Q326" s="44"/>
      <x:c r="R326" s="44"/>
      <x:c r="S326" s="44"/>
      <x:c r="T326" s="44"/>
      <x:c r="U326" s="44"/>
    </x:row>
    <x:row r="327">
      <x:c r="A327" s="44"/>
      <x:c r="B327" s="44"/>
      <x:c r="C327" s="44"/>
      <x:c r="D327" s="44"/>
      <x:c r="E327" s="44"/>
      <x:c r="F327" s="44"/>
      <x:c r="G327" s="44"/>
      <x:c r="H327" s="44"/>
      <x:c r="I327" s="44"/>
      <x:c r="J327" s="44"/>
      <x:c r="K327" s="44"/>
      <x:c r="L327" s="44"/>
      <x:c r="M327" s="44"/>
      <x:c r="N327" s="44"/>
      <x:c r="O327" s="44"/>
      <x:c r="P327" s="44"/>
      <x:c r="Q327" s="44"/>
      <x:c r="R327" s="44"/>
      <x:c r="S327" s="44"/>
      <x:c r="T327" s="44"/>
      <x:c r="U327" s="44"/>
    </x:row>
    <x:row r="328">
      <x:c r="A328" s="44"/>
      <x:c r="B328" s="44"/>
      <x:c r="C328" s="44"/>
      <x:c r="D328" s="44"/>
      <x:c r="E328" s="44"/>
      <x:c r="F328" s="44"/>
      <x:c r="G328" s="44"/>
      <x:c r="H328" s="44"/>
      <x:c r="I328" s="44"/>
      <x:c r="J328" s="44"/>
      <x:c r="K328" s="44"/>
      <x:c r="L328" s="44"/>
      <x:c r="M328" s="44"/>
      <x:c r="N328" s="44"/>
      <x:c r="O328" s="44"/>
      <x:c r="P328" s="44"/>
      <x:c r="Q328" s="44"/>
      <x:c r="R328" s="44"/>
      <x:c r="S328" s="44"/>
      <x:c r="T328" s="44"/>
      <x:c r="U328" s="44"/>
    </x:row>
    <x:row r="329">
      <x:c r="A329" s="44"/>
      <x:c r="B329" s="44"/>
      <x:c r="C329" s="44"/>
      <x:c r="D329" s="44"/>
      <x:c r="E329" s="44"/>
      <x:c r="F329" s="44"/>
      <x:c r="G329" s="44"/>
      <x:c r="H329" s="44"/>
      <x:c r="I329" s="44"/>
      <x:c r="J329" s="44"/>
      <x:c r="K329" s="44"/>
      <x:c r="L329" s="44"/>
      <x:c r="M329" s="44"/>
      <x:c r="N329" s="44"/>
      <x:c r="O329" s="44"/>
      <x:c r="P329" s="44"/>
      <x:c r="Q329" s="44"/>
      <x:c r="R329" s="44"/>
      <x:c r="S329" s="44"/>
      <x:c r="T329" s="44"/>
      <x:c r="U329" s="44"/>
    </x:row>
    <x:row r="330">
      <x:c r="A330" s="44"/>
      <x:c r="B330" s="44"/>
      <x:c r="C330" s="44"/>
      <x:c r="D330" s="44"/>
      <x:c r="E330" s="44"/>
      <x:c r="F330" s="44"/>
      <x:c r="G330" s="44"/>
      <x:c r="H330" s="44"/>
      <x:c r="I330" s="44"/>
      <x:c r="J330" s="44"/>
      <x:c r="K330" s="44"/>
      <x:c r="L330" s="44"/>
      <x:c r="M330" s="44"/>
      <x:c r="N330" s="44"/>
      <x:c r="O330" s="44"/>
      <x:c r="P330" s="44"/>
      <x:c r="Q330" s="44"/>
      <x:c r="R330" s="44"/>
      <x:c r="S330" s="44"/>
      <x:c r="T330" s="44"/>
      <x:c r="U330" s="44"/>
    </x:row>
    <x:row r="331">
      <x:c r="A331" s="44"/>
      <x:c r="B331" s="44"/>
      <x:c r="C331" s="44"/>
      <x:c r="D331" s="44"/>
      <x:c r="E331" s="44"/>
      <x:c r="F331" s="44"/>
      <x:c r="G331" s="44"/>
      <x:c r="H331" s="44"/>
      <x:c r="I331" s="44"/>
      <x:c r="J331" s="44"/>
      <x:c r="K331" s="44"/>
      <x:c r="L331" s="44"/>
      <x:c r="M331" s="44"/>
      <x:c r="N331" s="44"/>
      <x:c r="O331" s="44"/>
      <x:c r="P331" s="44"/>
      <x:c r="Q331" s="44"/>
      <x:c r="R331" s="44"/>
      <x:c r="S331" s="44"/>
      <x:c r="T331" s="44"/>
      <x:c r="U331" s="44"/>
    </x:row>
    <x:row r="332">
      <x:c r="A332" s="44"/>
      <x:c r="B332" s="44"/>
      <x:c r="C332" s="44"/>
      <x:c r="D332" s="44"/>
      <x:c r="E332" s="44"/>
      <x:c r="F332" s="44"/>
      <x:c r="G332" s="44"/>
      <x:c r="H332" s="44"/>
      <x:c r="I332" s="44"/>
      <x:c r="J332" s="44"/>
      <x:c r="K332" s="44"/>
      <x:c r="L332" s="44"/>
      <x:c r="M332" s="44"/>
      <x:c r="N332" s="44"/>
      <x:c r="O332" s="44"/>
      <x:c r="P332" s="44"/>
      <x:c r="Q332" s="44"/>
      <x:c r="R332" s="44"/>
      <x:c r="S332" s="44"/>
      <x:c r="T332" s="44"/>
      <x:c r="U332" s="44"/>
    </x:row>
    <x:row r="333">
      <x:c r="A333" s="44"/>
      <x:c r="B333" s="44"/>
      <x:c r="C333" s="44"/>
      <x:c r="D333" s="44"/>
      <x:c r="E333" s="44"/>
      <x:c r="F333" s="44"/>
      <x:c r="G333" s="44"/>
      <x:c r="H333" s="44"/>
      <x:c r="I333" s="44"/>
      <x:c r="J333" s="44"/>
      <x:c r="K333" s="44"/>
      <x:c r="L333" s="44"/>
      <x:c r="M333" s="44"/>
      <x:c r="N333" s="44"/>
      <x:c r="O333" s="44"/>
      <x:c r="P333" s="44"/>
      <x:c r="Q333" s="44"/>
      <x:c r="R333" s="44"/>
      <x:c r="S333" s="44"/>
      <x:c r="T333" s="44"/>
      <x:c r="U333" s="44"/>
    </x:row>
    <x:row r="334">
      <x:c r="A334" s="44"/>
      <x:c r="B334" s="44"/>
      <x:c r="C334" s="44"/>
      <x:c r="D334" s="44"/>
      <x:c r="E334" s="44"/>
      <x:c r="F334" s="44"/>
      <x:c r="G334" s="44"/>
      <x:c r="H334" s="44"/>
      <x:c r="I334" s="44"/>
      <x:c r="J334" s="44"/>
      <x:c r="K334" s="44"/>
      <x:c r="L334" s="44"/>
      <x:c r="M334" s="44"/>
      <x:c r="N334" s="44"/>
      <x:c r="O334" s="44"/>
      <x:c r="P334" s="44"/>
      <x:c r="Q334" s="44"/>
      <x:c r="R334" s="44"/>
      <x:c r="S334" s="44"/>
      <x:c r="T334" s="44"/>
      <x:c r="U334" s="44"/>
    </x:row>
    <x:row r="335">
      <x:c r="A335" s="44"/>
      <x:c r="B335" s="44"/>
      <x:c r="C335" s="44"/>
      <x:c r="D335" s="44"/>
      <x:c r="E335" s="44"/>
      <x:c r="F335" s="44"/>
      <x:c r="G335" s="44"/>
      <x:c r="H335" s="44"/>
      <x:c r="I335" s="44"/>
      <x:c r="J335" s="44"/>
      <x:c r="K335" s="44"/>
      <x:c r="L335" s="44"/>
      <x:c r="M335" s="44"/>
      <x:c r="N335" s="44"/>
      <x:c r="O335" s="44"/>
      <x:c r="P335" s="44"/>
      <x:c r="Q335" s="44"/>
      <x:c r="R335" s="44"/>
      <x:c r="S335" s="44"/>
      <x:c r="T335" s="44"/>
      <x:c r="U335" s="44"/>
    </x:row>
    <x:row r="336">
      <x:c r="A336" s="44"/>
      <x:c r="B336" s="44"/>
      <x:c r="C336" s="44"/>
      <x:c r="D336" s="44"/>
      <x:c r="E336" s="44"/>
      <x:c r="F336" s="44"/>
      <x:c r="G336" s="44"/>
      <x:c r="H336" s="44"/>
      <x:c r="I336" s="44"/>
      <x:c r="J336" s="44"/>
      <x:c r="K336" s="44"/>
      <x:c r="L336" s="44"/>
      <x:c r="M336" s="44"/>
      <x:c r="N336" s="44"/>
      <x:c r="O336" s="44"/>
      <x:c r="P336" s="44"/>
      <x:c r="Q336" s="44"/>
      <x:c r="R336" s="44"/>
      <x:c r="S336" s="44"/>
      <x:c r="T336" s="44"/>
      <x:c r="U336" s="44"/>
    </x:row>
    <x:row r="337">
      <x:c r="A337" s="44"/>
      <x:c r="B337" s="44"/>
      <x:c r="C337" s="44"/>
      <x:c r="D337" s="44"/>
      <x:c r="E337" s="44"/>
      <x:c r="F337" s="44"/>
      <x:c r="G337" s="44"/>
      <x:c r="H337" s="44"/>
      <x:c r="I337" s="44"/>
      <x:c r="J337" s="44"/>
      <x:c r="K337" s="44"/>
      <x:c r="L337" s="44"/>
      <x:c r="M337" s="44"/>
      <x:c r="N337" s="44"/>
      <x:c r="O337" s="44"/>
      <x:c r="P337" s="44"/>
      <x:c r="Q337" s="44"/>
      <x:c r="R337" s="44"/>
      <x:c r="S337" s="44"/>
      <x:c r="T337" s="44"/>
      <x:c r="U337" s="44"/>
    </x:row>
    <x:row r="338">
      <x:c r="A338" s="44"/>
      <x:c r="B338" s="44"/>
      <x:c r="C338" s="44"/>
      <x:c r="D338" s="44"/>
      <x:c r="E338" s="44"/>
      <x:c r="F338" s="44"/>
      <x:c r="G338" s="44"/>
      <x:c r="H338" s="44"/>
      <x:c r="I338" s="44"/>
      <x:c r="J338" s="44"/>
      <x:c r="K338" s="44"/>
      <x:c r="L338" s="44"/>
      <x:c r="M338" s="44"/>
      <x:c r="N338" s="44"/>
      <x:c r="O338" s="44"/>
      <x:c r="P338" s="44"/>
      <x:c r="Q338" s="44"/>
      <x:c r="R338" s="44"/>
      <x:c r="S338" s="44"/>
      <x:c r="T338" s="44"/>
      <x:c r="U338" s="44"/>
    </x:row>
    <x:row r="339">
      <x:c r="A339" s="44"/>
      <x:c r="B339" s="44"/>
      <x:c r="C339" s="44"/>
      <x:c r="D339" s="44"/>
      <x:c r="E339" s="44"/>
      <x:c r="F339" s="44"/>
      <x:c r="G339" s="44"/>
      <x:c r="H339" s="44"/>
      <x:c r="I339" s="44"/>
      <x:c r="J339" s="44"/>
      <x:c r="K339" s="44"/>
      <x:c r="L339" s="44"/>
      <x:c r="M339" s="44"/>
      <x:c r="N339" s="44"/>
      <x:c r="O339" s="44"/>
      <x:c r="P339" s="44"/>
      <x:c r="Q339" s="44"/>
      <x:c r="R339" s="44"/>
      <x:c r="S339" s="44"/>
      <x:c r="T339" s="44"/>
      <x:c r="U339" s="44"/>
    </x:row>
    <x:row r="340">
      <x:c r="A340" s="44"/>
      <x:c r="B340" s="44"/>
      <x:c r="C340" s="44"/>
      <x:c r="D340" s="44"/>
      <x:c r="E340" s="44"/>
      <x:c r="F340" s="44"/>
      <x:c r="G340" s="44"/>
      <x:c r="H340" s="44"/>
      <x:c r="I340" s="44"/>
      <x:c r="J340" s="44"/>
      <x:c r="K340" s="44"/>
      <x:c r="L340" s="44"/>
      <x:c r="M340" s="44"/>
      <x:c r="N340" s="44"/>
      <x:c r="O340" s="44"/>
      <x:c r="P340" s="44"/>
      <x:c r="Q340" s="44"/>
      <x:c r="R340" s="44"/>
      <x:c r="S340" s="44"/>
      <x:c r="T340" s="44"/>
      <x:c r="U340" s="44"/>
    </x:row>
    <x:row r="341">
      <x:c r="A341" s="44"/>
      <x:c r="B341" s="44"/>
      <x:c r="C341" s="44"/>
      <x:c r="D341" s="44"/>
      <x:c r="E341" s="44"/>
      <x:c r="F341" s="44"/>
      <x:c r="G341" s="44"/>
      <x:c r="H341" s="44"/>
      <x:c r="I341" s="44"/>
      <x:c r="J341" s="44"/>
      <x:c r="K341" s="44"/>
      <x:c r="L341" s="44"/>
      <x:c r="M341" s="44"/>
      <x:c r="N341" s="44"/>
      <x:c r="O341" s="44"/>
      <x:c r="P341" s="44"/>
      <x:c r="Q341" s="44"/>
      <x:c r="R341" s="44"/>
      <x:c r="S341" s="44"/>
      <x:c r="T341" s="44"/>
      <x:c r="U341" s="44"/>
    </x:row>
    <x:row r="342">
      <x:c r="A342" s="44"/>
      <x:c r="B342" s="44"/>
      <x:c r="C342" s="44"/>
      <x:c r="D342" s="44"/>
      <x:c r="E342" s="44"/>
      <x:c r="F342" s="44"/>
      <x:c r="G342" s="44"/>
      <x:c r="H342" s="44"/>
      <x:c r="I342" s="44"/>
      <x:c r="J342" s="44"/>
      <x:c r="K342" s="44"/>
      <x:c r="L342" s="44"/>
      <x:c r="M342" s="44"/>
      <x:c r="N342" s="44"/>
      <x:c r="O342" s="44"/>
      <x:c r="P342" s="44"/>
      <x:c r="Q342" s="44"/>
      <x:c r="R342" s="44"/>
      <x:c r="S342" s="44"/>
      <x:c r="T342" s="44"/>
      <x:c r="U342" s="44"/>
    </x:row>
    <x:row r="343">
      <x:c r="A343" s="44"/>
      <x:c r="B343" s="44"/>
      <x:c r="C343" s="44"/>
      <x:c r="D343" s="44"/>
      <x:c r="E343" s="44"/>
      <x:c r="F343" s="44"/>
      <x:c r="G343" s="44"/>
      <x:c r="H343" s="44"/>
      <x:c r="I343" s="44"/>
      <x:c r="J343" s="44"/>
      <x:c r="K343" s="44"/>
      <x:c r="L343" s="44"/>
      <x:c r="M343" s="44"/>
      <x:c r="N343" s="44"/>
      <x:c r="O343" s="44"/>
      <x:c r="P343" s="44"/>
      <x:c r="Q343" s="44"/>
      <x:c r="R343" s="44"/>
      <x:c r="S343" s="44"/>
      <x:c r="T343" s="44"/>
      <x:c r="U343" s="44"/>
    </x:row>
    <x:row r="344">
      <x:c r="A344" s="44"/>
      <x:c r="B344" s="44"/>
      <x:c r="C344" s="44"/>
      <x:c r="D344" s="44"/>
      <x:c r="E344" s="44"/>
      <x:c r="F344" s="44"/>
      <x:c r="G344" s="44"/>
      <x:c r="H344" s="44"/>
      <x:c r="I344" s="44"/>
      <x:c r="J344" s="44"/>
      <x:c r="K344" s="44"/>
      <x:c r="L344" s="44"/>
      <x:c r="M344" s="44"/>
      <x:c r="N344" s="44"/>
      <x:c r="O344" s="44"/>
      <x:c r="P344" s="44"/>
      <x:c r="Q344" s="44"/>
      <x:c r="R344" s="44"/>
      <x:c r="S344" s="44"/>
      <x:c r="T344" s="44"/>
      <x:c r="U344" s="44"/>
    </x:row>
    <x:row r="345">
      <x:c r="A345" s="44"/>
      <x:c r="B345" s="44"/>
      <x:c r="C345" s="44"/>
      <x:c r="D345" s="44"/>
      <x:c r="E345" s="44"/>
      <x:c r="F345" s="44"/>
      <x:c r="G345" s="44"/>
      <x:c r="H345" s="44"/>
      <x:c r="I345" s="44"/>
      <x:c r="J345" s="44"/>
      <x:c r="K345" s="44"/>
      <x:c r="L345" s="44"/>
      <x:c r="M345" s="44"/>
      <x:c r="N345" s="44"/>
      <x:c r="O345" s="44"/>
      <x:c r="P345" s="44"/>
      <x:c r="Q345" s="44"/>
      <x:c r="R345" s="44"/>
      <x:c r="S345" s="44"/>
      <x:c r="T345" s="44"/>
      <x:c r="U345" s="44"/>
    </x:row>
    <x:row r="346">
      <x:c r="A346" s="44"/>
      <x:c r="B346" s="44"/>
      <x:c r="C346" s="44"/>
      <x:c r="D346" s="44"/>
      <x:c r="E346" s="44"/>
      <x:c r="F346" s="44"/>
      <x:c r="G346" s="44"/>
      <x:c r="H346" s="44"/>
      <x:c r="I346" s="44"/>
      <x:c r="J346" s="44"/>
      <x:c r="K346" s="44"/>
      <x:c r="L346" s="44"/>
      <x:c r="M346" s="44"/>
      <x:c r="N346" s="44"/>
      <x:c r="O346" s="44"/>
      <x:c r="P346" s="44"/>
      <x:c r="Q346" s="44"/>
      <x:c r="R346" s="44"/>
      <x:c r="S346" s="44"/>
      <x:c r="T346" s="44"/>
      <x:c r="U346" s="44"/>
    </x:row>
    <x:row r="347">
      <x:c r="A347" s="44"/>
      <x:c r="B347" s="44"/>
      <x:c r="C347" s="44"/>
      <x:c r="D347" s="44"/>
      <x:c r="E347" s="44"/>
      <x:c r="F347" s="44"/>
      <x:c r="G347" s="44"/>
      <x:c r="H347" s="44"/>
      <x:c r="I347" s="44"/>
      <x:c r="J347" s="44"/>
      <x:c r="K347" s="44"/>
      <x:c r="L347" s="44"/>
      <x:c r="M347" s="44"/>
      <x:c r="N347" s="44"/>
      <x:c r="O347" s="44"/>
      <x:c r="P347" s="44"/>
      <x:c r="Q347" s="44"/>
      <x:c r="R347" s="44"/>
      <x:c r="S347" s="44"/>
      <x:c r="T347" s="44"/>
      <x:c r="U347" s="44"/>
    </x:row>
    <x:row r="348">
      <x:c r="A348" s="44"/>
      <x:c r="B348" s="44"/>
      <x:c r="C348" s="44"/>
      <x:c r="D348" s="44"/>
      <x:c r="E348" s="44"/>
      <x:c r="F348" s="44"/>
      <x:c r="G348" s="44"/>
      <x:c r="H348" s="44"/>
      <x:c r="I348" s="44"/>
      <x:c r="J348" s="44"/>
      <x:c r="K348" s="44"/>
      <x:c r="L348" s="44"/>
      <x:c r="M348" s="44"/>
      <x:c r="N348" s="44"/>
      <x:c r="O348" s="44"/>
      <x:c r="P348" s="44"/>
      <x:c r="Q348" s="44"/>
      <x:c r="R348" s="44"/>
      <x:c r="S348" s="44"/>
      <x:c r="T348" s="44"/>
      <x:c r="U348" s="44"/>
    </x:row>
    <x:row r="349">
      <x:c r="A349" s="44"/>
      <x:c r="B349" s="44"/>
      <x:c r="C349" s="44"/>
      <x:c r="D349" s="44"/>
      <x:c r="E349" s="44"/>
      <x:c r="F349" s="44"/>
      <x:c r="G349" s="44"/>
      <x:c r="H349" s="44"/>
      <x:c r="I349" s="44"/>
      <x:c r="J349" s="44"/>
      <x:c r="K349" s="44"/>
      <x:c r="L349" s="44"/>
      <x:c r="M349" s="44"/>
      <x:c r="N349" s="44"/>
      <x:c r="O349" s="44"/>
      <x:c r="P349" s="44"/>
      <x:c r="Q349" s="44"/>
      <x:c r="R349" s="44"/>
      <x:c r="S349" s="44"/>
      <x:c r="T349" s="44"/>
      <x:c r="U349" s="44"/>
    </x:row>
    <x:row r="350">
      <x:c r="A350" s="44"/>
      <x:c r="B350" s="44"/>
      <x:c r="C350" s="44"/>
      <x:c r="D350" s="44"/>
      <x:c r="E350" s="44"/>
      <x:c r="F350" s="44"/>
      <x:c r="G350" s="44"/>
      <x:c r="H350" s="44"/>
      <x:c r="I350" s="44"/>
      <x:c r="J350" s="44"/>
      <x:c r="K350" s="44"/>
      <x:c r="L350" s="44"/>
      <x:c r="M350" s="44"/>
      <x:c r="N350" s="44"/>
      <x:c r="O350" s="44"/>
      <x:c r="P350" s="44"/>
      <x:c r="Q350" s="44"/>
      <x:c r="R350" s="44"/>
      <x:c r="S350" s="44"/>
      <x:c r="T350" s="44"/>
      <x:c r="U350" s="44"/>
    </x:row>
    <x:row r="351">
      <x:c r="A351" s="44"/>
      <x:c r="B351" s="44"/>
      <x:c r="C351" s="44"/>
      <x:c r="D351" s="44"/>
      <x:c r="E351" s="44"/>
      <x:c r="F351" s="44"/>
      <x:c r="G351" s="44"/>
      <x:c r="H351" s="44"/>
      <x:c r="I351" s="44"/>
      <x:c r="J351" s="44"/>
      <x:c r="K351" s="44"/>
      <x:c r="L351" s="44"/>
      <x:c r="M351" s="44"/>
      <x:c r="N351" s="44"/>
      <x:c r="O351" s="44"/>
      <x:c r="P351" s="44"/>
      <x:c r="Q351" s="44"/>
      <x:c r="R351" s="44"/>
      <x:c r="S351" s="44"/>
      <x:c r="T351" s="44"/>
      <x:c r="U351" s="44"/>
    </x:row>
    <x:row r="352">
      <x:c r="A352" s="44"/>
      <x:c r="B352" s="44"/>
      <x:c r="C352" s="44"/>
      <x:c r="D352" s="44"/>
      <x:c r="E352" s="44"/>
      <x:c r="F352" s="44"/>
      <x:c r="G352" s="44"/>
      <x:c r="H352" s="44"/>
      <x:c r="I352" s="44"/>
      <x:c r="J352" s="44"/>
      <x:c r="K352" s="44"/>
      <x:c r="L352" s="44"/>
      <x:c r="M352" s="44"/>
      <x:c r="N352" s="44"/>
      <x:c r="O352" s="44"/>
      <x:c r="P352" s="44"/>
      <x:c r="Q352" s="44"/>
      <x:c r="R352" s="44"/>
      <x:c r="S352" s="44"/>
      <x:c r="T352" s="44"/>
      <x:c r="U352" s="44"/>
    </x:row>
    <x:row r="353">
      <x:c r="A353" s="44"/>
      <x:c r="B353" s="44"/>
      <x:c r="C353" s="44"/>
      <x:c r="D353" s="44"/>
      <x:c r="E353" s="44"/>
      <x:c r="F353" s="44"/>
      <x:c r="G353" s="44"/>
      <x:c r="H353" s="44"/>
      <x:c r="I353" s="44"/>
      <x:c r="J353" s="44"/>
      <x:c r="K353" s="44"/>
      <x:c r="L353" s="44"/>
      <x:c r="M353" s="44"/>
      <x:c r="N353" s="44"/>
      <x:c r="O353" s="44"/>
      <x:c r="P353" s="44"/>
      <x:c r="Q353" s="44"/>
      <x:c r="R353" s="44"/>
      <x:c r="S353" s="44"/>
      <x:c r="T353" s="44"/>
      <x:c r="U353" s="44"/>
    </x:row>
    <x:row r="354">
      <x:c r="A354" s="44"/>
      <x:c r="B354" s="44"/>
      <x:c r="C354" s="44"/>
      <x:c r="D354" s="44"/>
      <x:c r="E354" s="44"/>
      <x:c r="F354" s="44"/>
      <x:c r="G354" s="44"/>
      <x:c r="H354" s="44"/>
      <x:c r="I354" s="44"/>
      <x:c r="J354" s="44"/>
      <x:c r="K354" s="44"/>
      <x:c r="L354" s="44"/>
      <x:c r="M354" s="44"/>
      <x:c r="N354" s="44"/>
      <x:c r="O354" s="44"/>
      <x:c r="P354" s="44"/>
      <x:c r="Q354" s="44"/>
      <x:c r="R354" s="44"/>
      <x:c r="S354" s="44"/>
      <x:c r="T354" s="44"/>
      <x:c r="U354" s="44"/>
    </x:row>
    <x:row r="355">
      <x:c r="A355" s="44"/>
      <x:c r="B355" s="44"/>
      <x:c r="C355" s="44"/>
      <x:c r="D355" s="44"/>
      <x:c r="E355" s="44"/>
      <x:c r="F355" s="44"/>
      <x:c r="G355" s="44"/>
      <x:c r="H355" s="44"/>
      <x:c r="I355" s="44"/>
      <x:c r="J355" s="44"/>
      <x:c r="K355" s="44"/>
      <x:c r="L355" s="44"/>
      <x:c r="M355" s="44"/>
      <x:c r="N355" s="44"/>
      <x:c r="O355" s="44"/>
      <x:c r="P355" s="44"/>
      <x:c r="Q355" s="44"/>
      <x:c r="R355" s="44"/>
      <x:c r="S355" s="44"/>
      <x:c r="T355" s="44"/>
      <x:c r="U355" s="44"/>
    </x:row>
    <x:row r="356">
      <x:c r="A356" s="44"/>
      <x:c r="B356" s="44"/>
      <x:c r="C356" s="44"/>
      <x:c r="D356" s="44"/>
      <x:c r="E356" s="44"/>
      <x:c r="F356" s="44"/>
      <x:c r="G356" s="44"/>
      <x:c r="H356" s="44"/>
      <x:c r="I356" s="44"/>
      <x:c r="J356" s="44"/>
      <x:c r="K356" s="44"/>
      <x:c r="L356" s="44"/>
      <x:c r="M356" s="44"/>
      <x:c r="N356" s="44"/>
      <x:c r="O356" s="44"/>
      <x:c r="P356" s="44"/>
      <x:c r="Q356" s="44"/>
      <x:c r="R356" s="44"/>
      <x:c r="S356" s="44"/>
      <x:c r="T356" s="44"/>
      <x:c r="U356" s="44"/>
    </x:row>
    <x:row r="357">
      <x:c r="A357" s="44"/>
      <x:c r="B357" s="44"/>
      <x:c r="C357" s="44"/>
      <x:c r="D357" s="44"/>
      <x:c r="E357" s="44"/>
      <x:c r="F357" s="44"/>
      <x:c r="G357" s="44"/>
      <x:c r="H357" s="44"/>
      <x:c r="I357" s="44"/>
      <x:c r="J357" s="44"/>
      <x:c r="K357" s="44"/>
      <x:c r="L357" s="44"/>
      <x:c r="M357" s="44"/>
      <x:c r="N357" s="44"/>
      <x:c r="O357" s="44"/>
      <x:c r="P357" s="44"/>
      <x:c r="Q357" s="44"/>
      <x:c r="R357" s="44"/>
      <x:c r="S357" s="44"/>
      <x:c r="T357" s="44"/>
      <x:c r="U357" s="44"/>
    </x:row>
    <x:row r="358">
      <x:c r="A358" s="44"/>
      <x:c r="B358" s="44"/>
      <x:c r="C358" s="44"/>
      <x:c r="D358" s="44"/>
      <x:c r="E358" s="44"/>
      <x:c r="F358" s="44"/>
      <x:c r="G358" s="44"/>
      <x:c r="H358" s="44"/>
      <x:c r="I358" s="44"/>
      <x:c r="J358" s="44"/>
      <x:c r="K358" s="44"/>
      <x:c r="L358" s="44"/>
      <x:c r="M358" s="44"/>
      <x:c r="N358" s="44"/>
      <x:c r="O358" s="44"/>
      <x:c r="P358" s="44"/>
      <x:c r="Q358" s="44"/>
      <x:c r="R358" s="44"/>
      <x:c r="S358" s="44"/>
      <x:c r="T358" s="44"/>
      <x:c r="U358" s="44"/>
    </x:row>
    <x:row r="359">
      <x:c r="A359" s="44"/>
      <x:c r="B359" s="44"/>
      <x:c r="C359" s="44"/>
      <x:c r="D359" s="44"/>
      <x:c r="E359" s="44"/>
      <x:c r="F359" s="44"/>
      <x:c r="G359" s="44"/>
      <x:c r="H359" s="44"/>
      <x:c r="I359" s="44"/>
      <x:c r="J359" s="44"/>
      <x:c r="K359" s="44"/>
      <x:c r="L359" s="44"/>
      <x:c r="M359" s="44"/>
      <x:c r="N359" s="44"/>
      <x:c r="O359" s="44"/>
      <x:c r="P359" s="44"/>
      <x:c r="Q359" s="44"/>
      <x:c r="R359" s="44"/>
      <x:c r="S359" s="44"/>
      <x:c r="T359" s="44"/>
      <x:c r="U359" s="44"/>
    </x:row>
    <x:row r="360">
      <x:c r="A360" s="44"/>
      <x:c r="B360" s="44"/>
      <x:c r="C360" s="44"/>
      <x:c r="D360" s="44"/>
      <x:c r="E360" s="44"/>
      <x:c r="F360" s="44"/>
      <x:c r="G360" s="44"/>
      <x:c r="H360" s="44"/>
      <x:c r="I360" s="44"/>
      <x:c r="J360" s="44"/>
      <x:c r="K360" s="44"/>
      <x:c r="L360" s="44"/>
      <x:c r="M360" s="44"/>
      <x:c r="N360" s="44"/>
      <x:c r="O360" s="44"/>
      <x:c r="P360" s="44"/>
      <x:c r="Q360" s="44"/>
      <x:c r="R360" s="44"/>
      <x:c r="S360" s="44"/>
      <x:c r="T360" s="44"/>
      <x:c r="U360" s="44"/>
    </x:row>
    <x:row r="361">
      <x:c r="A361" s="44"/>
      <x:c r="B361" s="44"/>
      <x:c r="C361" s="44"/>
      <x:c r="D361" s="44"/>
      <x:c r="E361" s="44"/>
      <x:c r="F361" s="44"/>
      <x:c r="G361" s="44"/>
      <x:c r="H361" s="44"/>
      <x:c r="I361" s="44"/>
      <x:c r="J361" s="44"/>
      <x:c r="K361" s="44"/>
      <x:c r="L361" s="44"/>
      <x:c r="M361" s="44"/>
      <x:c r="N361" s="44"/>
      <x:c r="O361" s="44"/>
      <x:c r="P361" s="44"/>
      <x:c r="Q361" s="44"/>
      <x:c r="R361" s="44"/>
      <x:c r="S361" s="44"/>
      <x:c r="T361" s="44"/>
      <x:c r="U361" s="44"/>
    </x:row>
    <x:row r="362">
      <x:c r="A362" s="44"/>
      <x:c r="B362" s="44"/>
      <x:c r="C362" s="44"/>
      <x:c r="D362" s="44"/>
      <x:c r="E362" s="44"/>
      <x:c r="F362" s="44"/>
      <x:c r="G362" s="44"/>
      <x:c r="H362" s="44"/>
      <x:c r="I362" s="44"/>
      <x:c r="J362" s="44"/>
      <x:c r="K362" s="44"/>
      <x:c r="L362" s="44"/>
      <x:c r="M362" s="44"/>
      <x:c r="N362" s="44"/>
      <x:c r="O362" s="44"/>
      <x:c r="P362" s="44"/>
      <x:c r="Q362" s="44"/>
      <x:c r="R362" s="44"/>
      <x:c r="S362" s="44"/>
      <x:c r="T362" s="44"/>
      <x:c r="U362" s="44"/>
    </x:row>
    <x:row r="363">
      <x:c r="A363" s="44"/>
      <x:c r="B363" s="44"/>
      <x:c r="C363" s="44"/>
      <x:c r="D363" s="44"/>
      <x:c r="E363" s="44"/>
      <x:c r="F363" s="44"/>
      <x:c r="G363" s="44"/>
      <x:c r="H363" s="44"/>
      <x:c r="I363" s="44"/>
      <x:c r="J363" s="44"/>
      <x:c r="K363" s="44"/>
      <x:c r="L363" s="44"/>
      <x:c r="M363" s="44"/>
      <x:c r="N363" s="44"/>
      <x:c r="O363" s="44"/>
      <x:c r="P363" s="44"/>
      <x:c r="Q363" s="44"/>
      <x:c r="R363" s="44"/>
      <x:c r="S363" s="44"/>
      <x:c r="T363" s="44"/>
      <x:c r="U363" s="44"/>
    </x:row>
    <x:row r="364">
      <x:c r="A364" s="44"/>
      <x:c r="B364" s="44"/>
      <x:c r="C364" s="44"/>
      <x:c r="D364" s="44"/>
      <x:c r="E364" s="44"/>
      <x:c r="F364" s="44"/>
      <x:c r="G364" s="44"/>
      <x:c r="H364" s="44"/>
      <x:c r="I364" s="44"/>
      <x:c r="J364" s="44"/>
      <x:c r="K364" s="44"/>
      <x:c r="L364" s="44"/>
      <x:c r="M364" s="44"/>
      <x:c r="N364" s="44"/>
      <x:c r="O364" s="44"/>
      <x:c r="P364" s="44"/>
      <x:c r="Q364" s="44"/>
      <x:c r="R364" s="44"/>
      <x:c r="S364" s="44"/>
      <x:c r="T364" s="44"/>
      <x:c r="U364" s="44"/>
    </x:row>
    <x:row r="365">
      <x:c r="A365" s="44"/>
      <x:c r="B365" s="44"/>
      <x:c r="C365" s="44"/>
      <x:c r="D365" s="44"/>
      <x:c r="E365" s="44"/>
      <x:c r="F365" s="44"/>
      <x:c r="G365" s="44"/>
      <x:c r="H365" s="44"/>
      <x:c r="I365" s="44"/>
      <x:c r="J365" s="44"/>
      <x:c r="K365" s="44"/>
      <x:c r="L365" s="44"/>
      <x:c r="M365" s="44"/>
      <x:c r="N365" s="44"/>
      <x:c r="O365" s="44"/>
      <x:c r="P365" s="44"/>
      <x:c r="Q365" s="44"/>
      <x:c r="R365" s="44"/>
      <x:c r="S365" s="44"/>
      <x:c r="T365" s="44"/>
      <x:c r="U365" s="44"/>
    </x:row>
    <x:row r="366">
      <x:c r="A366" s="44"/>
      <x:c r="B366" s="44"/>
      <x:c r="C366" s="44"/>
      <x:c r="D366" s="44"/>
      <x:c r="E366" s="44"/>
      <x:c r="F366" s="44"/>
      <x:c r="G366" s="44"/>
      <x:c r="H366" s="44"/>
      <x:c r="I366" s="44"/>
      <x:c r="J366" s="44"/>
      <x:c r="K366" s="44"/>
      <x:c r="L366" s="44"/>
      <x:c r="M366" s="44"/>
      <x:c r="N366" s="44"/>
      <x:c r="O366" s="44"/>
      <x:c r="P366" s="44"/>
      <x:c r="Q366" s="44"/>
      <x:c r="R366" s="44"/>
      <x:c r="S366" s="44"/>
      <x:c r="T366" s="44"/>
      <x:c r="U366" s="44"/>
    </x:row>
    <x:row r="367">
      <x:c r="A367" s="44"/>
      <x:c r="B367" s="44"/>
      <x:c r="C367" s="44"/>
      <x:c r="D367" s="44"/>
      <x:c r="E367" s="44"/>
      <x:c r="F367" s="44"/>
      <x:c r="G367" s="44"/>
      <x:c r="H367" s="44"/>
      <x:c r="I367" s="44"/>
      <x:c r="J367" s="44"/>
      <x:c r="K367" s="44"/>
      <x:c r="L367" s="44"/>
      <x:c r="M367" s="44"/>
      <x:c r="N367" s="44"/>
      <x:c r="O367" s="44"/>
      <x:c r="P367" s="44"/>
      <x:c r="Q367" s="44"/>
      <x:c r="R367" s="44"/>
      <x:c r="S367" s="44"/>
      <x:c r="T367" s="44"/>
      <x:c r="U367" s="44"/>
    </x:row>
    <x:row r="368">
      <x:c r="A368" s="44"/>
      <x:c r="B368" s="44"/>
      <x:c r="C368" s="44"/>
      <x:c r="D368" s="44"/>
      <x:c r="E368" s="44"/>
      <x:c r="F368" s="44"/>
      <x:c r="G368" s="44"/>
      <x:c r="H368" s="44"/>
      <x:c r="I368" s="44"/>
      <x:c r="J368" s="44"/>
      <x:c r="K368" s="44"/>
      <x:c r="L368" s="44"/>
      <x:c r="M368" s="44"/>
      <x:c r="N368" s="44"/>
      <x:c r="O368" s="44"/>
      <x:c r="P368" s="44"/>
      <x:c r="Q368" s="44"/>
      <x:c r="R368" s="44"/>
      <x:c r="S368" s="44"/>
      <x:c r="T368" s="44"/>
      <x:c r="U368" s="44"/>
    </x:row>
    <x:row r="369">
      <x:c r="A369" s="44"/>
      <x:c r="B369" s="44"/>
      <x:c r="C369" s="44"/>
      <x:c r="D369" s="44"/>
      <x:c r="E369" s="44"/>
      <x:c r="F369" s="44"/>
      <x:c r="G369" s="44"/>
      <x:c r="H369" s="44"/>
      <x:c r="I369" s="44"/>
      <x:c r="J369" s="44"/>
      <x:c r="K369" s="44"/>
      <x:c r="L369" s="44"/>
      <x:c r="M369" s="44"/>
      <x:c r="N369" s="44"/>
      <x:c r="O369" s="44"/>
      <x:c r="P369" s="44"/>
      <x:c r="Q369" s="44"/>
      <x:c r="R369" s="44"/>
      <x:c r="S369" s="44"/>
      <x:c r="T369" s="44"/>
      <x:c r="U369" s="44"/>
    </x:row>
    <x:row r="370">
      <x:c r="A370" s="44"/>
      <x:c r="B370" s="44"/>
      <x:c r="C370" s="44"/>
      <x:c r="D370" s="44"/>
      <x:c r="E370" s="44"/>
      <x:c r="F370" s="44"/>
      <x:c r="G370" s="44"/>
      <x:c r="H370" s="44"/>
      <x:c r="I370" s="44"/>
      <x:c r="J370" s="44"/>
      <x:c r="K370" s="44"/>
      <x:c r="L370" s="44"/>
      <x:c r="M370" s="44"/>
      <x:c r="N370" s="44"/>
      <x:c r="O370" s="44"/>
      <x:c r="P370" s="44"/>
      <x:c r="Q370" s="44"/>
      <x:c r="R370" s="44"/>
      <x:c r="S370" s="44"/>
      <x:c r="T370" s="44"/>
      <x:c r="U370" s="44"/>
    </x:row>
    <x:row r="371">
      <x:c r="A371" s="44"/>
      <x:c r="B371" s="44"/>
      <x:c r="C371" s="44"/>
      <x:c r="D371" s="44"/>
      <x:c r="E371" s="44"/>
      <x:c r="F371" s="44"/>
      <x:c r="G371" s="44"/>
      <x:c r="H371" s="44"/>
      <x:c r="I371" s="44"/>
      <x:c r="J371" s="44"/>
      <x:c r="K371" s="44"/>
      <x:c r="L371" s="44"/>
      <x:c r="M371" s="44"/>
      <x:c r="N371" s="44"/>
      <x:c r="O371" s="44"/>
      <x:c r="P371" s="44"/>
      <x:c r="Q371" s="44"/>
      <x:c r="R371" s="44"/>
      <x:c r="S371" s="44"/>
      <x:c r="T371" s="44"/>
      <x:c r="U371" s="44"/>
    </x:row>
    <x:row r="372">
      <x:c r="A372" s="44"/>
      <x:c r="B372" s="44"/>
      <x:c r="C372" s="44"/>
      <x:c r="D372" s="44"/>
      <x:c r="E372" s="44"/>
      <x:c r="F372" s="44"/>
      <x:c r="G372" s="44"/>
      <x:c r="H372" s="44"/>
      <x:c r="I372" s="44"/>
      <x:c r="J372" s="44"/>
      <x:c r="K372" s="44"/>
      <x:c r="L372" s="44"/>
      <x:c r="M372" s="44"/>
      <x:c r="N372" s="44"/>
      <x:c r="O372" s="44"/>
      <x:c r="P372" s="44"/>
      <x:c r="Q372" s="44"/>
      <x:c r="R372" s="44"/>
      <x:c r="S372" s="44"/>
      <x:c r="T372" s="44"/>
      <x:c r="U372" s="44"/>
    </x:row>
    <x:row r="373">
      <x:c r="A373" s="44"/>
      <x:c r="B373" s="44"/>
      <x:c r="C373" s="44"/>
      <x:c r="D373" s="44"/>
      <x:c r="E373" s="44"/>
      <x:c r="F373" s="44"/>
      <x:c r="G373" s="44"/>
      <x:c r="H373" s="44"/>
      <x:c r="I373" s="44"/>
      <x:c r="J373" s="44"/>
      <x:c r="K373" s="44"/>
      <x:c r="L373" s="44"/>
      <x:c r="M373" s="44"/>
      <x:c r="N373" s="44"/>
      <x:c r="O373" s="44"/>
      <x:c r="P373" s="44"/>
      <x:c r="Q373" s="44"/>
      <x:c r="R373" s="44"/>
      <x:c r="S373" s="44"/>
      <x:c r="T373" s="44"/>
      <x:c r="U373" s="44"/>
    </x:row>
    <x:row r="374">
      <x:c r="A374" s="44"/>
      <x:c r="B374" s="44"/>
      <x:c r="C374" s="44"/>
      <x:c r="D374" s="44"/>
      <x:c r="E374" s="44"/>
      <x:c r="F374" s="44"/>
      <x:c r="G374" s="44"/>
      <x:c r="H374" s="44"/>
      <x:c r="I374" s="44"/>
      <x:c r="J374" s="44"/>
      <x:c r="K374" s="44"/>
      <x:c r="L374" s="44"/>
      <x:c r="M374" s="44"/>
      <x:c r="N374" s="44"/>
      <x:c r="O374" s="44"/>
      <x:c r="P374" s="44"/>
      <x:c r="Q374" s="44"/>
      <x:c r="R374" s="44"/>
      <x:c r="S374" s="44"/>
      <x:c r="T374" s="44"/>
      <x:c r="U374" s="44"/>
    </x:row>
    <x:row r="375">
      <x:c r="A375" s="44"/>
      <x:c r="B375" s="44"/>
      <x:c r="C375" s="44"/>
      <x:c r="D375" s="44"/>
      <x:c r="E375" s="44"/>
      <x:c r="F375" s="44"/>
      <x:c r="G375" s="44"/>
      <x:c r="H375" s="44"/>
      <x:c r="I375" s="44"/>
      <x:c r="J375" s="44"/>
      <x:c r="K375" s="44"/>
      <x:c r="L375" s="44"/>
      <x:c r="M375" s="44"/>
      <x:c r="N375" s="44"/>
      <x:c r="O375" s="44"/>
      <x:c r="P375" s="44"/>
      <x:c r="Q375" s="44"/>
      <x:c r="R375" s="44"/>
      <x:c r="S375" s="44"/>
      <x:c r="T375" s="44"/>
      <x:c r="U375" s="44"/>
    </x:row>
    <x:row r="376">
      <x:c r="A376" s="44"/>
      <x:c r="B376" s="44"/>
      <x:c r="C376" s="44"/>
      <x:c r="D376" s="44"/>
      <x:c r="E376" s="44"/>
      <x:c r="F376" s="44"/>
      <x:c r="G376" s="44"/>
      <x:c r="H376" s="44"/>
      <x:c r="I376" s="44"/>
      <x:c r="J376" s="44"/>
      <x:c r="K376" s="44"/>
      <x:c r="L376" s="44"/>
      <x:c r="M376" s="44"/>
      <x:c r="N376" s="44"/>
      <x:c r="O376" s="44"/>
      <x:c r="P376" s="44"/>
      <x:c r="Q376" s="44"/>
      <x:c r="R376" s="44"/>
      <x:c r="S376" s="44"/>
      <x:c r="T376" s="44"/>
      <x:c r="U376" s="44"/>
    </x:row>
    <x:row r="377">
      <x:c r="A377" s="44"/>
      <x:c r="B377" s="44"/>
      <x:c r="C377" s="44"/>
      <x:c r="D377" s="44"/>
      <x:c r="E377" s="44"/>
      <x:c r="F377" s="44"/>
      <x:c r="G377" s="44"/>
      <x:c r="H377" s="44"/>
      <x:c r="I377" s="44"/>
      <x:c r="J377" s="44"/>
      <x:c r="K377" s="44"/>
      <x:c r="L377" s="44"/>
      <x:c r="M377" s="44"/>
      <x:c r="N377" s="44"/>
      <x:c r="O377" s="44"/>
      <x:c r="P377" s="44"/>
      <x:c r="Q377" s="44"/>
      <x:c r="R377" s="44"/>
      <x:c r="S377" s="44"/>
      <x:c r="T377" s="44"/>
      <x:c r="U377" s="44"/>
    </x:row>
    <x:row r="378">
      <x:c r="A378" s="44"/>
      <x:c r="B378" s="44"/>
      <x:c r="C378" s="44"/>
      <x:c r="D378" s="44"/>
      <x:c r="E378" s="44"/>
      <x:c r="F378" s="44"/>
      <x:c r="G378" s="44"/>
      <x:c r="H378" s="44"/>
      <x:c r="I378" s="44"/>
      <x:c r="J378" s="44"/>
      <x:c r="K378" s="44"/>
      <x:c r="L378" s="44"/>
      <x:c r="M378" s="44"/>
      <x:c r="N378" s="44"/>
      <x:c r="O378" s="44"/>
      <x:c r="P378" s="44"/>
      <x:c r="Q378" s="44"/>
      <x:c r="R378" s="44"/>
      <x:c r="S378" s="44"/>
      <x:c r="T378" s="44"/>
      <x:c r="U378" s="44"/>
    </x:row>
    <x:row r="379">
      <x:c r="A379" s="44"/>
      <x:c r="B379" s="44"/>
      <x:c r="C379" s="44"/>
      <x:c r="D379" s="44"/>
      <x:c r="E379" s="44"/>
      <x:c r="F379" s="44"/>
      <x:c r="G379" s="44"/>
      <x:c r="H379" s="44"/>
      <x:c r="I379" s="44"/>
      <x:c r="J379" s="44"/>
      <x:c r="K379" s="44"/>
      <x:c r="L379" s="44"/>
      <x:c r="M379" s="44"/>
      <x:c r="N379" s="44"/>
      <x:c r="O379" s="44"/>
      <x:c r="P379" s="44"/>
      <x:c r="Q379" s="44"/>
      <x:c r="R379" s="44"/>
      <x:c r="S379" s="44"/>
      <x:c r="T379" s="44"/>
      <x:c r="U379" s="44"/>
    </x:row>
    <x:row r="380">
      <x:c r="A380" s="44"/>
      <x:c r="B380" s="44"/>
      <x:c r="C380" s="44"/>
      <x:c r="D380" s="44"/>
      <x:c r="E380" s="44"/>
      <x:c r="F380" s="44"/>
      <x:c r="G380" s="44"/>
      <x:c r="H380" s="44"/>
      <x:c r="I380" s="44"/>
      <x:c r="J380" s="44"/>
      <x:c r="K380" s="44"/>
      <x:c r="L380" s="44"/>
      <x:c r="M380" s="44"/>
      <x:c r="N380" s="44"/>
      <x:c r="O380" s="44"/>
      <x:c r="P380" s="44"/>
      <x:c r="Q380" s="44"/>
      <x:c r="R380" s="44"/>
      <x:c r="S380" s="44"/>
      <x:c r="T380" s="44"/>
      <x:c r="U380" s="44"/>
    </x:row>
    <x:row r="381">
      <x:c r="A381" s="44"/>
      <x:c r="B381" s="44"/>
      <x:c r="C381" s="44"/>
      <x:c r="D381" s="44"/>
      <x:c r="E381" s="44"/>
      <x:c r="F381" s="44"/>
      <x:c r="G381" s="44"/>
      <x:c r="H381" s="44"/>
      <x:c r="I381" s="44"/>
      <x:c r="J381" s="44"/>
      <x:c r="K381" s="44"/>
      <x:c r="L381" s="44"/>
      <x:c r="M381" s="44"/>
      <x:c r="N381" s="44"/>
      <x:c r="O381" s="44"/>
      <x:c r="P381" s="44"/>
      <x:c r="Q381" s="44"/>
      <x:c r="R381" s="44"/>
      <x:c r="S381" s="44"/>
      <x:c r="T381" s="44"/>
      <x:c r="U381" s="44"/>
    </x:row>
    <x:row r="382">
      <x:c r="A382" s="44"/>
      <x:c r="B382" s="44"/>
      <x:c r="C382" s="44"/>
      <x:c r="D382" s="44"/>
      <x:c r="E382" s="44"/>
      <x:c r="F382" s="44"/>
      <x:c r="G382" s="44"/>
      <x:c r="H382" s="44"/>
      <x:c r="I382" s="44"/>
      <x:c r="J382" s="44"/>
      <x:c r="K382" s="44"/>
      <x:c r="L382" s="44"/>
      <x:c r="M382" s="44"/>
      <x:c r="N382" s="44"/>
      <x:c r="O382" s="44"/>
      <x:c r="P382" s="44"/>
      <x:c r="Q382" s="44"/>
      <x:c r="R382" s="44"/>
      <x:c r="S382" s="44"/>
      <x:c r="T382" s="44"/>
      <x:c r="U382" s="44"/>
    </x:row>
    <x:row r="383">
      <x:c r="A383" s="44"/>
      <x:c r="B383" s="44"/>
      <x:c r="C383" s="44"/>
      <x:c r="D383" s="44"/>
      <x:c r="E383" s="44"/>
      <x:c r="F383" s="44"/>
      <x:c r="G383" s="44"/>
      <x:c r="H383" s="44"/>
      <x:c r="I383" s="44"/>
      <x:c r="J383" s="44"/>
      <x:c r="K383" s="44"/>
      <x:c r="L383" s="44"/>
      <x:c r="M383" s="44"/>
      <x:c r="N383" s="44"/>
      <x:c r="O383" s="44"/>
      <x:c r="P383" s="44"/>
      <x:c r="Q383" s="44"/>
      <x:c r="R383" s="44"/>
      <x:c r="S383" s="44"/>
      <x:c r="T383" s="44"/>
      <x:c r="U383" s="44"/>
    </x:row>
    <x:row r="384">
      <x:c r="A384" s="44"/>
      <x:c r="B384" s="44"/>
      <x:c r="C384" s="44"/>
      <x:c r="D384" s="44"/>
      <x:c r="E384" s="44"/>
      <x:c r="F384" s="44"/>
      <x:c r="G384" s="44"/>
      <x:c r="H384" s="44"/>
      <x:c r="I384" s="44"/>
      <x:c r="J384" s="44"/>
      <x:c r="K384" s="44"/>
      <x:c r="L384" s="44"/>
      <x:c r="M384" s="44"/>
      <x:c r="N384" s="44"/>
      <x:c r="O384" s="44"/>
      <x:c r="P384" s="44"/>
      <x:c r="Q384" s="44"/>
      <x:c r="R384" s="44"/>
      <x:c r="S384" s="44"/>
      <x:c r="T384" s="44"/>
      <x:c r="U384" s="44"/>
    </x:row>
    <x:row r="385">
      <x:c r="A385" s="44"/>
      <x:c r="B385" s="44"/>
      <x:c r="C385" s="44"/>
      <x:c r="D385" s="44"/>
      <x:c r="E385" s="44"/>
      <x:c r="F385" s="44"/>
      <x:c r="G385" s="44"/>
      <x:c r="H385" s="44"/>
      <x:c r="I385" s="44"/>
      <x:c r="J385" s="44"/>
      <x:c r="K385" s="44"/>
      <x:c r="L385" s="44"/>
      <x:c r="M385" s="44"/>
      <x:c r="N385" s="44"/>
      <x:c r="O385" s="44"/>
      <x:c r="P385" s="44"/>
      <x:c r="Q385" s="44"/>
      <x:c r="R385" s="44"/>
      <x:c r="S385" s="44"/>
      <x:c r="T385" s="44"/>
      <x:c r="U385" s="44"/>
    </x:row>
    <x:row r="386">
      <x:c r="A386" s="44"/>
      <x:c r="B386" s="44"/>
      <x:c r="C386" s="44"/>
      <x:c r="D386" s="44"/>
      <x:c r="E386" s="44"/>
      <x:c r="F386" s="44"/>
      <x:c r="G386" s="44"/>
      <x:c r="H386" s="44"/>
      <x:c r="I386" s="44"/>
      <x:c r="J386" s="44"/>
      <x:c r="K386" s="44"/>
      <x:c r="L386" s="44"/>
      <x:c r="M386" s="44"/>
      <x:c r="N386" s="44"/>
      <x:c r="O386" s="44"/>
      <x:c r="P386" s="44"/>
      <x:c r="Q386" s="44"/>
      <x:c r="R386" s="44"/>
      <x:c r="S386" s="44"/>
      <x:c r="T386" s="44"/>
      <x:c r="U386" s="44"/>
    </x:row>
    <x:row r="387">
      <x:c r="A387" s="44"/>
      <x:c r="B387" s="44"/>
      <x:c r="C387" s="44"/>
      <x:c r="D387" s="44"/>
      <x:c r="E387" s="44"/>
      <x:c r="F387" s="44"/>
      <x:c r="G387" s="44"/>
      <x:c r="H387" s="44"/>
      <x:c r="I387" s="44"/>
      <x:c r="J387" s="44"/>
      <x:c r="K387" s="44"/>
      <x:c r="L387" s="44"/>
      <x:c r="M387" s="44"/>
      <x:c r="N387" s="44"/>
      <x:c r="O387" s="44"/>
      <x:c r="P387" s="44"/>
      <x:c r="Q387" s="44"/>
      <x:c r="R387" s="44"/>
      <x:c r="S387" s="44"/>
      <x:c r="T387" s="44"/>
      <x:c r="U387" s="44"/>
    </x:row>
    <x:row r="388">
      <x:c r="A388" s="44"/>
      <x:c r="B388" s="44"/>
      <x:c r="C388" s="44"/>
      <x:c r="D388" s="44"/>
      <x:c r="E388" s="44"/>
      <x:c r="F388" s="44"/>
      <x:c r="G388" s="44"/>
      <x:c r="H388" s="44"/>
      <x:c r="I388" s="44"/>
      <x:c r="J388" s="44"/>
      <x:c r="K388" s="44"/>
      <x:c r="L388" s="44"/>
      <x:c r="M388" s="44"/>
      <x:c r="N388" s="44"/>
      <x:c r="O388" s="44"/>
      <x:c r="P388" s="44"/>
      <x:c r="Q388" s="44"/>
      <x:c r="R388" s="44"/>
      <x:c r="S388" s="44"/>
      <x:c r="T388" s="44"/>
      <x:c r="U388" s="44"/>
    </x:row>
    <x:row r="389">
      <x:c r="A389" s="44"/>
      <x:c r="B389" s="44"/>
      <x:c r="C389" s="44"/>
      <x:c r="D389" s="44"/>
      <x:c r="E389" s="44"/>
      <x:c r="F389" s="44"/>
      <x:c r="G389" s="44"/>
      <x:c r="H389" s="44"/>
      <x:c r="I389" s="44"/>
      <x:c r="J389" s="44"/>
      <x:c r="K389" s="44"/>
      <x:c r="L389" s="44"/>
      <x:c r="M389" s="44"/>
      <x:c r="N389" s="44"/>
      <x:c r="O389" s="44"/>
      <x:c r="P389" s="44"/>
      <x:c r="Q389" s="44"/>
      <x:c r="R389" s="44"/>
      <x:c r="S389" s="44"/>
      <x:c r="T389" s="44"/>
      <x:c r="U389" s="44"/>
    </x:row>
    <x:row r="390">
      <x:c r="A390" s="44"/>
      <x:c r="B390" s="44"/>
      <x:c r="C390" s="44"/>
      <x:c r="D390" s="44"/>
      <x:c r="E390" s="44"/>
      <x:c r="F390" s="44"/>
      <x:c r="G390" s="44"/>
      <x:c r="H390" s="44"/>
      <x:c r="I390" s="44"/>
      <x:c r="J390" s="44"/>
      <x:c r="K390" s="44"/>
      <x:c r="L390" s="44"/>
      <x:c r="M390" s="44"/>
      <x:c r="N390" s="44"/>
      <x:c r="O390" s="44"/>
      <x:c r="P390" s="44"/>
      <x:c r="Q390" s="44"/>
      <x:c r="R390" s="44"/>
      <x:c r="S390" s="44"/>
      <x:c r="T390" s="44"/>
      <x:c r="U390" s="44"/>
    </x:row>
    <x:row r="391">
      <x:c r="A391" s="44"/>
      <x:c r="B391" s="44"/>
      <x:c r="C391" s="44"/>
      <x:c r="D391" s="44"/>
      <x:c r="E391" s="44"/>
      <x:c r="F391" s="44"/>
      <x:c r="G391" s="44"/>
      <x:c r="H391" s="44"/>
      <x:c r="I391" s="44"/>
      <x:c r="J391" s="44"/>
      <x:c r="K391" s="44"/>
      <x:c r="L391" s="44"/>
      <x:c r="M391" s="44"/>
      <x:c r="N391" s="44"/>
      <x:c r="O391" s="44"/>
      <x:c r="P391" s="44"/>
      <x:c r="Q391" s="44"/>
      <x:c r="R391" s="44"/>
      <x:c r="S391" s="44"/>
      <x:c r="T391" s="44"/>
      <x:c r="U391" s="44"/>
    </x:row>
    <x:row r="392">
      <x:c r="A392" s="44"/>
      <x:c r="B392" s="44"/>
      <x:c r="C392" s="44"/>
      <x:c r="D392" s="44"/>
      <x:c r="E392" s="44"/>
      <x:c r="F392" s="44"/>
      <x:c r="G392" s="44"/>
      <x:c r="H392" s="44"/>
      <x:c r="I392" s="44"/>
      <x:c r="J392" s="44"/>
      <x:c r="K392" s="44"/>
      <x:c r="L392" s="44"/>
      <x:c r="M392" s="44"/>
      <x:c r="N392" s="44"/>
      <x:c r="O392" s="44"/>
      <x:c r="P392" s="44"/>
      <x:c r="Q392" s="44"/>
      <x:c r="R392" s="44"/>
      <x:c r="S392" s="44"/>
      <x:c r="T392" s="44"/>
      <x:c r="U392" s="44"/>
    </x:row>
    <x:row r="393">
      <x:c r="A393" s="44"/>
      <x:c r="B393" s="44"/>
      <x:c r="C393" s="44"/>
      <x:c r="D393" s="44"/>
      <x:c r="E393" s="44"/>
      <x:c r="F393" s="44"/>
      <x:c r="G393" s="44"/>
      <x:c r="H393" s="44"/>
      <x:c r="I393" s="44"/>
      <x:c r="J393" s="44"/>
      <x:c r="K393" s="44"/>
      <x:c r="L393" s="44"/>
      <x:c r="M393" s="44"/>
      <x:c r="N393" s="44"/>
      <x:c r="O393" s="44"/>
      <x:c r="P393" s="44"/>
      <x:c r="Q393" s="44"/>
      <x:c r="R393" s="44"/>
      <x:c r="S393" s="44"/>
      <x:c r="T393" s="44"/>
      <x:c r="U393" s="44"/>
    </x:row>
    <x:row r="394">
      <x:c r="A394" s="44"/>
      <x:c r="B394" s="44"/>
      <x:c r="C394" s="44"/>
      <x:c r="D394" s="44"/>
      <x:c r="E394" s="44"/>
      <x:c r="F394" s="44"/>
      <x:c r="G394" s="44"/>
      <x:c r="H394" s="44"/>
      <x:c r="I394" s="44"/>
      <x:c r="J394" s="44"/>
      <x:c r="K394" s="44"/>
      <x:c r="L394" s="44"/>
      <x:c r="M394" s="44"/>
      <x:c r="N394" s="44"/>
      <x:c r="O394" s="44"/>
      <x:c r="P394" s="44"/>
      <x:c r="Q394" s="44"/>
      <x:c r="R394" s="44"/>
      <x:c r="S394" s="44"/>
      <x:c r="T394" s="44"/>
      <x:c r="U394" s="44"/>
    </x:row>
    <x:row r="395">
      <x:c r="A395" s="44"/>
      <x:c r="B395" s="44"/>
      <x:c r="C395" s="44"/>
      <x:c r="D395" s="44"/>
      <x:c r="E395" s="44"/>
      <x:c r="F395" s="44"/>
      <x:c r="G395" s="44"/>
      <x:c r="H395" s="44"/>
      <x:c r="I395" s="44"/>
      <x:c r="J395" s="44"/>
      <x:c r="K395" s="44"/>
      <x:c r="L395" s="44"/>
      <x:c r="M395" s="44"/>
      <x:c r="N395" s="44"/>
      <x:c r="O395" s="44"/>
      <x:c r="P395" s="44"/>
      <x:c r="Q395" s="44"/>
      <x:c r="R395" s="44"/>
      <x:c r="S395" s="44"/>
      <x:c r="T395" s="44"/>
      <x:c r="U395" s="44"/>
    </x:row>
    <x:row r="396">
      <x:c r="A396" s="44"/>
      <x:c r="B396" s="44"/>
      <x:c r="C396" s="44"/>
      <x:c r="D396" s="44"/>
      <x:c r="E396" s="44"/>
      <x:c r="F396" s="44"/>
      <x:c r="G396" s="44"/>
      <x:c r="H396" s="44"/>
      <x:c r="I396" s="44"/>
      <x:c r="J396" s="44"/>
      <x:c r="K396" s="44"/>
      <x:c r="L396" s="44"/>
      <x:c r="M396" s="44"/>
      <x:c r="N396" s="44"/>
      <x:c r="O396" s="44"/>
      <x:c r="P396" s="44"/>
      <x:c r="Q396" s="44"/>
      <x:c r="R396" s="44"/>
      <x:c r="S396" s="44"/>
      <x:c r="T396" s="44"/>
      <x:c r="U396" s="44"/>
    </x:row>
    <x:row r="397">
      <x:c r="A397" s="44"/>
      <x:c r="B397" s="44"/>
      <x:c r="C397" s="44"/>
      <x:c r="D397" s="44"/>
      <x:c r="E397" s="44"/>
      <x:c r="F397" s="44"/>
      <x:c r="G397" s="44"/>
      <x:c r="H397" s="44"/>
      <x:c r="I397" s="44"/>
      <x:c r="J397" s="44"/>
      <x:c r="K397" s="44"/>
      <x:c r="L397" s="44"/>
      <x:c r="M397" s="44"/>
      <x:c r="N397" s="44"/>
      <x:c r="O397" s="44"/>
      <x:c r="P397" s="44"/>
      <x:c r="Q397" s="44"/>
      <x:c r="R397" s="44"/>
      <x:c r="S397" s="44"/>
      <x:c r="T397" s="44"/>
      <x:c r="U397" s="44"/>
    </x:row>
    <x:row r="398">
      <x:c r="A398" s="44"/>
      <x:c r="B398" s="44"/>
      <x:c r="C398" s="44"/>
      <x:c r="D398" s="44"/>
      <x:c r="E398" s="44"/>
      <x:c r="F398" s="44"/>
      <x:c r="G398" s="44"/>
      <x:c r="H398" s="44"/>
      <x:c r="I398" s="44"/>
      <x:c r="J398" s="44"/>
      <x:c r="K398" s="44"/>
      <x:c r="L398" s="44"/>
      <x:c r="M398" s="44"/>
      <x:c r="N398" s="44"/>
      <x:c r="O398" s="44"/>
      <x:c r="P398" s="44"/>
      <x:c r="Q398" s="44"/>
      <x:c r="R398" s="44"/>
      <x:c r="S398" s="44"/>
      <x:c r="T398" s="44"/>
      <x:c r="U398" s="44"/>
    </x:row>
    <x:row r="399">
      <x:c r="A399" s="44"/>
      <x:c r="B399" s="44"/>
      <x:c r="C399" s="44"/>
      <x:c r="D399" s="44"/>
      <x:c r="E399" s="44"/>
      <x:c r="F399" s="44"/>
      <x:c r="G399" s="44"/>
      <x:c r="H399" s="44"/>
      <x:c r="I399" s="44"/>
      <x:c r="J399" s="44"/>
      <x:c r="K399" s="44"/>
      <x:c r="L399" s="44"/>
      <x:c r="M399" s="44"/>
      <x:c r="N399" s="44"/>
      <x:c r="O399" s="44"/>
      <x:c r="P399" s="44"/>
      <x:c r="Q399" s="44"/>
      <x:c r="R399" s="44"/>
      <x:c r="S399" s="44"/>
      <x:c r="T399" s="44"/>
      <x:c r="U399" s="44"/>
    </x:row>
    <x:row r="400">
      <x:c r="A400" s="44"/>
      <x:c r="B400" s="44"/>
      <x:c r="C400" s="44"/>
      <x:c r="D400" s="44"/>
      <x:c r="E400" s="44"/>
      <x:c r="F400" s="44"/>
      <x:c r="G400" s="44"/>
      <x:c r="H400" s="44"/>
      <x:c r="I400" s="44"/>
      <x:c r="J400" s="44"/>
      <x:c r="K400" s="44"/>
      <x:c r="L400" s="44"/>
      <x:c r="M400" s="44"/>
      <x:c r="N400" s="44"/>
      <x:c r="O400" s="44"/>
      <x:c r="P400" s="44"/>
      <x:c r="Q400" s="44"/>
      <x:c r="R400" s="44"/>
      <x:c r="S400" s="44"/>
      <x:c r="T400" s="44"/>
      <x:c r="U400" s="44"/>
    </x:row>
    <x:row r="401">
      <x:c r="A401" s="44"/>
      <x:c r="B401" s="44"/>
      <x:c r="C401" s="44"/>
      <x:c r="D401" s="44"/>
      <x:c r="E401" s="44"/>
      <x:c r="F401" s="44"/>
      <x:c r="G401" s="44"/>
      <x:c r="H401" s="44"/>
      <x:c r="I401" s="44"/>
      <x:c r="J401" s="44"/>
      <x:c r="K401" s="44"/>
      <x:c r="L401" s="44"/>
      <x:c r="M401" s="44"/>
      <x:c r="N401" s="44"/>
      <x:c r="O401" s="44"/>
      <x:c r="P401" s="44"/>
      <x:c r="Q401" s="44"/>
      <x:c r="R401" s="44"/>
      <x:c r="S401" s="44"/>
      <x:c r="T401" s="44"/>
      <x:c r="U401" s="44"/>
    </x:row>
    <x:row r="402">
      <x:c r="A402" s="44"/>
      <x:c r="B402" s="44"/>
      <x:c r="C402" s="44"/>
      <x:c r="D402" s="44"/>
      <x:c r="E402" s="44"/>
      <x:c r="F402" s="44"/>
      <x:c r="G402" s="44"/>
      <x:c r="H402" s="44"/>
      <x:c r="I402" s="44"/>
      <x:c r="J402" s="44"/>
      <x:c r="K402" s="44"/>
      <x:c r="L402" s="44"/>
      <x:c r="M402" s="44"/>
      <x:c r="N402" s="44"/>
      <x:c r="O402" s="44"/>
      <x:c r="P402" s="44"/>
      <x:c r="Q402" s="44"/>
      <x:c r="R402" s="44"/>
      <x:c r="S402" s="44"/>
      <x:c r="T402" s="44"/>
      <x:c r="U402" s="44"/>
    </x:row>
    <x:row r="403">
      <x:c r="A403" s="44"/>
      <x:c r="B403" s="44"/>
      <x:c r="C403" s="44"/>
      <x:c r="D403" s="44"/>
      <x:c r="E403" s="44"/>
      <x:c r="F403" s="44"/>
      <x:c r="G403" s="44"/>
      <x:c r="H403" s="44"/>
      <x:c r="I403" s="44"/>
      <x:c r="J403" s="44"/>
      <x:c r="K403" s="44"/>
      <x:c r="L403" s="44"/>
      <x:c r="M403" s="44"/>
      <x:c r="N403" s="44"/>
      <x:c r="O403" s="44"/>
      <x:c r="P403" s="44"/>
      <x:c r="Q403" s="44"/>
      <x:c r="R403" s="44"/>
      <x:c r="S403" s="44"/>
      <x:c r="T403" s="44"/>
      <x:c r="U403" s="44"/>
    </x:row>
    <x:row r="404">
      <x:c r="A404" s="44"/>
      <x:c r="B404" s="44"/>
      <x:c r="C404" s="44"/>
      <x:c r="D404" s="44"/>
      <x:c r="E404" s="44"/>
      <x:c r="F404" s="44"/>
      <x:c r="G404" s="44"/>
      <x:c r="H404" s="44"/>
      <x:c r="I404" s="44"/>
      <x:c r="J404" s="44"/>
      <x:c r="K404" s="44"/>
      <x:c r="L404" s="44"/>
      <x:c r="M404" s="44"/>
      <x:c r="N404" s="44"/>
      <x:c r="O404" s="44"/>
      <x:c r="P404" s="44"/>
      <x:c r="Q404" s="44"/>
      <x:c r="R404" s="44"/>
      <x:c r="S404" s="44"/>
      <x:c r="T404" s="44"/>
      <x:c r="U404" s="44"/>
    </x:row>
    <x:row r="405">
      <x:c r="A405" s="44"/>
      <x:c r="B405" s="44"/>
      <x:c r="C405" s="44"/>
      <x:c r="D405" s="44"/>
      <x:c r="E405" s="44"/>
      <x:c r="F405" s="44"/>
      <x:c r="G405" s="44"/>
      <x:c r="H405" s="44"/>
      <x:c r="I405" s="44"/>
      <x:c r="J405" s="44"/>
      <x:c r="K405" s="44"/>
      <x:c r="L405" s="44"/>
      <x:c r="M405" s="44"/>
      <x:c r="N405" s="44"/>
      <x:c r="O405" s="44"/>
      <x:c r="P405" s="44"/>
      <x:c r="Q405" s="44"/>
      <x:c r="R405" s="44"/>
      <x:c r="S405" s="44"/>
      <x:c r="T405" s="44"/>
      <x:c r="U405" s="44"/>
    </x:row>
    <x:row r="406">
      <x:c r="A406" s="44"/>
      <x:c r="B406" s="44"/>
      <x:c r="C406" s="44"/>
      <x:c r="D406" s="44"/>
      <x:c r="E406" s="44"/>
      <x:c r="F406" s="44"/>
      <x:c r="G406" s="44"/>
      <x:c r="H406" s="44"/>
      <x:c r="I406" s="44"/>
      <x:c r="J406" s="44"/>
      <x:c r="K406" s="44"/>
      <x:c r="L406" s="44"/>
      <x:c r="M406" s="44"/>
      <x:c r="N406" s="44"/>
      <x:c r="O406" s="44"/>
      <x:c r="P406" s="44"/>
      <x:c r="Q406" s="44"/>
      <x:c r="R406" s="44"/>
      <x:c r="S406" s="44"/>
      <x:c r="T406" s="44"/>
      <x:c r="U406" s="44"/>
    </x:row>
    <x:row r="407">
      <x:c r="A407" s="44"/>
      <x:c r="B407" s="44"/>
      <x:c r="C407" s="44"/>
      <x:c r="D407" s="44"/>
      <x:c r="E407" s="44"/>
      <x:c r="F407" s="44"/>
      <x:c r="G407" s="44"/>
      <x:c r="H407" s="44"/>
      <x:c r="I407" s="44"/>
      <x:c r="J407" s="44"/>
      <x:c r="K407" s="44"/>
      <x:c r="L407" s="44"/>
      <x:c r="M407" s="44"/>
      <x:c r="N407" s="44"/>
      <x:c r="O407" s="44"/>
      <x:c r="P407" s="44"/>
      <x:c r="Q407" s="44"/>
      <x:c r="R407" s="44"/>
      <x:c r="S407" s="44"/>
      <x:c r="T407" s="44"/>
      <x:c r="U407" s="44"/>
    </x:row>
    <x:row r="408">
      <x:c r="A408" s="44"/>
      <x:c r="B408" s="44"/>
      <x:c r="C408" s="44"/>
      <x:c r="D408" s="44"/>
      <x:c r="E408" s="44"/>
      <x:c r="F408" s="44"/>
      <x:c r="G408" s="44"/>
      <x:c r="H408" s="44"/>
      <x:c r="I408" s="44"/>
      <x:c r="J408" s="44"/>
      <x:c r="K408" s="44"/>
      <x:c r="L408" s="44"/>
      <x:c r="M408" s="44"/>
      <x:c r="N408" s="44"/>
      <x:c r="O408" s="44"/>
      <x:c r="P408" s="44"/>
      <x:c r="Q408" s="44"/>
      <x:c r="R408" s="44"/>
      <x:c r="S408" s="44"/>
      <x:c r="T408" s="44"/>
      <x:c r="U408" s="44"/>
    </x:row>
    <x:row r="409">
      <x:c r="A409" s="44"/>
      <x:c r="B409" s="44"/>
      <x:c r="C409" s="44"/>
      <x:c r="D409" s="44"/>
      <x:c r="E409" s="44"/>
      <x:c r="F409" s="44"/>
      <x:c r="G409" s="44"/>
      <x:c r="H409" s="44"/>
      <x:c r="I409" s="44"/>
      <x:c r="J409" s="44"/>
      <x:c r="K409" s="44"/>
      <x:c r="L409" s="44"/>
      <x:c r="M409" s="44"/>
      <x:c r="N409" s="44"/>
      <x:c r="O409" s="44"/>
      <x:c r="P409" s="44"/>
      <x:c r="Q409" s="44"/>
      <x:c r="R409" s="44"/>
      <x:c r="S409" s="44"/>
      <x:c r="T409" s="44"/>
      <x:c r="U409" s="44"/>
    </x:row>
    <x:row r="410">
      <x:c r="A410" s="44"/>
      <x:c r="B410" s="44"/>
      <x:c r="C410" s="44"/>
      <x:c r="D410" s="44"/>
      <x:c r="E410" s="44"/>
      <x:c r="F410" s="44"/>
      <x:c r="G410" s="44"/>
      <x:c r="H410" s="44"/>
      <x:c r="I410" s="44"/>
      <x:c r="J410" s="44"/>
      <x:c r="K410" s="44"/>
      <x:c r="L410" s="44"/>
      <x:c r="M410" s="44"/>
      <x:c r="N410" s="44"/>
      <x:c r="O410" s="44"/>
      <x:c r="P410" s="44"/>
      <x:c r="Q410" s="44"/>
      <x:c r="R410" s="44"/>
      <x:c r="S410" s="44"/>
      <x:c r="T410" s="44"/>
      <x:c r="U410" s="44"/>
    </x:row>
    <x:row r="411">
      <x:c r="A411" s="44"/>
      <x:c r="B411" s="44"/>
      <x:c r="C411" s="44"/>
      <x:c r="D411" s="44"/>
      <x:c r="E411" s="44"/>
      <x:c r="F411" s="44"/>
      <x:c r="G411" s="44"/>
      <x:c r="H411" s="44"/>
      <x:c r="I411" s="44"/>
      <x:c r="J411" s="44"/>
      <x:c r="K411" s="44"/>
      <x:c r="L411" s="44"/>
      <x:c r="M411" s="44"/>
      <x:c r="N411" s="44"/>
      <x:c r="O411" s="44"/>
      <x:c r="P411" s="44"/>
      <x:c r="Q411" s="44"/>
      <x:c r="R411" s="44"/>
      <x:c r="S411" s="44"/>
      <x:c r="T411" s="44"/>
      <x:c r="U411" s="44"/>
    </x:row>
    <x:row r="412">
      <x:c r="A412" s="44"/>
      <x:c r="B412" s="44"/>
      <x:c r="C412" s="44"/>
      <x:c r="D412" s="44"/>
      <x:c r="E412" s="44"/>
      <x:c r="F412" s="44"/>
      <x:c r="G412" s="44"/>
      <x:c r="H412" s="44"/>
      <x:c r="I412" s="44"/>
      <x:c r="J412" s="44"/>
      <x:c r="K412" s="44"/>
      <x:c r="L412" s="44"/>
      <x:c r="M412" s="44"/>
      <x:c r="N412" s="44"/>
      <x:c r="O412" s="44"/>
      <x:c r="P412" s="44"/>
      <x:c r="Q412" s="44"/>
      <x:c r="R412" s="44"/>
      <x:c r="S412" s="44"/>
      <x:c r="T412" s="44"/>
      <x:c r="U412" s="44"/>
    </x:row>
    <x:row r="413">
      <x:c r="A413" s="44"/>
      <x:c r="B413" s="44"/>
      <x:c r="C413" s="44"/>
      <x:c r="D413" s="44"/>
      <x:c r="E413" s="44"/>
      <x:c r="F413" s="44"/>
      <x:c r="G413" s="44"/>
      <x:c r="H413" s="44"/>
      <x:c r="I413" s="44"/>
      <x:c r="J413" s="44"/>
      <x:c r="K413" s="44"/>
      <x:c r="L413" s="44"/>
      <x:c r="M413" s="44"/>
      <x:c r="N413" s="44"/>
      <x:c r="O413" s="44"/>
      <x:c r="P413" s="44"/>
      <x:c r="Q413" s="44"/>
      <x:c r="R413" s="44"/>
      <x:c r="S413" s="44"/>
      <x:c r="T413" s="44"/>
      <x:c r="U413" s="44"/>
    </x:row>
    <x:row r="414">
      <x:c r="A414" s="44"/>
      <x:c r="B414" s="44"/>
      <x:c r="C414" s="44"/>
      <x:c r="D414" s="44"/>
      <x:c r="E414" s="44"/>
      <x:c r="F414" s="44"/>
      <x:c r="G414" s="44"/>
      <x:c r="H414" s="44"/>
      <x:c r="I414" s="44"/>
      <x:c r="J414" s="44"/>
      <x:c r="K414" s="44"/>
      <x:c r="L414" s="44"/>
      <x:c r="M414" s="44"/>
      <x:c r="N414" s="44"/>
      <x:c r="O414" s="44"/>
      <x:c r="P414" s="44"/>
      <x:c r="Q414" s="44"/>
      <x:c r="R414" s="44"/>
      <x:c r="S414" s="44"/>
      <x:c r="T414" s="44"/>
      <x:c r="U414" s="44"/>
    </x:row>
    <x:row r="415">
      <x:c r="A415" s="44"/>
      <x:c r="B415" s="44"/>
      <x:c r="C415" s="44"/>
      <x:c r="D415" s="44"/>
      <x:c r="E415" s="44"/>
      <x:c r="F415" s="44"/>
      <x:c r="G415" s="44"/>
      <x:c r="H415" s="44"/>
      <x:c r="I415" s="44"/>
      <x:c r="J415" s="44"/>
      <x:c r="K415" s="44"/>
      <x:c r="L415" s="44"/>
      <x:c r="M415" s="44"/>
      <x:c r="N415" s="44"/>
      <x:c r="O415" s="44"/>
      <x:c r="P415" s="44"/>
      <x:c r="Q415" s="44"/>
      <x:c r="R415" s="44"/>
      <x:c r="S415" s="44"/>
      <x:c r="T415" s="44"/>
      <x:c r="U415" s="44"/>
    </x:row>
    <x:row r="416">
      <x:c r="A416" s="44"/>
      <x:c r="B416" s="44"/>
      <x:c r="C416" s="44"/>
      <x:c r="D416" s="44"/>
      <x:c r="E416" s="44"/>
      <x:c r="F416" s="44"/>
      <x:c r="G416" s="44"/>
      <x:c r="H416" s="44"/>
      <x:c r="I416" s="44"/>
      <x:c r="J416" s="44"/>
      <x:c r="K416" s="44"/>
      <x:c r="L416" s="44"/>
      <x:c r="M416" s="44"/>
      <x:c r="N416" s="44"/>
      <x:c r="O416" s="44"/>
      <x:c r="P416" s="44"/>
      <x:c r="Q416" s="44"/>
      <x:c r="R416" s="44"/>
      <x:c r="S416" s="44"/>
      <x:c r="T416" s="44"/>
      <x:c r="U416" s="44"/>
    </x:row>
    <x:row r="417">
      <x:c r="A417" s="44"/>
      <x:c r="B417" s="44"/>
      <x:c r="C417" s="44"/>
      <x:c r="D417" s="44"/>
      <x:c r="E417" s="44"/>
      <x:c r="F417" s="44"/>
      <x:c r="G417" s="44"/>
      <x:c r="H417" s="44"/>
      <x:c r="I417" s="44"/>
      <x:c r="J417" s="44"/>
      <x:c r="K417" s="44"/>
      <x:c r="L417" s="44"/>
      <x:c r="M417" s="44"/>
      <x:c r="N417" s="44"/>
      <x:c r="O417" s="44"/>
      <x:c r="P417" s="44"/>
      <x:c r="Q417" s="44"/>
      <x:c r="R417" s="44"/>
      <x:c r="S417" s="44"/>
      <x:c r="T417" s="44"/>
      <x:c r="U417" s="44"/>
    </x:row>
    <x:row r="418">
      <x:c r="A418" s="44"/>
      <x:c r="B418" s="44"/>
      <x:c r="C418" s="44"/>
      <x:c r="D418" s="44"/>
      <x:c r="E418" s="44"/>
      <x:c r="F418" s="44"/>
      <x:c r="G418" s="44"/>
      <x:c r="H418" s="44"/>
      <x:c r="I418" s="44"/>
      <x:c r="J418" s="44"/>
      <x:c r="K418" s="44"/>
      <x:c r="L418" s="44"/>
      <x:c r="M418" s="44"/>
      <x:c r="N418" s="44"/>
      <x:c r="O418" s="44"/>
      <x:c r="P418" s="44"/>
      <x:c r="Q418" s="44"/>
      <x:c r="R418" s="44"/>
      <x:c r="S418" s="44"/>
      <x:c r="T418" s="44"/>
      <x:c r="U418" s="44"/>
    </x:row>
    <x:row r="419">
      <x:c r="A419" s="44"/>
      <x:c r="B419" s="44"/>
      <x:c r="C419" s="44"/>
      <x:c r="D419" s="44"/>
      <x:c r="E419" s="44"/>
      <x:c r="F419" s="44"/>
      <x:c r="G419" s="44"/>
      <x:c r="H419" s="44"/>
      <x:c r="I419" s="44"/>
      <x:c r="J419" s="44"/>
      <x:c r="K419" s="44"/>
      <x:c r="L419" s="44"/>
      <x:c r="M419" s="44"/>
      <x:c r="N419" s="44"/>
      <x:c r="O419" s="44"/>
      <x:c r="P419" s="44"/>
      <x:c r="Q419" s="44"/>
      <x:c r="R419" s="44"/>
      <x:c r="S419" s="44"/>
      <x:c r="T419" s="44"/>
      <x:c r="U419" s="44"/>
    </x:row>
    <x:row r="420">
      <x:c r="A420" s="44"/>
      <x:c r="B420" s="44"/>
      <x:c r="C420" s="44"/>
      <x:c r="D420" s="44"/>
      <x:c r="E420" s="44"/>
      <x:c r="F420" s="44"/>
      <x:c r="G420" s="44"/>
      <x:c r="H420" s="44"/>
      <x:c r="I420" s="44"/>
      <x:c r="J420" s="44"/>
      <x:c r="K420" s="44"/>
      <x:c r="L420" s="44"/>
      <x:c r="M420" s="44"/>
      <x:c r="N420" s="44"/>
      <x:c r="O420" s="44"/>
      <x:c r="P420" s="44"/>
      <x:c r="Q420" s="44"/>
      <x:c r="R420" s="44"/>
      <x:c r="S420" s="44"/>
      <x:c r="T420" s="44"/>
      <x:c r="U420" s="44"/>
    </x:row>
    <x:row r="421">
      <x:c r="A421" s="44"/>
      <x:c r="B421" s="44"/>
      <x:c r="C421" s="44"/>
      <x:c r="D421" s="44"/>
      <x:c r="E421" s="44"/>
      <x:c r="F421" s="44"/>
      <x:c r="G421" s="44"/>
      <x:c r="H421" s="44"/>
      <x:c r="I421" s="44"/>
      <x:c r="J421" s="44"/>
      <x:c r="K421" s="44"/>
      <x:c r="L421" s="44"/>
      <x:c r="M421" s="44"/>
      <x:c r="N421" s="44"/>
      <x:c r="O421" s="44"/>
      <x:c r="P421" s="44"/>
      <x:c r="Q421" s="44"/>
      <x:c r="R421" s="44"/>
      <x:c r="S421" s="44"/>
      <x:c r="T421" s="44"/>
      <x:c r="U421" s="44"/>
    </x:row>
    <x:row r="422">
      <x:c r="A422" s="44"/>
      <x:c r="B422" s="44"/>
      <x:c r="C422" s="44"/>
      <x:c r="D422" s="44"/>
      <x:c r="E422" s="44"/>
      <x:c r="F422" s="44"/>
      <x:c r="G422" s="44"/>
      <x:c r="H422" s="44"/>
      <x:c r="I422" s="44"/>
      <x:c r="J422" s="44"/>
      <x:c r="K422" s="44"/>
      <x:c r="L422" s="44"/>
      <x:c r="M422" s="44"/>
      <x:c r="N422" s="44"/>
      <x:c r="O422" s="44"/>
      <x:c r="P422" s="44"/>
      <x:c r="Q422" s="44"/>
      <x:c r="R422" s="44"/>
      <x:c r="S422" s="44"/>
      <x:c r="T422" s="44"/>
      <x:c r="U422" s="44"/>
    </x:row>
    <x:row r="423">
      <x:c r="A423" s="44"/>
      <x:c r="B423" s="44"/>
      <x:c r="C423" s="44"/>
      <x:c r="D423" s="44"/>
      <x:c r="E423" s="44"/>
      <x:c r="F423" s="44"/>
      <x:c r="G423" s="44"/>
      <x:c r="H423" s="44"/>
      <x:c r="I423" s="44"/>
      <x:c r="J423" s="44"/>
      <x:c r="K423" s="44"/>
      <x:c r="L423" s="44"/>
      <x:c r="M423" s="44"/>
      <x:c r="N423" s="44"/>
      <x:c r="O423" s="44"/>
      <x:c r="P423" s="44"/>
      <x:c r="Q423" s="44"/>
      <x:c r="R423" s="44"/>
      <x:c r="S423" s="44"/>
      <x:c r="T423" s="44"/>
      <x:c r="U423" s="44"/>
    </x:row>
    <x:row r="424">
      <x:c r="A424" s="44"/>
      <x:c r="B424" s="44"/>
      <x:c r="C424" s="44"/>
      <x:c r="D424" s="44"/>
      <x:c r="E424" s="44"/>
      <x:c r="F424" s="44"/>
      <x:c r="G424" s="44"/>
      <x:c r="H424" s="44"/>
      <x:c r="I424" s="44"/>
      <x:c r="J424" s="44"/>
      <x:c r="K424" s="44"/>
      <x:c r="L424" s="44"/>
      <x:c r="M424" s="44"/>
      <x:c r="N424" s="44"/>
      <x:c r="O424" s="44"/>
      <x:c r="P424" s="44"/>
      <x:c r="Q424" s="44"/>
      <x:c r="R424" s="44"/>
      <x:c r="S424" s="44"/>
      <x:c r="T424" s="44"/>
      <x:c r="U424" s="44"/>
    </x:row>
    <x:row r="425">
      <x:c r="A425" s="44"/>
      <x:c r="B425" s="44"/>
      <x:c r="C425" s="44"/>
      <x:c r="D425" s="44"/>
      <x:c r="E425" s="44"/>
      <x:c r="F425" s="44"/>
      <x:c r="G425" s="44"/>
      <x:c r="H425" s="44"/>
      <x:c r="I425" s="44"/>
      <x:c r="J425" s="44"/>
      <x:c r="K425" s="44"/>
      <x:c r="L425" s="44"/>
      <x:c r="M425" s="44"/>
      <x:c r="N425" s="44"/>
      <x:c r="O425" s="44"/>
      <x:c r="P425" s="44"/>
      <x:c r="Q425" s="44"/>
      <x:c r="R425" s="44"/>
      <x:c r="S425" s="44"/>
      <x:c r="T425" s="44"/>
      <x:c r="U425" s="44"/>
    </x:row>
    <x:row r="426">
      <x:c r="A426" s="44"/>
      <x:c r="B426" s="44"/>
      <x:c r="C426" s="44"/>
      <x:c r="D426" s="44"/>
      <x:c r="E426" s="44"/>
      <x:c r="F426" s="44"/>
      <x:c r="G426" s="44"/>
      <x:c r="H426" s="44"/>
      <x:c r="I426" s="44"/>
      <x:c r="J426" s="44"/>
      <x:c r="K426" s="44"/>
      <x:c r="L426" s="44"/>
      <x:c r="M426" s="44"/>
      <x:c r="N426" s="44"/>
      <x:c r="O426" s="44"/>
      <x:c r="P426" s="44"/>
      <x:c r="Q426" s="44"/>
      <x:c r="R426" s="44"/>
      <x:c r="S426" s="44"/>
      <x:c r="T426" s="44"/>
      <x:c r="U426" s="44"/>
    </x:row>
    <x:row r="427">
      <x:c r="A427" s="44"/>
      <x:c r="B427" s="44"/>
      <x:c r="C427" s="44"/>
      <x:c r="D427" s="44"/>
      <x:c r="E427" s="44"/>
      <x:c r="F427" s="44"/>
      <x:c r="G427" s="44"/>
      <x:c r="H427" s="44"/>
      <x:c r="I427" s="44"/>
      <x:c r="J427" s="44"/>
      <x:c r="K427" s="44"/>
      <x:c r="L427" s="44"/>
      <x:c r="M427" s="44"/>
      <x:c r="N427" s="44"/>
      <x:c r="O427" s="44"/>
      <x:c r="P427" s="44"/>
      <x:c r="Q427" s="44"/>
      <x:c r="R427" s="44"/>
      <x:c r="S427" s="44"/>
      <x:c r="T427" s="44"/>
      <x:c r="U427" s="44"/>
    </x:row>
    <x:row r="428">
      <x:c r="A428" s="44"/>
      <x:c r="B428" s="44"/>
      <x:c r="C428" s="44"/>
      <x:c r="D428" s="44"/>
      <x:c r="E428" s="44"/>
      <x:c r="F428" s="44"/>
      <x:c r="G428" s="44"/>
      <x:c r="H428" s="44"/>
      <x:c r="I428" s="44"/>
      <x:c r="J428" s="44"/>
      <x:c r="K428" s="44"/>
      <x:c r="L428" s="44"/>
      <x:c r="M428" s="44"/>
      <x:c r="N428" s="44"/>
      <x:c r="O428" s="44"/>
      <x:c r="P428" s="44"/>
      <x:c r="Q428" s="44"/>
      <x:c r="R428" s="44"/>
      <x:c r="S428" s="44"/>
      <x:c r="T428" s="44"/>
      <x:c r="U428" s="44"/>
    </x:row>
    <x:row r="429">
      <x:c r="A429" s="44"/>
      <x:c r="B429" s="44"/>
      <x:c r="C429" s="44"/>
      <x:c r="D429" s="44"/>
      <x:c r="E429" s="44"/>
      <x:c r="F429" s="44"/>
      <x:c r="G429" s="44"/>
      <x:c r="H429" s="44"/>
      <x:c r="I429" s="44"/>
      <x:c r="J429" s="44"/>
      <x:c r="K429" s="44"/>
      <x:c r="L429" s="44"/>
      <x:c r="M429" s="44"/>
      <x:c r="N429" s="44"/>
      <x:c r="O429" s="44"/>
      <x:c r="P429" s="44"/>
      <x:c r="Q429" s="44"/>
      <x:c r="R429" s="44"/>
      <x:c r="S429" s="44"/>
      <x:c r="T429" s="44"/>
      <x:c r="U429" s="44"/>
    </x:row>
    <x:row r="430">
      <x:c r="A430" s="44"/>
      <x:c r="B430" s="44"/>
      <x:c r="C430" s="44"/>
      <x:c r="D430" s="44"/>
      <x:c r="E430" s="44"/>
      <x:c r="F430" s="44"/>
      <x:c r="G430" s="44"/>
      <x:c r="H430" s="44"/>
      <x:c r="I430" s="44"/>
      <x:c r="J430" s="44"/>
      <x:c r="K430" s="44"/>
      <x:c r="L430" s="44"/>
      <x:c r="M430" s="44"/>
      <x:c r="N430" s="44"/>
      <x:c r="O430" s="44"/>
      <x:c r="P430" s="44"/>
      <x:c r="Q430" s="44"/>
      <x:c r="R430" s="44"/>
      <x:c r="S430" s="44"/>
      <x:c r="T430" s="44"/>
      <x:c r="U430" s="44"/>
    </x:row>
    <x:row r="431">
      <x:c r="A431" s="44"/>
      <x:c r="B431" s="44"/>
      <x:c r="C431" s="44"/>
      <x:c r="D431" s="44"/>
      <x:c r="E431" s="44"/>
      <x:c r="F431" s="44"/>
      <x:c r="G431" s="44"/>
      <x:c r="H431" s="44"/>
      <x:c r="I431" s="44"/>
      <x:c r="J431" s="44"/>
      <x:c r="K431" s="44"/>
      <x:c r="L431" s="44"/>
      <x:c r="M431" s="44"/>
      <x:c r="N431" s="44"/>
      <x:c r="O431" s="44"/>
      <x:c r="P431" s="44"/>
      <x:c r="Q431" s="44"/>
      <x:c r="R431" s="44"/>
      <x:c r="S431" s="44"/>
      <x:c r="T431" s="44"/>
      <x:c r="U431" s="44"/>
    </x:row>
    <x:row r="432">
      <x:c r="A432" s="44"/>
      <x:c r="B432" s="44"/>
      <x:c r="C432" s="44"/>
      <x:c r="D432" s="44"/>
      <x:c r="E432" s="44"/>
      <x:c r="F432" s="44"/>
      <x:c r="G432" s="44"/>
      <x:c r="H432" s="44"/>
      <x:c r="I432" s="44"/>
      <x:c r="J432" s="44"/>
      <x:c r="K432" s="44"/>
      <x:c r="L432" s="44"/>
      <x:c r="M432" s="44"/>
      <x:c r="N432" s="44"/>
      <x:c r="O432" s="44"/>
      <x:c r="P432" s="44"/>
      <x:c r="Q432" s="44"/>
      <x:c r="R432" s="44"/>
      <x:c r="S432" s="44"/>
      <x:c r="T432" s="44"/>
      <x:c r="U432" s="44"/>
    </x:row>
    <x:row r="433">
      <x:c r="A433" s="44"/>
      <x:c r="B433" s="44"/>
      <x:c r="C433" s="44"/>
      <x:c r="D433" s="44"/>
      <x:c r="E433" s="44"/>
      <x:c r="F433" s="44"/>
      <x:c r="G433" s="44"/>
      <x:c r="H433" s="44"/>
      <x:c r="I433" s="44"/>
      <x:c r="J433" s="44"/>
      <x:c r="K433" s="44"/>
      <x:c r="L433" s="44"/>
      <x:c r="M433" s="44"/>
      <x:c r="N433" s="44"/>
      <x:c r="O433" s="44"/>
      <x:c r="P433" s="44"/>
      <x:c r="Q433" s="44"/>
      <x:c r="R433" s="44"/>
      <x:c r="S433" s="44"/>
      <x:c r="T433" s="44"/>
      <x:c r="U433" s="44"/>
    </x:row>
    <x:row r="434">
      <x:c r="A434" s="44"/>
      <x:c r="B434" s="44"/>
      <x:c r="C434" s="44"/>
      <x:c r="D434" s="44"/>
      <x:c r="E434" s="44"/>
      <x:c r="F434" s="44"/>
      <x:c r="G434" s="44"/>
      <x:c r="H434" s="44"/>
      <x:c r="I434" s="44"/>
      <x:c r="J434" s="44"/>
      <x:c r="K434" s="44"/>
      <x:c r="L434" s="44"/>
      <x:c r="M434" s="44"/>
      <x:c r="N434" s="44"/>
      <x:c r="O434" s="44"/>
      <x:c r="P434" s="44"/>
      <x:c r="Q434" s="44"/>
      <x:c r="R434" s="44"/>
      <x:c r="S434" s="44"/>
      <x:c r="T434" s="44"/>
      <x:c r="U434" s="44"/>
    </x:row>
    <x:row r="435">
      <x:c r="A435" s="44"/>
      <x:c r="B435" s="44"/>
      <x:c r="C435" s="44"/>
      <x:c r="D435" s="44"/>
      <x:c r="E435" s="44"/>
      <x:c r="F435" s="44"/>
      <x:c r="G435" s="44"/>
      <x:c r="H435" s="44"/>
      <x:c r="I435" s="44"/>
      <x:c r="J435" s="44"/>
      <x:c r="K435" s="44"/>
      <x:c r="L435" s="44"/>
      <x:c r="M435" s="44"/>
      <x:c r="N435" s="44"/>
      <x:c r="O435" s="44"/>
      <x:c r="P435" s="44"/>
      <x:c r="Q435" s="44"/>
      <x:c r="R435" s="44"/>
      <x:c r="S435" s="44"/>
      <x:c r="T435" s="44"/>
      <x:c r="U435" s="44"/>
    </x:row>
    <x:row r="436">
      <x:c r="A436" s="44"/>
      <x:c r="B436" s="44"/>
      <x:c r="C436" s="44"/>
      <x:c r="D436" s="44"/>
      <x:c r="E436" s="44"/>
      <x:c r="F436" s="44"/>
      <x:c r="G436" s="44"/>
      <x:c r="H436" s="44"/>
      <x:c r="I436" s="44"/>
      <x:c r="J436" s="44"/>
      <x:c r="K436" s="44"/>
      <x:c r="L436" s="44"/>
      <x:c r="M436" s="44"/>
      <x:c r="N436" s="44"/>
      <x:c r="O436" s="44"/>
      <x:c r="P436" s="44"/>
      <x:c r="Q436" s="44"/>
      <x:c r="R436" s="44"/>
      <x:c r="S436" s="44"/>
      <x:c r="T436" s="44"/>
      <x:c r="U436" s="44"/>
    </x:row>
    <x:row r="437">
      <x:c r="A437" s="44"/>
      <x:c r="B437" s="44"/>
      <x:c r="C437" s="44"/>
      <x:c r="D437" s="44"/>
      <x:c r="E437" s="44"/>
      <x:c r="F437" s="44"/>
      <x:c r="G437" s="44"/>
      <x:c r="H437" s="44"/>
      <x:c r="I437" s="44"/>
      <x:c r="J437" s="44"/>
      <x:c r="K437" s="44"/>
      <x:c r="L437" s="44"/>
      <x:c r="M437" s="44"/>
      <x:c r="N437" s="44"/>
      <x:c r="O437" s="44"/>
      <x:c r="P437" s="44"/>
      <x:c r="Q437" s="44"/>
      <x:c r="R437" s="44"/>
      <x:c r="S437" s="44"/>
      <x:c r="T437" s="44"/>
      <x:c r="U437" s="44"/>
    </x:row>
    <x:row r="438">
      <x:c r="A438" s="44"/>
      <x:c r="B438" s="44"/>
      <x:c r="C438" s="44"/>
      <x:c r="D438" s="44"/>
      <x:c r="E438" s="44"/>
      <x:c r="F438" s="44"/>
      <x:c r="G438" s="44"/>
      <x:c r="H438" s="44"/>
      <x:c r="I438" s="44"/>
      <x:c r="J438" s="44"/>
      <x:c r="K438" s="44"/>
      <x:c r="L438" s="44"/>
      <x:c r="M438" s="44"/>
      <x:c r="N438" s="44"/>
      <x:c r="O438" s="44"/>
      <x:c r="P438" s="44"/>
      <x:c r="Q438" s="44"/>
      <x:c r="R438" s="44"/>
      <x:c r="S438" s="44"/>
      <x:c r="T438" s="44"/>
      <x:c r="U438" s="44"/>
    </x:row>
    <x:row r="439">
      <x:c r="A439" s="44"/>
      <x:c r="B439" s="44"/>
      <x:c r="C439" s="44"/>
      <x:c r="D439" s="44"/>
      <x:c r="E439" s="44"/>
      <x:c r="F439" s="44"/>
      <x:c r="G439" s="44"/>
      <x:c r="H439" s="44"/>
      <x:c r="I439" s="44"/>
      <x:c r="J439" s="44"/>
      <x:c r="K439" s="44"/>
      <x:c r="L439" s="44"/>
      <x:c r="M439" s="44"/>
      <x:c r="N439" s="44"/>
      <x:c r="O439" s="44"/>
      <x:c r="P439" s="44"/>
      <x:c r="Q439" s="44"/>
      <x:c r="R439" s="44"/>
      <x:c r="S439" s="44"/>
      <x:c r="T439" s="44"/>
      <x:c r="U439" s="44"/>
    </x:row>
    <x:row r="440">
      <x:c r="A440" s="44"/>
      <x:c r="B440" s="44"/>
      <x:c r="C440" s="44"/>
      <x:c r="D440" s="44"/>
      <x:c r="E440" s="44"/>
      <x:c r="F440" s="44"/>
      <x:c r="G440" s="44"/>
      <x:c r="H440" s="44"/>
      <x:c r="I440" s="44"/>
      <x:c r="J440" s="44"/>
      <x:c r="K440" s="44"/>
      <x:c r="L440" s="44"/>
      <x:c r="M440" s="44"/>
      <x:c r="N440" s="44"/>
      <x:c r="O440" s="44"/>
      <x:c r="P440" s="44"/>
      <x:c r="Q440" s="44"/>
      <x:c r="R440" s="44"/>
      <x:c r="S440" s="44"/>
      <x:c r="T440" s="44"/>
      <x:c r="U440" s="44"/>
    </x:row>
    <x:row r="441">
      <x:c r="A441" s="44"/>
      <x:c r="B441" s="44"/>
      <x:c r="C441" s="44"/>
      <x:c r="D441" s="44"/>
      <x:c r="E441" s="44"/>
      <x:c r="F441" s="44"/>
      <x:c r="G441" s="44"/>
      <x:c r="H441" s="44"/>
      <x:c r="I441" s="44"/>
      <x:c r="J441" s="44"/>
      <x:c r="K441" s="44"/>
      <x:c r="L441" s="44"/>
      <x:c r="M441" s="44"/>
      <x:c r="N441" s="44"/>
      <x:c r="O441" s="44"/>
      <x:c r="P441" s="44"/>
      <x:c r="Q441" s="44"/>
      <x:c r="R441" s="44"/>
      <x:c r="S441" s="44"/>
      <x:c r="T441" s="44"/>
      <x:c r="U441" s="44"/>
    </x:row>
    <x:row r="442">
      <x:c r="A442" s="44"/>
      <x:c r="B442" s="44"/>
      <x:c r="C442" s="44"/>
      <x:c r="D442" s="44"/>
      <x:c r="E442" s="44"/>
      <x:c r="F442" s="44"/>
      <x:c r="G442" s="44"/>
      <x:c r="H442" s="44"/>
      <x:c r="I442" s="44"/>
      <x:c r="J442" s="44"/>
      <x:c r="K442" s="44"/>
      <x:c r="L442" s="44"/>
      <x:c r="M442" s="44"/>
      <x:c r="N442" s="44"/>
      <x:c r="O442" s="44"/>
      <x:c r="P442" s="44"/>
      <x:c r="Q442" s="44"/>
      <x:c r="R442" s="44"/>
      <x:c r="S442" s="44"/>
      <x:c r="T442" s="44"/>
      <x:c r="U442" s="44"/>
    </x:row>
    <x:row r="443">
      <x:c r="A443" s="44"/>
      <x:c r="B443" s="44"/>
      <x:c r="C443" s="44"/>
      <x:c r="D443" s="44"/>
      <x:c r="E443" s="44"/>
      <x:c r="F443" s="44"/>
      <x:c r="G443" s="44"/>
      <x:c r="H443" s="44"/>
      <x:c r="I443" s="44"/>
      <x:c r="J443" s="44"/>
      <x:c r="K443" s="44"/>
      <x:c r="L443" s="44"/>
      <x:c r="M443" s="44"/>
      <x:c r="N443" s="44"/>
      <x:c r="O443" s="44"/>
      <x:c r="P443" s="44"/>
      <x:c r="Q443" s="44"/>
      <x:c r="R443" s="44"/>
      <x:c r="S443" s="44"/>
      <x:c r="T443" s="44"/>
      <x:c r="U443" s="44"/>
    </x:row>
    <x:row r="444">
      <x:c r="A444" s="44"/>
      <x:c r="B444" s="44"/>
      <x:c r="C444" s="44"/>
      <x:c r="D444" s="44"/>
      <x:c r="E444" s="44"/>
      <x:c r="F444" s="44"/>
      <x:c r="G444" s="44"/>
      <x:c r="H444" s="44"/>
      <x:c r="I444" s="44"/>
      <x:c r="J444" s="44"/>
      <x:c r="K444" s="44"/>
      <x:c r="L444" s="44"/>
      <x:c r="M444" s="44"/>
      <x:c r="N444" s="44"/>
      <x:c r="O444" s="44"/>
      <x:c r="P444" s="44"/>
      <x:c r="Q444" s="44"/>
      <x:c r="R444" s="44"/>
      <x:c r="S444" s="44"/>
      <x:c r="T444" s="44"/>
      <x:c r="U444" s="44"/>
    </x:row>
    <x:row r="445">
      <x:c r="A445" s="44"/>
      <x:c r="B445" s="44"/>
      <x:c r="C445" s="44"/>
      <x:c r="D445" s="44"/>
      <x:c r="E445" s="44"/>
      <x:c r="F445" s="44"/>
      <x:c r="G445" s="44"/>
      <x:c r="H445" s="44"/>
      <x:c r="I445" s="44"/>
      <x:c r="J445" s="44"/>
      <x:c r="K445" s="44"/>
      <x:c r="L445" s="44"/>
      <x:c r="M445" s="44"/>
      <x:c r="N445" s="44"/>
      <x:c r="O445" s="44"/>
      <x:c r="P445" s="44"/>
      <x:c r="Q445" s="44"/>
      <x:c r="R445" s="44"/>
      <x:c r="S445" s="44"/>
      <x:c r="T445" s="44"/>
      <x:c r="U445" s="44"/>
    </x:row>
    <x:row r="446">
      <x:c r="A446" s="44"/>
      <x:c r="B446" s="44"/>
      <x:c r="C446" s="44"/>
      <x:c r="D446" s="44"/>
      <x:c r="E446" s="44"/>
      <x:c r="F446" s="44"/>
      <x:c r="G446" s="44"/>
      <x:c r="H446" s="44"/>
      <x:c r="I446" s="44"/>
      <x:c r="J446" s="44"/>
      <x:c r="K446" s="44"/>
      <x:c r="L446" s="44"/>
      <x:c r="M446" s="44"/>
      <x:c r="N446" s="44"/>
      <x:c r="O446" s="44"/>
      <x:c r="P446" s="44"/>
      <x:c r="Q446" s="44"/>
      <x:c r="R446" s="44"/>
      <x:c r="S446" s="44"/>
      <x:c r="T446" s="44"/>
      <x:c r="U446" s="44"/>
    </x:row>
    <x:row r="447">
      <x:c r="A447" s="44"/>
      <x:c r="B447" s="44"/>
      <x:c r="C447" s="44"/>
      <x:c r="D447" s="44"/>
      <x:c r="E447" s="44"/>
      <x:c r="F447" s="44"/>
      <x:c r="G447" s="44"/>
      <x:c r="H447" s="44"/>
      <x:c r="I447" s="44"/>
      <x:c r="J447" s="44"/>
      <x:c r="K447" s="44"/>
      <x:c r="L447" s="44"/>
      <x:c r="M447" s="44"/>
      <x:c r="N447" s="44"/>
      <x:c r="O447" s="44"/>
      <x:c r="P447" s="44"/>
      <x:c r="Q447" s="44"/>
      <x:c r="R447" s="44"/>
      <x:c r="S447" s="44"/>
      <x:c r="T447" s="44"/>
      <x:c r="U447" s="44"/>
    </x:row>
    <x:row r="448">
      <x:c r="A448" s="44"/>
      <x:c r="B448" s="44"/>
      <x:c r="C448" s="44"/>
      <x:c r="D448" s="44"/>
      <x:c r="E448" s="44"/>
      <x:c r="F448" s="44"/>
      <x:c r="G448" s="44"/>
      <x:c r="H448" s="44"/>
      <x:c r="I448" s="44"/>
      <x:c r="J448" s="44"/>
      <x:c r="K448" s="44"/>
      <x:c r="L448" s="44"/>
      <x:c r="M448" s="44"/>
      <x:c r="N448" s="44"/>
      <x:c r="O448" s="44"/>
      <x:c r="P448" s="44"/>
      <x:c r="Q448" s="44"/>
      <x:c r="R448" s="44"/>
      <x:c r="S448" s="44"/>
      <x:c r="T448" s="44"/>
      <x:c r="U448" s="44"/>
    </x:row>
    <x:row r="449">
      <x:c r="A449" s="44"/>
      <x:c r="B449" s="44"/>
      <x:c r="C449" s="44"/>
      <x:c r="D449" s="44"/>
      <x:c r="E449" s="44"/>
      <x:c r="F449" s="44"/>
      <x:c r="G449" s="44"/>
      <x:c r="H449" s="44"/>
      <x:c r="I449" s="44"/>
      <x:c r="J449" s="44"/>
      <x:c r="K449" s="44"/>
      <x:c r="L449" s="44"/>
      <x:c r="M449" s="44"/>
      <x:c r="N449" s="44"/>
      <x:c r="O449" s="44"/>
      <x:c r="P449" s="44"/>
      <x:c r="Q449" s="44"/>
      <x:c r="R449" s="44"/>
      <x:c r="S449" s="44"/>
      <x:c r="T449" s="44"/>
      <x:c r="U449" s="44"/>
    </x:row>
    <x:row r="450">
      <x:c r="A450" s="44"/>
      <x:c r="B450" s="44"/>
      <x:c r="C450" s="44"/>
      <x:c r="D450" s="44"/>
      <x:c r="E450" s="44"/>
      <x:c r="F450" s="44"/>
      <x:c r="G450" s="44"/>
      <x:c r="H450" s="44"/>
      <x:c r="I450" s="44"/>
      <x:c r="J450" s="44"/>
      <x:c r="K450" s="44"/>
      <x:c r="L450" s="44"/>
      <x:c r="M450" s="44"/>
      <x:c r="N450" s="44"/>
      <x:c r="O450" s="44"/>
      <x:c r="P450" s="44"/>
      <x:c r="Q450" s="44"/>
      <x:c r="R450" s="44"/>
      <x:c r="S450" s="44"/>
      <x:c r="T450" s="44"/>
      <x:c r="U450" s="44"/>
    </x:row>
    <x:row r="451">
      <x:c r="A451" s="44"/>
      <x:c r="B451" s="44"/>
      <x:c r="C451" s="44"/>
      <x:c r="D451" s="44"/>
      <x:c r="E451" s="44"/>
      <x:c r="F451" s="44"/>
      <x:c r="G451" s="44"/>
      <x:c r="H451" s="44"/>
      <x:c r="I451" s="44"/>
      <x:c r="J451" s="44"/>
      <x:c r="K451" s="44"/>
      <x:c r="L451" s="44"/>
      <x:c r="M451" s="44"/>
      <x:c r="N451" s="44"/>
      <x:c r="O451" s="44"/>
      <x:c r="P451" s="44"/>
      <x:c r="Q451" s="44"/>
      <x:c r="R451" s="44"/>
      <x:c r="S451" s="44"/>
      <x:c r="T451" s="44"/>
      <x:c r="U451" s="44"/>
    </x:row>
    <x:row r="452">
      <x:c r="A452" s="44"/>
      <x:c r="B452" s="44"/>
      <x:c r="C452" s="44"/>
      <x:c r="D452" s="44"/>
      <x:c r="E452" s="44"/>
      <x:c r="F452" s="44"/>
      <x:c r="G452" s="44"/>
      <x:c r="H452" s="44"/>
      <x:c r="I452" s="44"/>
      <x:c r="J452" s="44"/>
      <x:c r="K452" s="44"/>
      <x:c r="L452" s="44"/>
      <x:c r="M452" s="44"/>
      <x:c r="N452" s="44"/>
      <x:c r="O452" s="44"/>
      <x:c r="P452" s="44"/>
      <x:c r="Q452" s="44"/>
      <x:c r="R452" s="44"/>
      <x:c r="S452" s="44"/>
      <x:c r="T452" s="44"/>
      <x:c r="U452" s="44"/>
    </x:row>
    <x:row r="453">
      <x:c r="A453" s="44"/>
      <x:c r="B453" s="44"/>
      <x:c r="C453" s="44"/>
      <x:c r="D453" s="44"/>
      <x:c r="E453" s="44"/>
      <x:c r="F453" s="44"/>
      <x:c r="G453" s="44"/>
      <x:c r="H453" s="44"/>
      <x:c r="I453" s="44"/>
      <x:c r="J453" s="44"/>
      <x:c r="K453" s="44"/>
      <x:c r="L453" s="44"/>
      <x:c r="M453" s="44"/>
      <x:c r="N453" s="44"/>
      <x:c r="O453" s="44"/>
      <x:c r="P453" s="44"/>
      <x:c r="Q453" s="44"/>
      <x:c r="R453" s="44"/>
      <x:c r="S453" s="44"/>
      <x:c r="T453" s="44"/>
      <x:c r="U453" s="44"/>
    </x:row>
    <x:row r="454">
      <x:c r="A454" s="44"/>
      <x:c r="B454" s="44"/>
      <x:c r="C454" s="44"/>
      <x:c r="D454" s="44"/>
      <x:c r="E454" s="44"/>
      <x:c r="F454" s="44"/>
      <x:c r="G454" s="44"/>
      <x:c r="H454" s="44"/>
      <x:c r="I454" s="44"/>
      <x:c r="J454" s="44"/>
      <x:c r="K454" s="44"/>
      <x:c r="L454" s="44"/>
      <x:c r="M454" s="44"/>
      <x:c r="N454" s="44"/>
      <x:c r="O454" s="44"/>
      <x:c r="P454" s="44"/>
      <x:c r="Q454" s="44"/>
      <x:c r="R454" s="44"/>
      <x:c r="S454" s="44"/>
      <x:c r="T454" s="44"/>
      <x:c r="U454" s="44"/>
    </x:row>
    <x:row r="455">
      <x:c r="A455" s="44"/>
      <x:c r="B455" s="44"/>
      <x:c r="C455" s="44"/>
      <x:c r="D455" s="44"/>
      <x:c r="E455" s="44"/>
      <x:c r="F455" s="44"/>
      <x:c r="G455" s="44"/>
      <x:c r="H455" s="44"/>
      <x:c r="I455" s="44"/>
      <x:c r="J455" s="44"/>
      <x:c r="K455" s="44"/>
      <x:c r="L455" s="44"/>
      <x:c r="M455" s="44"/>
      <x:c r="N455" s="44"/>
      <x:c r="O455" s="44"/>
      <x:c r="P455" s="44"/>
      <x:c r="Q455" s="44"/>
      <x:c r="R455" s="44"/>
      <x:c r="S455" s="44"/>
      <x:c r="T455" s="44"/>
      <x:c r="U455" s="44"/>
    </x:row>
    <x:row r="456">
      <x:c r="A456" s="44"/>
      <x:c r="B456" s="44"/>
      <x:c r="C456" s="44"/>
      <x:c r="D456" s="44"/>
      <x:c r="E456" s="44"/>
      <x:c r="F456" s="44"/>
      <x:c r="G456" s="44"/>
      <x:c r="H456" s="44"/>
      <x:c r="I456" s="44"/>
      <x:c r="J456" s="44"/>
      <x:c r="K456" s="44"/>
      <x:c r="L456" s="44"/>
      <x:c r="M456" s="44"/>
      <x:c r="N456" s="44"/>
      <x:c r="O456" s="44"/>
      <x:c r="P456" s="44"/>
      <x:c r="Q456" s="44"/>
      <x:c r="R456" s="44"/>
      <x:c r="S456" s="44"/>
      <x:c r="T456" s="44"/>
      <x:c r="U456" s="44"/>
    </x:row>
    <x:row r="457">
      <x:c r="A457" s="44"/>
      <x:c r="B457" s="44"/>
      <x:c r="C457" s="44"/>
      <x:c r="D457" s="44"/>
      <x:c r="E457" s="44"/>
      <x:c r="F457" s="44"/>
      <x:c r="G457" s="44"/>
      <x:c r="H457" s="44"/>
      <x:c r="I457" s="44"/>
      <x:c r="J457" s="44"/>
      <x:c r="K457" s="44"/>
      <x:c r="L457" s="44"/>
      <x:c r="M457" s="44"/>
      <x:c r="N457" s="44"/>
      <x:c r="O457" s="44"/>
      <x:c r="P457" s="44"/>
      <x:c r="Q457" s="44"/>
      <x:c r="R457" s="44"/>
      <x:c r="S457" s="44"/>
      <x:c r="T457" s="44"/>
      <x:c r="U457" s="44"/>
    </x:row>
    <x:row r="458">
      <x:c r="A458" s="44"/>
      <x:c r="B458" s="44"/>
      <x:c r="C458" s="44"/>
      <x:c r="D458" s="44"/>
      <x:c r="E458" s="44"/>
      <x:c r="F458" s="44"/>
      <x:c r="G458" s="44"/>
      <x:c r="H458" s="44"/>
      <x:c r="I458" s="44"/>
      <x:c r="J458" s="44"/>
      <x:c r="K458" s="44"/>
      <x:c r="L458" s="44"/>
      <x:c r="M458" s="44"/>
      <x:c r="N458" s="44"/>
      <x:c r="O458" s="44"/>
      <x:c r="P458" s="44"/>
      <x:c r="Q458" s="44"/>
      <x:c r="R458" s="44"/>
      <x:c r="S458" s="44"/>
      <x:c r="T458" s="44"/>
      <x:c r="U458" s="44"/>
    </x:row>
    <x:row r="459">
      <x:c r="A459" s="44"/>
      <x:c r="B459" s="44"/>
      <x:c r="C459" s="44"/>
      <x:c r="D459" s="44"/>
      <x:c r="E459" s="44"/>
      <x:c r="F459" s="44"/>
      <x:c r="G459" s="44"/>
      <x:c r="H459" s="44"/>
      <x:c r="I459" s="44"/>
      <x:c r="J459" s="44"/>
      <x:c r="K459" s="44"/>
      <x:c r="L459" s="44"/>
      <x:c r="M459" s="44"/>
      <x:c r="N459" s="44"/>
      <x:c r="O459" s="44"/>
      <x:c r="P459" s="44"/>
      <x:c r="Q459" s="44"/>
      <x:c r="R459" s="44"/>
      <x:c r="S459" s="44"/>
      <x:c r="T459" s="44"/>
      <x:c r="U459" s="44"/>
    </x:row>
    <x:row r="460">
      <x:c r="A460" s="44"/>
      <x:c r="B460" s="44"/>
      <x:c r="C460" s="44"/>
      <x:c r="D460" s="44"/>
      <x:c r="E460" s="44"/>
      <x:c r="F460" s="44"/>
      <x:c r="G460" s="44"/>
      <x:c r="H460" s="44"/>
      <x:c r="I460" s="44"/>
      <x:c r="J460" s="44"/>
      <x:c r="K460" s="44"/>
      <x:c r="L460" s="44"/>
      <x:c r="M460" s="44"/>
      <x:c r="N460" s="44"/>
      <x:c r="O460" s="44"/>
      <x:c r="P460" s="44"/>
      <x:c r="Q460" s="44"/>
      <x:c r="R460" s="44"/>
      <x:c r="S460" s="44"/>
      <x:c r="T460" s="44"/>
      <x:c r="U460" s="44"/>
    </x:row>
    <x:row r="461">
      <x:c r="A461" s="44"/>
      <x:c r="B461" s="44"/>
      <x:c r="C461" s="44"/>
      <x:c r="D461" s="44"/>
      <x:c r="E461" s="44"/>
      <x:c r="F461" s="44"/>
      <x:c r="G461" s="44"/>
      <x:c r="H461" s="44"/>
      <x:c r="I461" s="44"/>
      <x:c r="J461" s="44"/>
      <x:c r="K461" s="44"/>
      <x:c r="L461" s="44"/>
      <x:c r="M461" s="44"/>
      <x:c r="N461" s="44"/>
      <x:c r="O461" s="44"/>
      <x:c r="P461" s="44"/>
      <x:c r="Q461" s="44"/>
      <x:c r="R461" s="44"/>
      <x:c r="S461" s="44"/>
      <x:c r="T461" s="44"/>
      <x:c r="U461" s="44"/>
    </x:row>
    <x:row r="462">
      <x:c r="A462" s="44"/>
      <x:c r="B462" s="44"/>
      <x:c r="C462" s="44"/>
      <x:c r="D462" s="44"/>
      <x:c r="E462" s="44"/>
      <x:c r="F462" s="44"/>
      <x:c r="G462" s="44"/>
      <x:c r="H462" s="44"/>
      <x:c r="I462" s="44"/>
      <x:c r="J462" s="44"/>
      <x:c r="K462" s="44"/>
      <x:c r="L462" s="44"/>
      <x:c r="M462" s="44"/>
      <x:c r="N462" s="44"/>
      <x:c r="O462" s="44"/>
      <x:c r="P462" s="44"/>
      <x:c r="Q462" s="44"/>
      <x:c r="R462" s="44"/>
      <x:c r="S462" s="44"/>
      <x:c r="T462" s="44"/>
      <x:c r="U462" s="44"/>
    </x:row>
    <x:row r="463">
      <x:c r="A463" s="44"/>
      <x:c r="B463" s="44"/>
      <x:c r="C463" s="44"/>
      <x:c r="D463" s="44"/>
      <x:c r="E463" s="44"/>
      <x:c r="F463" s="44"/>
      <x:c r="G463" s="44"/>
      <x:c r="H463" s="44"/>
      <x:c r="I463" s="44"/>
      <x:c r="J463" s="44"/>
      <x:c r="K463" s="44"/>
      <x:c r="L463" s="44"/>
      <x:c r="M463" s="44"/>
      <x:c r="N463" s="44"/>
      <x:c r="O463" s="44"/>
      <x:c r="P463" s="44"/>
      <x:c r="Q463" s="44"/>
      <x:c r="R463" s="44"/>
      <x:c r="S463" s="44"/>
      <x:c r="T463" s="44"/>
      <x:c r="U463" s="44"/>
    </x:row>
    <x:row r="464">
      <x:c r="A464" s="44"/>
      <x:c r="B464" s="44"/>
      <x:c r="C464" s="44"/>
      <x:c r="D464" s="44"/>
      <x:c r="E464" s="44"/>
      <x:c r="F464" s="44"/>
      <x:c r="G464" s="44"/>
      <x:c r="H464" s="44"/>
      <x:c r="I464" s="44"/>
      <x:c r="J464" s="44"/>
      <x:c r="K464" s="44"/>
      <x:c r="L464" s="44"/>
      <x:c r="M464" s="44"/>
      <x:c r="N464" s="44"/>
      <x:c r="O464" s="44"/>
      <x:c r="P464" s="44"/>
      <x:c r="Q464" s="44"/>
      <x:c r="R464" s="44"/>
      <x:c r="S464" s="44"/>
      <x:c r="T464" s="44"/>
      <x:c r="U464" s="44"/>
    </x:row>
    <x:row r="465">
      <x:c r="A465" s="44"/>
      <x:c r="B465" s="44"/>
      <x:c r="C465" s="44"/>
      <x:c r="D465" s="44"/>
      <x:c r="E465" s="44"/>
      <x:c r="F465" s="44"/>
      <x:c r="G465" s="44"/>
      <x:c r="H465" s="44"/>
      <x:c r="I465" s="44"/>
      <x:c r="J465" s="44"/>
      <x:c r="K465" s="44"/>
      <x:c r="L465" s="44"/>
      <x:c r="M465" s="44"/>
      <x:c r="N465" s="44"/>
      <x:c r="O465" s="44"/>
      <x:c r="P465" s="44"/>
      <x:c r="Q465" s="44"/>
      <x:c r="R465" s="44"/>
      <x:c r="S465" s="44"/>
      <x:c r="T465" s="44"/>
      <x:c r="U465" s="44"/>
    </x:row>
    <x:row r="466">
      <x:c r="A466" s="44"/>
      <x:c r="B466" s="44"/>
      <x:c r="C466" s="44"/>
      <x:c r="D466" s="44"/>
      <x:c r="E466" s="44"/>
      <x:c r="F466" s="44"/>
      <x:c r="G466" s="44"/>
      <x:c r="H466" s="44"/>
      <x:c r="I466" s="44"/>
      <x:c r="J466" s="44"/>
      <x:c r="K466" s="44"/>
      <x:c r="L466" s="44"/>
      <x:c r="M466" s="44"/>
      <x:c r="N466" s="44"/>
      <x:c r="O466" s="44"/>
      <x:c r="P466" s="44"/>
      <x:c r="Q466" s="44"/>
      <x:c r="R466" s="44"/>
      <x:c r="S466" s="44"/>
      <x:c r="T466" s="44"/>
      <x:c r="U466" s="44"/>
    </x:row>
    <x:row r="467">
      <x:c r="A467" s="44"/>
      <x:c r="B467" s="44"/>
      <x:c r="C467" s="44"/>
      <x:c r="D467" s="44"/>
      <x:c r="E467" s="44"/>
      <x:c r="F467" s="44"/>
      <x:c r="G467" s="44"/>
      <x:c r="H467" s="44"/>
      <x:c r="I467" s="44"/>
      <x:c r="J467" s="44"/>
      <x:c r="K467" s="44"/>
      <x:c r="L467" s="44"/>
      <x:c r="M467" s="44"/>
      <x:c r="N467" s="44"/>
      <x:c r="O467" s="44"/>
      <x:c r="P467" s="44"/>
      <x:c r="Q467" s="44"/>
      <x:c r="R467" s="44"/>
      <x:c r="S467" s="44"/>
      <x:c r="T467" s="44"/>
      <x:c r="U467" s="44"/>
    </x:row>
    <x:row r="468">
      <x:c r="A468" s="44"/>
      <x:c r="B468" s="44"/>
      <x:c r="C468" s="44"/>
      <x:c r="D468" s="44"/>
      <x:c r="E468" s="44"/>
      <x:c r="F468" s="44"/>
      <x:c r="G468" s="44"/>
      <x:c r="H468" s="44"/>
      <x:c r="I468" s="44"/>
      <x:c r="J468" s="44"/>
      <x:c r="K468" s="44"/>
      <x:c r="L468" s="44"/>
      <x:c r="M468" s="44"/>
      <x:c r="N468" s="44"/>
      <x:c r="O468" s="44"/>
      <x:c r="P468" s="44"/>
      <x:c r="Q468" s="44"/>
      <x:c r="R468" s="44"/>
      <x:c r="S468" s="44"/>
      <x:c r="T468" s="44"/>
      <x:c r="U468" s="44"/>
    </x:row>
    <x:row r="469">
      <x:c r="A469" s="44"/>
      <x:c r="B469" s="44"/>
      <x:c r="C469" s="44"/>
      <x:c r="D469" s="44"/>
      <x:c r="E469" s="44"/>
      <x:c r="F469" s="44"/>
      <x:c r="G469" s="44"/>
      <x:c r="H469" s="44"/>
      <x:c r="I469" s="44"/>
      <x:c r="J469" s="44"/>
      <x:c r="K469" s="44"/>
      <x:c r="L469" s="44"/>
      <x:c r="M469" s="44"/>
      <x:c r="N469" s="44"/>
      <x:c r="O469" s="44"/>
      <x:c r="P469" s="44"/>
      <x:c r="Q469" s="44"/>
      <x:c r="R469" s="44"/>
      <x:c r="S469" s="44"/>
      <x:c r="T469" s="44"/>
      <x:c r="U469" s="44"/>
    </x:row>
    <x:row r="470">
      <x:c r="A470" s="44"/>
      <x:c r="B470" s="44"/>
      <x:c r="C470" s="44"/>
      <x:c r="D470" s="44"/>
      <x:c r="E470" s="44"/>
      <x:c r="F470" s="44"/>
      <x:c r="G470" s="44"/>
      <x:c r="H470" s="44"/>
      <x:c r="I470" s="44"/>
      <x:c r="J470" s="44"/>
      <x:c r="K470" s="44"/>
      <x:c r="L470" s="44"/>
      <x:c r="M470" s="44"/>
      <x:c r="N470" s="44"/>
      <x:c r="O470" s="44"/>
      <x:c r="P470" s="44"/>
      <x:c r="Q470" s="44"/>
      <x:c r="R470" s="44"/>
      <x:c r="S470" s="44"/>
      <x:c r="T470" s="44"/>
      <x:c r="U470" s="44"/>
    </x:row>
    <x:row r="471">
      <x:c r="A471" s="44"/>
      <x:c r="B471" s="44"/>
      <x:c r="C471" s="44"/>
      <x:c r="D471" s="44"/>
      <x:c r="E471" s="44"/>
      <x:c r="F471" s="44"/>
      <x:c r="G471" s="44"/>
      <x:c r="H471" s="44"/>
      <x:c r="I471" s="44"/>
      <x:c r="J471" s="44"/>
      <x:c r="K471" s="44"/>
      <x:c r="L471" s="44"/>
      <x:c r="M471" s="44"/>
      <x:c r="N471" s="44"/>
      <x:c r="O471" s="44"/>
      <x:c r="P471" s="44"/>
      <x:c r="Q471" s="44"/>
      <x:c r="R471" s="44"/>
      <x:c r="S471" s="44"/>
      <x:c r="T471" s="44"/>
      <x:c r="U471" s="44"/>
    </x:row>
    <x:row r="472">
      <x:c r="A472" s="44"/>
      <x:c r="B472" s="44"/>
      <x:c r="C472" s="44"/>
      <x:c r="D472" s="44"/>
      <x:c r="E472" s="44"/>
      <x:c r="F472" s="44"/>
      <x:c r="G472" s="44"/>
      <x:c r="H472" s="44"/>
      <x:c r="I472" s="44"/>
      <x:c r="J472" s="44"/>
      <x:c r="K472" s="44"/>
      <x:c r="L472" s="44"/>
      <x:c r="M472" s="44"/>
      <x:c r="N472" s="44"/>
      <x:c r="O472" s="44"/>
      <x:c r="P472" s="44"/>
      <x:c r="Q472" s="44"/>
      <x:c r="R472" s="44"/>
      <x:c r="S472" s="44"/>
      <x:c r="T472" s="44"/>
      <x:c r="U472" s="44"/>
    </x:row>
    <x:row r="473">
      <x:c r="A473" s="44"/>
      <x:c r="B473" s="44"/>
      <x:c r="C473" s="44"/>
      <x:c r="D473" s="44"/>
      <x:c r="E473" s="44"/>
      <x:c r="F473" s="44"/>
      <x:c r="G473" s="44"/>
      <x:c r="H473" s="44"/>
      <x:c r="I473" s="44"/>
      <x:c r="J473" s="44"/>
      <x:c r="K473" s="44"/>
      <x:c r="L473" s="44"/>
      <x:c r="M473" s="44"/>
      <x:c r="N473" s="44"/>
      <x:c r="O473" s="44"/>
      <x:c r="P473" s="44"/>
      <x:c r="Q473" s="44"/>
      <x:c r="R473" s="44"/>
      <x:c r="S473" s="44"/>
      <x:c r="T473" s="44"/>
      <x:c r="U473" s="44"/>
    </x:row>
    <x:row r="474">
      <x:c r="A474" s="44"/>
      <x:c r="B474" s="44"/>
      <x:c r="C474" s="44"/>
      <x:c r="D474" s="44"/>
      <x:c r="E474" s="44"/>
      <x:c r="F474" s="44"/>
      <x:c r="G474" s="44"/>
      <x:c r="H474" s="44"/>
      <x:c r="I474" s="44"/>
      <x:c r="J474" s="44"/>
      <x:c r="K474" s="44"/>
      <x:c r="L474" s="44"/>
      <x:c r="M474" s="44"/>
      <x:c r="N474" s="44"/>
      <x:c r="O474" s="44"/>
      <x:c r="P474" s="44"/>
      <x:c r="Q474" s="44"/>
      <x:c r="R474" s="44"/>
      <x:c r="S474" s="44"/>
      <x:c r="T474" s="44"/>
      <x:c r="U474" s="44"/>
    </x:row>
    <x:row r="475">
      <x:c r="A475" s="44"/>
      <x:c r="B475" s="44"/>
      <x:c r="C475" s="44"/>
      <x:c r="D475" s="44"/>
      <x:c r="E475" s="44"/>
      <x:c r="F475" s="44"/>
      <x:c r="G475" s="44"/>
      <x:c r="H475" s="44"/>
      <x:c r="I475" s="44"/>
      <x:c r="J475" s="44"/>
      <x:c r="K475" s="44"/>
      <x:c r="L475" s="44"/>
      <x:c r="M475" s="44"/>
      <x:c r="N475" s="44"/>
      <x:c r="O475" s="44"/>
      <x:c r="P475" s="44"/>
      <x:c r="Q475" s="44"/>
      <x:c r="R475" s="44"/>
      <x:c r="S475" s="44"/>
      <x:c r="T475" s="44"/>
      <x:c r="U475" s="44"/>
    </x:row>
    <x:row r="476">
      <x:c r="A476" s="44"/>
      <x:c r="B476" s="44"/>
      <x:c r="C476" s="44"/>
      <x:c r="D476" s="44"/>
      <x:c r="E476" s="44"/>
      <x:c r="F476" s="44"/>
      <x:c r="G476" s="44"/>
      <x:c r="H476" s="44"/>
      <x:c r="I476" s="44"/>
      <x:c r="J476" s="44"/>
      <x:c r="K476" s="44"/>
      <x:c r="L476" s="44"/>
      <x:c r="M476" s="44"/>
      <x:c r="N476" s="44"/>
      <x:c r="O476" s="44"/>
      <x:c r="P476" s="44"/>
      <x:c r="Q476" s="44"/>
      <x:c r="R476" s="44"/>
      <x:c r="S476" s="44"/>
      <x:c r="T476" s="44"/>
      <x:c r="U476" s="44"/>
    </x:row>
    <x:row r="477">
      <x:c r="A477" s="44"/>
      <x:c r="B477" s="44"/>
      <x:c r="C477" s="44"/>
      <x:c r="D477" s="44"/>
      <x:c r="E477" s="44"/>
      <x:c r="F477" s="44"/>
      <x:c r="G477" s="44"/>
      <x:c r="H477" s="44"/>
      <x:c r="I477" s="44"/>
      <x:c r="J477" s="44"/>
      <x:c r="K477" s="44"/>
      <x:c r="L477" s="44"/>
      <x:c r="M477" s="44"/>
      <x:c r="N477" s="44"/>
      <x:c r="O477" s="44"/>
      <x:c r="P477" s="44"/>
      <x:c r="Q477" s="44"/>
      <x:c r="R477" s="44"/>
      <x:c r="S477" s="44"/>
      <x:c r="T477" s="44"/>
      <x:c r="U477" s="44"/>
    </x:row>
    <x:row r="478">
      <x:c r="A478" s="44"/>
      <x:c r="B478" s="44"/>
      <x:c r="C478" s="44"/>
      <x:c r="D478" s="44"/>
      <x:c r="E478" s="44"/>
      <x:c r="F478" s="44"/>
      <x:c r="G478" s="44"/>
      <x:c r="H478" s="44"/>
      <x:c r="I478" s="44"/>
      <x:c r="J478" s="44"/>
      <x:c r="K478" s="44"/>
      <x:c r="L478" s="44"/>
      <x:c r="M478" s="44"/>
      <x:c r="N478" s="44"/>
      <x:c r="O478" s="44"/>
      <x:c r="P478" s="44"/>
      <x:c r="Q478" s="44"/>
      <x:c r="R478" s="44"/>
      <x:c r="S478" s="44"/>
      <x:c r="T478" s="44"/>
      <x:c r="U478" s="44"/>
    </x:row>
    <x:row r="479">
      <x:c r="A479" s="44"/>
      <x:c r="B479" s="44"/>
      <x:c r="C479" s="44"/>
      <x:c r="D479" s="44"/>
      <x:c r="E479" s="44"/>
      <x:c r="F479" s="44"/>
      <x:c r="G479" s="44"/>
      <x:c r="H479" s="44"/>
      <x:c r="I479" s="44"/>
      <x:c r="J479" s="44"/>
      <x:c r="K479" s="44"/>
      <x:c r="L479" s="44"/>
      <x:c r="M479" s="44"/>
      <x:c r="N479" s="44"/>
      <x:c r="O479" s="44"/>
      <x:c r="P479" s="44"/>
      <x:c r="Q479" s="44"/>
      <x:c r="R479" s="44"/>
      <x:c r="S479" s="44"/>
      <x:c r="T479" s="44"/>
      <x:c r="U479" s="44"/>
    </x:row>
    <x:row r="480">
      <x:c r="A480" s="44"/>
      <x:c r="B480" s="44"/>
      <x:c r="C480" s="44"/>
      <x:c r="D480" s="44"/>
      <x:c r="E480" s="44"/>
      <x:c r="F480" s="44"/>
      <x:c r="G480" s="44"/>
      <x:c r="H480" s="44"/>
      <x:c r="I480" s="44"/>
      <x:c r="J480" s="44"/>
      <x:c r="K480" s="44"/>
      <x:c r="L480" s="44"/>
      <x:c r="M480" s="44"/>
      <x:c r="N480" s="44"/>
      <x:c r="O480" s="44"/>
      <x:c r="P480" s="44"/>
      <x:c r="Q480" s="44"/>
      <x:c r="R480" s="44"/>
      <x:c r="S480" s="44"/>
      <x:c r="T480" s="44"/>
      <x:c r="U480" s="44"/>
    </x:row>
    <x:row r="481">
      <x:c r="A481" s="44"/>
      <x:c r="B481" s="44"/>
      <x:c r="C481" s="44"/>
      <x:c r="D481" s="44"/>
      <x:c r="E481" s="44"/>
      <x:c r="F481" s="44"/>
      <x:c r="G481" s="44"/>
      <x:c r="H481" s="44"/>
      <x:c r="I481" s="44"/>
      <x:c r="J481" s="44"/>
      <x:c r="K481" s="44"/>
      <x:c r="L481" s="44"/>
      <x:c r="M481" s="44"/>
      <x:c r="N481" s="44"/>
      <x:c r="O481" s="44"/>
      <x:c r="P481" s="44"/>
      <x:c r="Q481" s="44"/>
      <x:c r="R481" s="44"/>
      <x:c r="S481" s="44"/>
      <x:c r="T481" s="44"/>
      <x:c r="U481" s="44"/>
    </x:row>
    <x:row r="482">
      <x:c r="A482" s="44"/>
      <x:c r="B482" s="44"/>
      <x:c r="C482" s="44"/>
      <x:c r="D482" s="44"/>
      <x:c r="E482" s="44"/>
      <x:c r="F482" s="44"/>
      <x:c r="G482" s="44"/>
      <x:c r="H482" s="44"/>
      <x:c r="I482" s="44"/>
      <x:c r="J482" s="44"/>
      <x:c r="K482" s="44"/>
      <x:c r="L482" s="44"/>
      <x:c r="M482" s="44"/>
      <x:c r="N482" s="44"/>
      <x:c r="O482" s="44"/>
      <x:c r="P482" s="44"/>
      <x:c r="Q482" s="44"/>
      <x:c r="R482" s="44"/>
      <x:c r="S482" s="44"/>
      <x:c r="T482" s="44"/>
      <x:c r="U482" s="44"/>
    </x:row>
    <x:row r="483">
      <x:c r="A483" s="44"/>
      <x:c r="B483" s="44"/>
      <x:c r="C483" s="44"/>
      <x:c r="D483" s="44"/>
      <x:c r="E483" s="44"/>
      <x:c r="F483" s="44"/>
      <x:c r="G483" s="44"/>
      <x:c r="H483" s="44"/>
      <x:c r="I483" s="44"/>
      <x:c r="J483" s="44"/>
      <x:c r="K483" s="44"/>
      <x:c r="L483" s="44"/>
      <x:c r="M483" s="44"/>
      <x:c r="N483" s="44"/>
      <x:c r="O483" s="44"/>
      <x:c r="P483" s="44"/>
      <x:c r="Q483" s="44"/>
      <x:c r="R483" s="44"/>
      <x:c r="S483" s="44"/>
      <x:c r="T483" s="44"/>
      <x:c r="U483" s="44"/>
    </x:row>
    <x:row r="484">
      <x:c r="A484" s="44"/>
      <x:c r="B484" s="44"/>
      <x:c r="C484" s="44"/>
      <x:c r="D484" s="44"/>
      <x:c r="E484" s="44"/>
      <x:c r="F484" s="44"/>
      <x:c r="G484" s="44"/>
      <x:c r="H484" s="44"/>
      <x:c r="I484" s="44"/>
      <x:c r="J484" s="44"/>
      <x:c r="K484" s="44"/>
      <x:c r="L484" s="44"/>
      <x:c r="M484" s="44"/>
      <x:c r="N484" s="44"/>
      <x:c r="O484" s="44"/>
      <x:c r="P484" s="44"/>
      <x:c r="Q484" s="44"/>
      <x:c r="R484" s="44"/>
      <x:c r="S484" s="44"/>
      <x:c r="T484" s="44"/>
      <x:c r="U484" s="44"/>
    </x:row>
    <x:row r="485">
      <x:c r="A485" s="44"/>
      <x:c r="B485" s="44"/>
      <x:c r="C485" s="44"/>
      <x:c r="D485" s="44"/>
      <x:c r="E485" s="44"/>
      <x:c r="F485" s="44"/>
      <x:c r="G485" s="44"/>
      <x:c r="H485" s="44"/>
      <x:c r="I485" s="44"/>
      <x:c r="J485" s="44"/>
      <x:c r="K485" s="44"/>
      <x:c r="L485" s="44"/>
      <x:c r="M485" s="44"/>
      <x:c r="N485" s="44"/>
      <x:c r="O485" s="44"/>
      <x:c r="P485" s="44"/>
      <x:c r="Q485" s="44"/>
      <x:c r="R485" s="44"/>
      <x:c r="S485" s="44"/>
      <x:c r="T485" s="44"/>
      <x:c r="U485" s="44"/>
    </x:row>
    <x:row r="486">
      <x:c r="A486" s="44"/>
      <x:c r="B486" s="44"/>
      <x:c r="C486" s="44"/>
      <x:c r="D486" s="44"/>
      <x:c r="E486" s="44"/>
      <x:c r="F486" s="44"/>
      <x:c r="G486" s="44"/>
      <x:c r="H486" s="44"/>
      <x:c r="I486" s="44"/>
      <x:c r="J486" s="44"/>
      <x:c r="K486" s="44"/>
      <x:c r="L486" s="44"/>
      <x:c r="M486" s="44"/>
      <x:c r="N486" s="44"/>
      <x:c r="O486" s="44"/>
      <x:c r="P486" s="44"/>
      <x:c r="Q486" s="44"/>
      <x:c r="R486" s="44"/>
      <x:c r="S486" s="44"/>
      <x:c r="T486" s="44"/>
      <x:c r="U486" s="44"/>
    </x:row>
    <x:row r="487">
      <x:c r="A487" s="44"/>
      <x:c r="B487" s="44"/>
      <x:c r="C487" s="44"/>
      <x:c r="D487" s="44"/>
      <x:c r="E487" s="44"/>
      <x:c r="F487" s="44"/>
      <x:c r="G487" s="44"/>
      <x:c r="H487" s="44"/>
      <x:c r="I487" s="44"/>
      <x:c r="J487" s="44"/>
      <x:c r="K487" s="44"/>
      <x:c r="L487" s="44"/>
      <x:c r="M487" s="44"/>
      <x:c r="N487" s="44"/>
      <x:c r="O487" s="44"/>
      <x:c r="P487" s="44"/>
      <x:c r="Q487" s="44"/>
      <x:c r="R487" s="44"/>
      <x:c r="S487" s="44"/>
      <x:c r="T487" s="44"/>
      <x:c r="U487" s="44"/>
    </x:row>
    <x:row r="488">
      <x:c r="A488" s="44"/>
      <x:c r="B488" s="44"/>
      <x:c r="C488" s="44"/>
      <x:c r="D488" s="44"/>
      <x:c r="E488" s="44"/>
      <x:c r="F488" s="44"/>
      <x:c r="G488" s="44"/>
      <x:c r="H488" s="44"/>
      <x:c r="I488" s="44"/>
      <x:c r="J488" s="44"/>
      <x:c r="K488" s="44"/>
      <x:c r="L488" s="44"/>
      <x:c r="M488" s="44"/>
      <x:c r="N488" s="44"/>
      <x:c r="O488" s="44"/>
      <x:c r="P488" s="44"/>
      <x:c r="Q488" s="44"/>
      <x:c r="R488" s="44"/>
      <x:c r="S488" s="44"/>
      <x:c r="T488" s="44"/>
      <x:c r="U488" s="44"/>
    </x:row>
    <x:row r="489">
      <x:c r="A489" s="44"/>
      <x:c r="B489" s="44"/>
      <x:c r="C489" s="44"/>
      <x:c r="D489" s="44"/>
      <x:c r="E489" s="44"/>
      <x:c r="F489" s="44"/>
      <x:c r="G489" s="44"/>
      <x:c r="H489" s="44"/>
      <x:c r="I489" s="44"/>
      <x:c r="J489" s="44"/>
      <x:c r="K489" s="44"/>
      <x:c r="L489" s="44"/>
      <x:c r="M489" s="44"/>
      <x:c r="N489" s="44"/>
      <x:c r="O489" s="44"/>
      <x:c r="P489" s="44"/>
      <x:c r="Q489" s="44"/>
      <x:c r="R489" s="44"/>
      <x:c r="S489" s="44"/>
      <x:c r="T489" s="44"/>
      <x:c r="U489" s="44"/>
    </x:row>
    <x:row r="490">
      <x:c r="A490" s="44"/>
      <x:c r="B490" s="44"/>
      <x:c r="C490" s="44"/>
      <x:c r="D490" s="44"/>
      <x:c r="E490" s="44"/>
      <x:c r="F490" s="44"/>
      <x:c r="G490" s="44"/>
      <x:c r="H490" s="44"/>
      <x:c r="I490" s="44"/>
      <x:c r="J490" s="44"/>
      <x:c r="K490" s="44"/>
      <x:c r="L490" s="44"/>
      <x:c r="M490" s="44"/>
      <x:c r="N490" s="44"/>
      <x:c r="O490" s="44"/>
      <x:c r="P490" s="44"/>
      <x:c r="Q490" s="44"/>
      <x:c r="R490" s="44"/>
      <x:c r="S490" s="44"/>
      <x:c r="T490" s="44"/>
      <x:c r="U490" s="44"/>
    </x:row>
    <x:row r="491">
      <x:c r="A491" s="44"/>
      <x:c r="B491" s="44"/>
      <x:c r="C491" s="44"/>
      <x:c r="D491" s="44"/>
      <x:c r="E491" s="44"/>
      <x:c r="F491" s="44"/>
      <x:c r="G491" s="44"/>
      <x:c r="H491" s="44"/>
      <x:c r="I491" s="44"/>
      <x:c r="J491" s="44"/>
      <x:c r="K491" s="44"/>
      <x:c r="L491" s="44"/>
      <x:c r="M491" s="44"/>
      <x:c r="N491" s="44"/>
      <x:c r="O491" s="44"/>
      <x:c r="P491" s="44"/>
      <x:c r="Q491" s="44"/>
      <x:c r="R491" s="44"/>
      <x:c r="S491" s="44"/>
      <x:c r="T491" s="44"/>
      <x:c r="U491" s="44"/>
    </x:row>
    <x:row r="492">
      <x:c r="A492" s="44"/>
      <x:c r="B492" s="44"/>
      <x:c r="C492" s="44"/>
      <x:c r="D492" s="44"/>
      <x:c r="E492" s="44"/>
      <x:c r="F492" s="44"/>
      <x:c r="G492" s="44"/>
      <x:c r="H492" s="44"/>
      <x:c r="I492" s="44"/>
      <x:c r="J492" s="44"/>
      <x:c r="K492" s="44"/>
      <x:c r="L492" s="44"/>
      <x:c r="M492" s="44"/>
      <x:c r="N492" s="44"/>
      <x:c r="O492" s="44"/>
      <x:c r="P492" s="44"/>
      <x:c r="Q492" s="44"/>
      <x:c r="R492" s="44"/>
      <x:c r="S492" s="44"/>
      <x:c r="T492" s="44"/>
      <x:c r="U492" s="44"/>
    </x:row>
    <x:row r="493">
      <x:c r="A493" s="44"/>
      <x:c r="B493" s="44"/>
      <x:c r="C493" s="44"/>
      <x:c r="D493" s="44"/>
      <x:c r="E493" s="44"/>
      <x:c r="F493" s="44"/>
      <x:c r="G493" s="44"/>
      <x:c r="H493" s="44"/>
      <x:c r="I493" s="44"/>
      <x:c r="J493" s="44"/>
      <x:c r="K493" s="44"/>
      <x:c r="L493" s="44"/>
      <x:c r="M493" s="44"/>
      <x:c r="N493" s="44"/>
      <x:c r="O493" s="44"/>
      <x:c r="P493" s="44"/>
      <x:c r="Q493" s="44"/>
      <x:c r="R493" s="44"/>
      <x:c r="S493" s="44"/>
      <x:c r="T493" s="44"/>
      <x:c r="U493" s="44"/>
    </x:row>
    <x:row r="494">
      <x:c r="A494" s="44"/>
      <x:c r="B494" s="44"/>
      <x:c r="C494" s="44"/>
      <x:c r="D494" s="44"/>
      <x:c r="E494" s="44"/>
      <x:c r="F494" s="44"/>
      <x:c r="G494" s="44"/>
      <x:c r="H494" s="44"/>
      <x:c r="I494" s="44"/>
      <x:c r="J494" s="44"/>
      <x:c r="K494" s="44"/>
      <x:c r="L494" s="44"/>
      <x:c r="M494" s="44"/>
      <x:c r="N494" s="44"/>
      <x:c r="O494" s="44"/>
      <x:c r="P494" s="44"/>
      <x:c r="Q494" s="44"/>
      <x:c r="R494" s="44"/>
      <x:c r="S494" s="44"/>
      <x:c r="T494" s="44"/>
      <x:c r="U494" s="44"/>
    </x:row>
    <x:row r="495">
      <x:c r="A495" s="44"/>
      <x:c r="B495" s="44"/>
      <x:c r="C495" s="44"/>
      <x:c r="D495" s="44"/>
      <x:c r="E495" s="44"/>
      <x:c r="F495" s="44"/>
      <x:c r="G495" s="44"/>
      <x:c r="H495" s="44"/>
      <x:c r="I495" s="44"/>
      <x:c r="J495" s="44"/>
      <x:c r="K495" s="44"/>
      <x:c r="L495" s="44"/>
      <x:c r="M495" s="44"/>
      <x:c r="N495" s="44"/>
      <x:c r="O495" s="44"/>
      <x:c r="P495" s="44"/>
      <x:c r="Q495" s="44"/>
      <x:c r="R495" s="44"/>
      <x:c r="S495" s="44"/>
      <x:c r="T495" s="44"/>
      <x:c r="U495" s="44"/>
    </x:row>
    <x:row r="496">
      <x:c r="A496" s="44"/>
      <x:c r="B496" s="44"/>
      <x:c r="C496" s="44"/>
      <x:c r="D496" s="44"/>
      <x:c r="E496" s="44"/>
      <x:c r="F496" s="44"/>
      <x:c r="G496" s="44"/>
      <x:c r="H496" s="44"/>
      <x:c r="I496" s="44"/>
      <x:c r="J496" s="44"/>
      <x:c r="K496" s="44"/>
      <x:c r="L496" s="44"/>
      <x:c r="M496" s="44"/>
      <x:c r="N496" s="44"/>
      <x:c r="O496" s="44"/>
      <x:c r="P496" s="44"/>
      <x:c r="Q496" s="44"/>
      <x:c r="R496" s="44"/>
      <x:c r="S496" s="44"/>
      <x:c r="T496" s="44"/>
      <x:c r="U496" s="44"/>
    </x:row>
    <x:row r="497">
      <x:c r="A497" s="44"/>
      <x:c r="B497" s="44"/>
      <x:c r="C497" s="44"/>
      <x:c r="D497" s="44"/>
      <x:c r="E497" s="44"/>
      <x:c r="F497" s="44"/>
      <x:c r="G497" s="44"/>
      <x:c r="H497" s="44"/>
      <x:c r="I497" s="44"/>
      <x:c r="J497" s="44"/>
      <x:c r="K497" s="44"/>
      <x:c r="L497" s="44"/>
      <x:c r="M497" s="44"/>
      <x:c r="N497" s="44"/>
      <x:c r="O497" s="44"/>
      <x:c r="P497" s="44"/>
      <x:c r="Q497" s="44"/>
      <x:c r="R497" s="44"/>
      <x:c r="S497" s="44"/>
      <x:c r="T497" s="44"/>
      <x:c r="U497" s="44"/>
    </x:row>
    <x:row r="498">
      <x:c r="A498" s="44"/>
      <x:c r="B498" s="44"/>
      <x:c r="C498" s="44"/>
      <x:c r="D498" s="44"/>
      <x:c r="E498" s="44"/>
      <x:c r="F498" s="44"/>
      <x:c r="G498" s="44"/>
      <x:c r="H498" s="44"/>
      <x:c r="I498" s="44"/>
      <x:c r="J498" s="44"/>
      <x:c r="K498" s="44"/>
      <x:c r="L498" s="44"/>
      <x:c r="M498" s="44"/>
      <x:c r="N498" s="44"/>
      <x:c r="O498" s="44"/>
      <x:c r="P498" s="44"/>
      <x:c r="Q498" s="44"/>
      <x:c r="R498" s="44"/>
      <x:c r="S498" s="44"/>
      <x:c r="T498" s="44"/>
      <x:c r="U498" s="44"/>
    </x:row>
    <x:row r="499">
      <x:c r="A499" s="44"/>
      <x:c r="B499" s="44"/>
      <x:c r="C499" s="44"/>
      <x:c r="D499" s="44"/>
      <x:c r="E499" s="44"/>
      <x:c r="F499" s="44"/>
      <x:c r="G499" s="44"/>
      <x:c r="H499" s="44"/>
      <x:c r="I499" s="44"/>
      <x:c r="J499" s="44"/>
      <x:c r="K499" s="44"/>
      <x:c r="L499" s="44"/>
      <x:c r="M499" s="44"/>
      <x:c r="N499" s="44"/>
      <x:c r="O499" s="44"/>
      <x:c r="P499" s="44"/>
      <x:c r="Q499" s="44"/>
      <x:c r="R499" s="44"/>
      <x:c r="S499" s="44"/>
      <x:c r="T499" s="44"/>
      <x:c r="U499" s="44"/>
    </x:row>
    <x:row r="500">
      <x:c r="A500" s="45"/>
      <x:c r="B500" s="45"/>
      <x:c r="C500" s="45"/>
      <x:c r="D500" s="45"/>
      <x:c r="E500" s="45"/>
      <x:c r="F500" s="45"/>
      <x:c r="G500" s="45"/>
      <x:c r="H500" s="45"/>
      <x:c r="I500" s="45"/>
      <x:c r="J500" s="45"/>
      <x:c r="K500" s="45"/>
      <x:c r="L500" s="45"/>
      <x:c r="M500" s="45"/>
      <x:c r="N500" s="45"/>
      <x:c r="O500" s="45"/>
      <x:c r="P500" s="45"/>
      <x:c r="Q500" s="45"/>
      <x:c r="R500" s="45"/>
      <x:c r="S500" s="45"/>
      <x:c r="T500" s="45"/>
      <x:c r="U500" s="45"/>
    </x:row>
  </x:sheetData>
  <x:mergeCells>
    <x:mergeCell ref="A1:AG1"/>
    <x:mergeCell ref="A2:AG2"/>
  </x:mergeCells>
  <x:conditionalFormatting sqref="C5:C200">
    <x:cfRule type="expression" dxfId="0" priority="1">
      <x:formula>C5="P1"</x:formula>
    </x:cfRule>
    <x:cfRule type="expression" dxfId="1" priority="2">
      <x:formula>C5="P2"</x:formula>
    </x:cfRule>
    <x:cfRule type="expression" dxfId="2" priority="3">
      <x:formula>C5="P3"</x:formula>
    </x:cfRule>
    <x:cfRule type="expression" dxfId="3" priority="4">
      <x:formula>C5="P4"</x:formula>
    </x:cfRule>
  </x:conditionalFormatting>
  <x:conditionalFormatting sqref="AG5:AG200">
    <x:cfRule type="expression" dxfId="4" priority="5">
      <x:formula>AG5="NO AUTOMATIZAR hasta validación CEDIA"</x:formula>
    </x:cfRule>
  </x:conditionalFormatting>
  <x:dataValidations count="10">
    <x:dataValidation type="list" sqref="B5:B500">
      <x:formula1>"Borrador,Prueba,Por validar CEDIA,Validada,Inactiva"</x:formula1>
    </x:dataValidation>
    <x:dataValidation type="list" sqref="C5:C500">
      <x:formula1>"1,2,3,4,5"</x:formula1>
    </x:dataValidation>
    <x:dataValidation type="list" sqref="D5:D500">
      <x:formula1>"Problema,Entorno / Tendencias,Usuario,Solución,Prototipado,Tecnología,Mercado,Propuesta de valor,Modelo de negocio,Posicionamiento,Servicio / Servucción,Comunicación / Pitch,Otra"</x:formula1>
    </x:dataValidation>
    <x:dataValidation type="list" sqref="F5:I500">
      <x:formula1>",1,2,3,4,5,6,7,8,9"</x:formula1>
    </x:dataValidation>
    <x:dataValidation type="list" sqref="M5:M500">
      <x:formula1>"Obligatoria,Prioritaria,Opcional,Alternativa,No recomendar"</x:formula1>
    </x:dataValidation>
    <x:dataValidation type="list" sqref="T5:T500">
      <x:formula1>"v0.1,v0.2,v1.0,v1.1,v2.0"</x:formula1>
    </x:dataValidation>
    <x:dataValidation type="list" sqref="B5:B200">
      <x:formula1>"Borrador sustentado,Por validar CEDIA,Validada,Descartada"</x:formula1>
    </x:dataValidation>
    <x:dataValidation type="list" sqref="C5:C200">
      <x:formula1>"P1,P2,P3,P4"</x:formula1>
    </x:dataValidation>
    <x:dataValidation type="list" sqref="M5:M200">
      <x:formula1>"Crítica,Prioritaria,Complementaria,Opcional,Actualización"</x:formula1>
    </x:dataValidation>
    <x:dataValidation type="list" sqref="AG5:AG200">
      <x:formula1>"NO AUTOMATIZAR hasta validación CEDIA,Lista para prueba controlada,Validada para automatizar"</x:formula1>
    </x:dataValidation>
  </x:dataValidations>
  <x:pageMargins left="0.7" right="0.7" top="0.75" bottom="0.75" header="0.3" footer="0.3"/>
  <x:tableParts count="1">
    <x:tablePart xmlns:r="http://schemas.openxmlformats.org/officeDocument/2006/relationships" r:id="R1e32d2f976bb4ad1"/>
  </x:tableParts>
</x:worksheet>
</file>

<file path=xl/worksheets/sheet7.xml><?xml version="1.0" encoding="utf-8"?>
<x:worksheet xmlns:x="http://schemas.openxmlformats.org/spreadsheetml/2006/main">
  <x:sheetFormatPr defaultRowHeight="15"/>
  <x:cols>
    <x:col min="1" max="1" width="15" hidden="0" customWidth="1"/>
    <x:col min="2" max="2" width="22" hidden="0" customWidth="1"/>
    <x:col min="3" max="3" width="40" hidden="0" customWidth="1"/>
    <x:col min="4" max="4" width="18" hidden="0" customWidth="1"/>
    <x:col min="5" max="5" width="32" hidden="0" customWidth="1"/>
    <x:col min="6" max="6" width="12" hidden="0" customWidth="1"/>
    <x:col min="7" max="7" width="18" hidden="0" customWidth="1"/>
    <x:col min="8" max="8" width="12" hidden="0" customWidth="1"/>
    <x:col min="9" max="9" width="12" hidden="0" customWidth="1"/>
    <x:col min="10" max="10" width="30" hidden="0" customWidth="1"/>
    <x:col min="11" max="11" width="10" hidden="0" customWidth="1"/>
    <x:col min="12" max="12" width="30" hidden="0" customWidth="1"/>
    <x:col min="13" max="13" width="20" hidden="0" customWidth="1"/>
    <x:col min="14" max="14" width="28" hidden="0" customWidth="1"/>
    <x:col min="15" max="15" width="30" hidden="0" customWidth="1"/>
    <x:col min="16" max="16" width="24" hidden="0" customWidth="1"/>
  </x:cols>
  <x:sheetData>
    <x:row r="1" ht="28" customHeight="1">
      <x:c r="A1" s="6" t="str">
        <x:v>06 — BANCO DE PREGUNTAS DE DIAGNÓSTICO</x:v>
      </x:c>
      <x:c r="B1" s="6" t="str">
        <x:v>06 — BANCO DE PREGUNTAS DE DIAGNÓSTICO</x:v>
      </x:c>
      <x:c r="C1" s="6" t="str">
        <x:v>06 — BANCO DE PREGUNTAS DE DIAGNÓSTICO</x:v>
      </x:c>
      <x:c r="D1" s="6" t="str">
        <x:v>06 — BANCO DE PREGUNTAS DE DIAGNÓSTICO</x:v>
      </x:c>
      <x:c r="E1" s="6" t="str">
        <x:v>06 — BANCO DE PREGUNTAS DE DIAGNÓSTICO</x:v>
      </x:c>
      <x:c r="F1" s="6" t="str">
        <x:v>06 — BANCO DE PREGUNTAS DE DIAGNÓSTICO</x:v>
      </x:c>
      <x:c r="G1" s="6" t="str">
        <x:v>06 — BANCO DE PREGUNTAS DE DIAGNÓSTICO</x:v>
      </x:c>
      <x:c r="H1" s="6" t="str">
        <x:v>06 — BANCO DE PREGUNTAS DE DIAGNÓSTICO</x:v>
      </x:c>
      <x:c r="I1" s="6" t="str">
        <x:v>06 — BANCO DE PREGUNTAS DE DIAGNÓSTICO</x:v>
      </x:c>
      <x:c r="J1" s="6" t="str">
        <x:v>06 — BANCO DE PREGUNTAS DE DIAGNÓSTICO</x:v>
      </x:c>
      <x:c r="K1" s="6" t="str">
        <x:v>06 — BANCO DE PREGUNTAS DE DIAGNÓSTICO</x:v>
      </x:c>
      <x:c r="L1" s="6" t="str">
        <x:v>06 — BANCO DE PREGUNTAS DE DIAGNÓSTICO</x:v>
      </x:c>
      <x:c r="M1" s="6" t="str">
        <x:v>06 — BANCO DE PREGUNTAS DE DIAGNÓSTICO</x:v>
      </x:c>
      <x:c r="N1" s="6" t="str">
        <x:v>06 — BANCO DE PREGUNTAS DE DIAGNÓSTICO</x:v>
      </x:c>
      <x:c r="O1" s="6" t="str">
        <x:v>06 — BANCO DE PREGUNTAS DE DIAGNÓSTICO</x:v>
      </x:c>
    </x:row>
    <x:row r="2" ht="35" customHeight="1">
      <x:c r="A2" s="15" t="str">
        <x:v>Diseña preguntas que detecten brechas, evidencias y contexto. Evita preguntas decorativas: cada pregunta debe alimentar una decisión, una regla o un dato útil del expediente.</x:v>
      </x:c>
      <x:c r="B2" s="15" t="str">
        <x:v>Diseña preguntas que detecten brechas, evidencias y contexto. Evita preguntas decorativas: cada pregunta debe alimentar una decisión, una regla o un dato útil del expediente.</x:v>
      </x:c>
      <x:c r="C2" s="15" t="str">
        <x:v>Diseña preguntas que detecten brechas, evidencias y contexto. Evita preguntas decorativas: cada pregunta debe alimentar una decisión, una regla o un dato útil del expediente.</x:v>
      </x:c>
      <x:c r="D2" s="15" t="str">
        <x:v>Diseña preguntas que detecten brechas, evidencias y contexto. Evita preguntas decorativas: cada pregunta debe alimentar una decisión, una regla o un dato útil del expediente.</x:v>
      </x:c>
      <x:c r="E2" s="15" t="str">
        <x:v>Diseña preguntas que detecten brechas, evidencias y contexto. Evita preguntas decorativas: cada pregunta debe alimentar una decisión, una regla o un dato útil del expediente.</x:v>
      </x:c>
      <x:c r="F2" s="15" t="str">
        <x:v>Diseña preguntas que detecten brechas, evidencias y contexto. Evita preguntas decorativas: cada pregunta debe alimentar una decisión, una regla o un dato útil del expediente.</x:v>
      </x:c>
      <x:c r="G2" s="15" t="str">
        <x:v>Diseña preguntas que detecten brechas, evidencias y contexto. Evita preguntas decorativas: cada pregunta debe alimentar una decisión, una regla o un dato útil del expediente.</x:v>
      </x:c>
      <x:c r="H2" s="15" t="str">
        <x:v>Diseña preguntas que detecten brechas, evidencias y contexto. Evita preguntas decorativas: cada pregunta debe alimentar una decisión, una regla o un dato útil del expediente.</x:v>
      </x:c>
      <x:c r="I2" s="15" t="str">
        <x:v>Diseña preguntas que detecten brechas, evidencias y contexto. Evita preguntas decorativas: cada pregunta debe alimentar una decisión, una regla o un dato útil del expediente.</x:v>
      </x:c>
      <x:c r="J2" s="15" t="str">
        <x:v>Diseña preguntas que detecten brechas, evidencias y contexto. Evita preguntas decorativas: cada pregunta debe alimentar una decisión, una regla o un dato útil del expediente.</x:v>
      </x:c>
      <x:c r="K2" s="15" t="str">
        <x:v>Diseña preguntas que detecten brechas, evidencias y contexto. Evita preguntas decorativas: cada pregunta debe alimentar una decisión, una regla o un dato útil del expediente.</x:v>
      </x:c>
      <x:c r="L2" s="15" t="str">
        <x:v>Diseña preguntas que detecten brechas, evidencias y contexto. Evita preguntas decorativas: cada pregunta debe alimentar una decisión, una regla o un dato útil del expediente.</x:v>
      </x:c>
      <x:c r="M2" s="15" t="str">
        <x:v>Diseña preguntas que detecten brechas, evidencias y contexto. Evita preguntas decorativas: cada pregunta debe alimentar una decisión, una regla o un dato útil del expediente.</x:v>
      </x:c>
      <x:c r="N2" s="15" t="str">
        <x:v>Diseña preguntas que detecten brechas, evidencias y contexto. Evita preguntas decorativas: cada pregunta debe alimentar una decisión, una regla o un dato útil del expediente.</x:v>
      </x:c>
      <x:c r="O2" s="15" t="str">
        <x:v>Diseña preguntas que detecten brechas, evidencias y contexto. Evita preguntas decorativas: cada pregunta debe alimentar una decisión, una regla o un dato útil del expediente.</x:v>
      </x:c>
    </x:row>
    <x:row r="4" ht="34" customHeight="1">
      <x:c r="A4" s="129" t="str">
        <x:v>ID_PREGUNTA</x:v>
      </x:c>
      <x:c r="B4" s="130" t="str">
        <x:v>BLOQUE</x:v>
      </x:c>
      <x:c r="C4" s="130" t="str">
        <x:v>TEXTO_PREGUNTA</x:v>
      </x:c>
      <x:c r="D4" s="130" t="str">
        <x:v>TIPO_RESPUESTA</x:v>
      </x:c>
      <x:c r="E4" s="130" t="str">
        <x:v>OPCIONES_RESPUESTA</x:v>
      </x:c>
      <x:c r="F4" s="130" t="str">
        <x:v>OBLIGATORIA</x:v>
      </x:c>
      <x:c r="G4" s="130" t="str">
        <x:v>ID_BRECHA_DETECTADA</x:v>
      </x:c>
      <x:c r="H4" s="130" t="str">
        <x:v>APORTA_TRL</x:v>
      </x:c>
      <x:c r="I4" s="130" t="str">
        <x:v>APORTA_CRL</x:v>
      </x:c>
      <x:c r="J4" s="130" t="str">
        <x:v>LOGICA_SALTO</x:v>
      </x:c>
      <x:c r="K4" s="130" t="str">
        <x:v>ORDEN</x:v>
      </x:c>
      <x:c r="L4" s="130" t="str">
        <x:v>AYUDA_AL_USUARIO</x:v>
      </x:c>
      <x:c r="M4" s="130" t="str">
        <x:v>ESTADO_VALIDACION</x:v>
      </x:c>
      <x:c r="N4" s="130" t="str">
        <x:v>FUENTE</x:v>
      </x:c>
      <x:c r="O4" s="165" t="str">
        <x:v>NOTAS</x:v>
      </x:c>
      <x:c r="P4" s="131" t="str">
        <x:v>TIPO_PROYECTO_APLICABLE</x:v>
      </x:c>
    </x:row>
    <x:row r="5">
      <x:c r="A5" s="136" t="str">
        <x:v>Q-001</x:v>
      </x:c>
      <x:c r="B5" s="136" t="str">
        <x:v>TRL</x:v>
      </x:c>
      <x:c r="C5" s="136" t="str">
        <x:v>¿En qué nivel de desarrollo se encuentra actualmente su proyecto o producto?</x:v>
      </x:c>
      <x:c r="D5" s="136" t="str">
        <x:v>Selección única</x:v>
      </x:c>
      <x:c r="E5" s="136" t="str">
        <x:v>Ver 11_TRL_DETALLE</x:v>
      </x:c>
      <x:c r="F5" s="136" t="str">
        <x:v>Sí</x:v>
      </x:c>
      <x:c r="G5" s="136"/>
      <x:c r="H5" s="136" t="str">
        <x:v>Sí</x:v>
      </x:c>
      <x:c r="I5" s="136" t="str">
        <x:v>No</x:v>
      </x:c>
      <x:c r="J5" s="136"/>
      <x:c r="K5" s="136" t="n">
        <x:v>1</x:v>
      </x:c>
      <x:c r="L5" s="136" t="str">
        <x:v>Seleccione la opción que mejor describa el estado actual.</x:v>
      </x:c>
      <x:c r="M5" s="136" t="str">
        <x:v>Fuente interna; confirmar versión vigente</x:v>
      </x:c>
      <x:c r="N5" s="136" t="str">
        <x:v>CALCULADORA TRL Y CRLS.xlsx</x:v>
      </x:c>
      <x:c r="O5" s="136" t="str">
        <x:v>Dimensión ETAPA DE DESARROLLO; peso 25%.</x:v>
      </x:c>
      <x:c r="P5" s="136" t="str">
        <x:v>Tecnología / Producto</x:v>
      </x:c>
    </x:row>
    <x:row r="6">
      <x:c r="A6" s="136" t="str">
        <x:v>Q-002</x:v>
      </x:c>
      <x:c r="B6" s="136" t="str">
        <x:v>TRL</x:v>
      </x:c>
      <x:c r="C6" s="136" t="str">
        <x:v>¿Cuál es el grado de definición del concepto de su tecnología?</x:v>
      </x:c>
      <x:c r="D6" s="136" t="str">
        <x:v>Selección única</x:v>
      </x:c>
      <x:c r="E6" s="136" t="str">
        <x:v>Ver 11_TRL_DETALLE</x:v>
      </x:c>
      <x:c r="F6" s="136" t="str">
        <x:v>Sí</x:v>
      </x:c>
      <x:c r="G6" s="136"/>
      <x:c r="H6" s="136" t="str">
        <x:v>Sí</x:v>
      </x:c>
      <x:c r="I6" s="136" t="str">
        <x:v>No</x:v>
      </x:c>
      <x:c r="J6" s="136"/>
      <x:c r="K6" s="136" t="n">
        <x:v>2</x:v>
      </x:c>
      <x:c r="L6" s="136" t="str">
        <x:v>Seleccione la opción que mejor describa el estado actual.</x:v>
      </x:c>
      <x:c r="M6" s="136" t="str">
        <x:v>Fuente interna; confirmar versión vigente</x:v>
      </x:c>
      <x:c r="N6" s="136" t="str">
        <x:v>CALCULADORA TRL Y CRLS.xlsx</x:v>
      </x:c>
      <x:c r="O6" s="136" t="str">
        <x:v>Dimensión CLARIDAD DEL CONCEPTO; peso 5%.</x:v>
      </x:c>
      <x:c r="P6" s="136" t="str">
        <x:v>Tecnología / Producto</x:v>
      </x:c>
    </x:row>
    <x:row r="7">
      <x:c r="A7" s="136" t="str">
        <x:v>Q-003</x:v>
      </x:c>
      <x:c r="B7" s="136" t="str">
        <x:v>TRL</x:v>
      </x:c>
      <x:c r="C7" s="136" t="str">
        <x:v>¿Cuál de las siguientes opciones describe mejor el estado actual de su prototipo?</x:v>
      </x:c>
      <x:c r="D7" s="136" t="str">
        <x:v>Selección única</x:v>
      </x:c>
      <x:c r="E7" s="136" t="str">
        <x:v>Ver 11_TRL_DETALLE</x:v>
      </x:c>
      <x:c r="F7" s="136" t="str">
        <x:v>Sí</x:v>
      </x:c>
      <x:c r="G7" s="136"/>
      <x:c r="H7" s="136" t="str">
        <x:v>Sí</x:v>
      </x:c>
      <x:c r="I7" s="136" t="str">
        <x:v>No</x:v>
      </x:c>
      <x:c r="J7" s="136"/>
      <x:c r="K7" s="136" t="n">
        <x:v>3</x:v>
      </x:c>
      <x:c r="L7" s="136" t="str">
        <x:v>Seleccione la opción que mejor describa el estado actual.</x:v>
      </x:c>
      <x:c r="M7" s="136" t="str">
        <x:v>Fuente interna; confirmar versión vigente</x:v>
      </x:c>
      <x:c r="N7" s="136" t="str">
        <x:v>CALCULADORA TRL Y CRLS.xlsx</x:v>
      </x:c>
      <x:c r="O7" s="136" t="str">
        <x:v>Dimensión Pruebas o prototipos; peso 10%.</x:v>
      </x:c>
      <x:c r="P7" s="136" t="str">
        <x:v>Tecnología / Producto</x:v>
      </x:c>
    </x:row>
    <x:row r="8">
      <x:c r="A8" s="136" t="str">
        <x:v>Q-004</x:v>
      </x:c>
      <x:c r="B8" s="136" t="str">
        <x:v>TRL</x:v>
      </x:c>
      <x:c r="C8" s="136" t="str">
        <x:v>¿Qué evidencias o resultados tangibles se han obtenido hasta ahora en el desarrollo de su tecnología?</x:v>
      </x:c>
      <x:c r="D8" s="136" t="str">
        <x:v>Selección única</x:v>
      </x:c>
      <x:c r="E8" s="136" t="str">
        <x:v>Ver 11_TRL_DETALLE</x:v>
      </x:c>
      <x:c r="F8" s="136" t="str">
        <x:v>Sí</x:v>
      </x:c>
      <x:c r="G8" s="136"/>
      <x:c r="H8" s="136" t="str">
        <x:v>Sí</x:v>
      </x:c>
      <x:c r="I8" s="136" t="str">
        <x:v>No</x:v>
      </x:c>
      <x:c r="J8" s="136"/>
      <x:c r="K8" s="136" t="n">
        <x:v>4</x:v>
      </x:c>
      <x:c r="L8" s="136" t="str">
        <x:v>Seleccione la opción que mejor describa el estado actual.</x:v>
      </x:c>
      <x:c r="M8" s="136" t="str">
        <x:v>Fuente interna; confirmar versión vigente</x:v>
      </x:c>
      <x:c r="N8" s="136" t="str">
        <x:v>CALCULADORA TRL Y CRLS.xlsx</x:v>
      </x:c>
      <x:c r="O8" s="136" t="str">
        <x:v>Dimensión Documentación y soporte; peso 5%.</x:v>
      </x:c>
      <x:c r="P8" s="136" t="str">
        <x:v>Tecnología / Producto</x:v>
      </x:c>
    </x:row>
    <x:row r="9">
      <x:c r="A9" s="136" t="str">
        <x:v>Q-005</x:v>
      </x:c>
      <x:c r="B9" s="136" t="str">
        <x:v>TRL</x:v>
      </x:c>
      <x:c r="C9" s="136" t="str">
        <x:v>¿Cuál es el estado actual del financiamiento de su proyecto o tecnología?</x:v>
      </x:c>
      <x:c r="D9" s="136" t="str">
        <x:v>Selección única</x:v>
      </x:c>
      <x:c r="E9" s="136" t="str">
        <x:v>Ver 11_TRL_DETALLE</x:v>
      </x:c>
      <x:c r="F9" s="136" t="str">
        <x:v>Sí</x:v>
      </x:c>
      <x:c r="G9" s="136"/>
      <x:c r="H9" s="136" t="str">
        <x:v>Sí</x:v>
      </x:c>
      <x:c r="I9" s="136" t="str">
        <x:v>No</x:v>
      </x:c>
      <x:c r="J9" s="136"/>
      <x:c r="K9" s="136" t="n">
        <x:v>5</x:v>
      </x:c>
      <x:c r="L9" s="136" t="str">
        <x:v>Seleccione la opción que mejor describa el estado actual.</x:v>
      </x:c>
      <x:c r="M9" s="136" t="str">
        <x:v>Fuente interna; confirmar versión vigente</x:v>
      </x:c>
      <x:c r="N9" s="136" t="str">
        <x:v>CALCULADORA TRL Y CRLS.xlsx</x:v>
      </x:c>
      <x:c r="O9" s="136" t="str">
        <x:v>Dimensión FINANCIAMIENTO; peso 5%.</x:v>
      </x:c>
      <x:c r="P9" s="136" t="str">
        <x:v>Tecnología / Producto</x:v>
      </x:c>
    </x:row>
    <x:row r="10">
      <x:c r="A10" s="136" t="str">
        <x:v>Q-006</x:v>
      </x:c>
      <x:c r="B10" s="136" t="str">
        <x:v>TRL</x:v>
      </x:c>
      <x:c r="C10" s="136" t="str">
        <x:v>¿Qué nivel de pruebas de durabilidad, desempeño y validación se han realizado?</x:v>
      </x:c>
      <x:c r="D10" s="136" t="str">
        <x:v>Selección única</x:v>
      </x:c>
      <x:c r="E10" s="136" t="str">
        <x:v>Ver 11_TRL_DETALLE</x:v>
      </x:c>
      <x:c r="F10" s="136" t="str">
        <x:v>Sí</x:v>
      </x:c>
      <x:c r="G10" s="136"/>
      <x:c r="H10" s="136" t="str">
        <x:v>Sí</x:v>
      </x:c>
      <x:c r="I10" s="136" t="str">
        <x:v>No</x:v>
      </x:c>
      <x:c r="J10" s="136"/>
      <x:c r="K10" s="136" t="n">
        <x:v>6</x:v>
      </x:c>
      <x:c r="L10" s="136" t="str">
        <x:v>Seleccione la opción que mejor describa el estado actual.</x:v>
      </x:c>
      <x:c r="M10" s="136" t="str">
        <x:v>Fuente interna; confirmar versión vigente</x:v>
      </x:c>
      <x:c r="N10" s="136" t="str">
        <x:v>CALCULADORA TRL Y CRLS.xlsx</x:v>
      </x:c>
      <x:c r="O10" s="136" t="str">
        <x:v>Dimensión PRUEBAS DE DESEMPEÑO DURABILIDAD Y VALIDACIÓN; peso 10%.</x:v>
      </x:c>
      <x:c r="P10" s="136" t="str">
        <x:v>Tecnología / Producto</x:v>
      </x:c>
    </x:row>
    <x:row r="11">
      <x:c r="A11" s="136" t="str">
        <x:v>Q-007</x:v>
      </x:c>
      <x:c r="B11" s="136" t="str">
        <x:v>TRL</x:v>
      </x:c>
      <x:c r="C11" s="136" t="str">
        <x:v>¿En qué estado se encuentra la estrategia de producción y escalabilidad de su proyecto o tecnología?</x:v>
      </x:c>
      <x:c r="D11" s="136" t="str">
        <x:v>Selección única</x:v>
      </x:c>
      <x:c r="E11" s="136" t="str">
        <x:v>Ver 11_TRL_DETALLE</x:v>
      </x:c>
      <x:c r="F11" s="136" t="str">
        <x:v>Sí</x:v>
      </x:c>
      <x:c r="G11" s="136"/>
      <x:c r="H11" s="136" t="str">
        <x:v>Sí</x:v>
      </x:c>
      <x:c r="I11" s="136" t="str">
        <x:v>No</x:v>
      </x:c>
      <x:c r="J11" s="136"/>
      <x:c r="K11" s="136" t="n">
        <x:v>7</x:v>
      </x:c>
      <x:c r="L11" s="136" t="str">
        <x:v>Seleccione la opción que mejor describa el estado actual.</x:v>
      </x:c>
      <x:c r="M11" s="136" t="str">
        <x:v>Fuente interna; confirmar versión vigente</x:v>
      </x:c>
      <x:c r="N11" s="136" t="str">
        <x:v>CALCULADORA TRL Y CRLS.xlsx</x:v>
      </x:c>
      <x:c r="O11" s="136" t="str">
        <x:v>Dimensión Escalabilidad y Producción; peso 10%.</x:v>
      </x:c>
      <x:c r="P11" s="136" t="str">
        <x:v>Tecnología / Producto</x:v>
      </x:c>
    </x:row>
    <x:row r="12">
      <x:c r="A12" s="136" t="str">
        <x:v>Q-008</x:v>
      </x:c>
      <x:c r="B12" s="136" t="str">
        <x:v>TRL</x:v>
      </x:c>
      <x:c r="C12" s="136" t="str">
        <x:v>¿Qué nivel de interacción o retroalimentación de los usuarios ha recibido su proyecto?</x:v>
      </x:c>
      <x:c r="D12" s="136" t="str">
        <x:v>Selección única</x:v>
      </x:c>
      <x:c r="E12" s="136" t="str">
        <x:v>Ver 11_TRL_DETALLE</x:v>
      </x:c>
      <x:c r="F12" s="136" t="str">
        <x:v>Sí</x:v>
      </x:c>
      <x:c r="G12" s="136"/>
      <x:c r="H12" s="136" t="str">
        <x:v>Sí</x:v>
      </x:c>
      <x:c r="I12" s="136" t="str">
        <x:v>No</x:v>
      </x:c>
      <x:c r="J12" s="136"/>
      <x:c r="K12" s="136" t="n">
        <x:v>8</x:v>
      </x:c>
      <x:c r="L12" s="136" t="str">
        <x:v>Seleccione la opción que mejor describa el estado actual.</x:v>
      </x:c>
      <x:c r="M12" s="136" t="str">
        <x:v>Fuente interna; confirmar versión vigente</x:v>
      </x:c>
      <x:c r="N12" s="136" t="str">
        <x:v>CALCULADORA TRL Y CRLS.xlsx</x:v>
      </x:c>
      <x:c r="O12" s="136" t="str">
        <x:v>Dimensión Validación con usuarios; peso 10%.</x:v>
      </x:c>
      <x:c r="P12" s="136" t="str">
        <x:v>Tecnología / Producto</x:v>
      </x:c>
    </x:row>
    <x:row r="13">
      <x:c r="A13" s="136" t="str">
        <x:v>Q-009</x:v>
      </x:c>
      <x:c r="B13" s="136" t="str">
        <x:v>TRL</x:v>
      </x:c>
      <x:c r="C13" s="136" t="str">
        <x:v>¿En qué estado de protección se encuentra la Propiedad Intelectual (PI) de su proyecto o tecnología?</x:v>
      </x:c>
      <x:c r="D13" s="136" t="str">
        <x:v>Selección única</x:v>
      </x:c>
      <x:c r="E13" s="136" t="str">
        <x:v>Ver 11_TRL_DETALLE</x:v>
      </x:c>
      <x:c r="F13" s="136" t="str">
        <x:v>Sí</x:v>
      </x:c>
      <x:c r="G13" s="136"/>
      <x:c r="H13" s="136" t="str">
        <x:v>Sí</x:v>
      </x:c>
      <x:c r="I13" s="136" t="str">
        <x:v>No</x:v>
      </x:c>
      <x:c r="J13" s="136"/>
      <x:c r="K13" s="136" t="n">
        <x:v>9</x:v>
      </x:c>
      <x:c r="L13" s="136" t="str">
        <x:v>Seleccione la opción que mejor describa el estado actual.</x:v>
      </x:c>
      <x:c r="M13" s="136" t="str">
        <x:v>Fuente interna; confirmar versión vigente</x:v>
      </x:c>
      <x:c r="N13" s="136" t="str">
        <x:v>CALCULADORA TRL Y CRLS.xlsx</x:v>
      </x:c>
      <x:c r="O13" s="136" t="str">
        <x:v>Dimensión PROPIEDAD INTELECTUTAL; peso 5%.</x:v>
      </x:c>
      <x:c r="P13" s="136" t="str">
        <x:v>Tecnología / Producto</x:v>
      </x:c>
    </x:row>
    <x:row r="14">
      <x:c r="A14" s="136" t="str">
        <x:v>Q-010</x:v>
      </x:c>
      <x:c r="B14" s="136" t="str">
        <x:v>TRL</x:v>
      </x:c>
      <x:c r="C14" s="136" t="str">
        <x:v>¿Cuál es el avance en la certificación y cumplimiento regulatorio de su tecnología?</x:v>
      </x:c>
      <x:c r="D14" s="136" t="str">
        <x:v>Selección única</x:v>
      </x:c>
      <x:c r="E14" s="136" t="str">
        <x:v>Ver 11_TRL_DETALLE</x:v>
      </x:c>
      <x:c r="F14" s="136" t="str">
        <x:v>Sí</x:v>
      </x:c>
      <x:c r="G14" s="136"/>
      <x:c r="H14" s="136" t="str">
        <x:v>Sí</x:v>
      </x:c>
      <x:c r="I14" s="136" t="str">
        <x:v>No</x:v>
      </x:c>
      <x:c r="J14" s="136"/>
      <x:c r="K14" s="136" t="n">
        <x:v>10</x:v>
      </x:c>
      <x:c r="L14" s="136" t="str">
        <x:v>Seleccione la opción que mejor describa el estado actual.</x:v>
      </x:c>
      <x:c r="M14" s="136" t="str">
        <x:v>Fuente interna; confirmar versión vigente</x:v>
      </x:c>
      <x:c r="N14" s="136" t="str">
        <x:v>CALCULADORA TRL Y CRLS.xlsx</x:v>
      </x:c>
      <x:c r="O14" s="136" t="str">
        <x:v>Dimensión Certificación y Cumplimiento; peso 5%.</x:v>
      </x:c>
      <x:c r="P14" s="136" t="str">
        <x:v>Tecnología / Producto</x:v>
      </x:c>
    </x:row>
    <x:row r="15">
      <x:c r="A15" s="136" t="str">
        <x:v>Q-011</x:v>
      </x:c>
      <x:c r="B15" s="136" t="str">
        <x:v>TRL</x:v>
      </x:c>
      <x:c r="C15" s="136" t="str">
        <x:v>¿En qué tipo de entorno se han realizado las pruebas de su producto?</x:v>
      </x:c>
      <x:c r="D15" s="136" t="str">
        <x:v>Selección única</x:v>
      </x:c>
      <x:c r="E15" s="136" t="str">
        <x:v>Ver 11_TRL_DETALLE</x:v>
      </x:c>
      <x:c r="F15" s="136" t="str">
        <x:v>Sí</x:v>
      </x:c>
      <x:c r="G15" s="136"/>
      <x:c r="H15" s="136" t="str">
        <x:v>Sí</x:v>
      </x:c>
      <x:c r="I15" s="136" t="str">
        <x:v>No</x:v>
      </x:c>
      <x:c r="J15" s="136"/>
      <x:c r="K15" s="136" t="n">
        <x:v>11</x:v>
      </x:c>
      <x:c r="L15" s="136" t="str">
        <x:v>Seleccione la opción que mejor describa el estado actual.</x:v>
      </x:c>
      <x:c r="M15" s="136" t="str">
        <x:v>Fuente interna; confirmar versión vigente</x:v>
      </x:c>
      <x:c r="N15" s="136" t="str">
        <x:v>CALCULADORA TRL Y CRLS.xlsx</x:v>
      </x:c>
      <x:c r="O15" s="136" t="str">
        <x:v>Dimensión ENTORNO DE PRUEBAS; peso 10%.</x:v>
      </x:c>
      <x:c r="P15" s="136" t="str">
        <x:v>Tecnología / Producto</x:v>
      </x:c>
    </x:row>
    <x:row r="16">
      <x:c r="A16" s="136" t="str">
        <x:v>Q-012</x:v>
      </x:c>
      <x:c r="B16" s="136" t="str">
        <x:v>TRL</x:v>
      </x:c>
      <x:c r="C16" s="136" t="str">
        <x:v>¿En qué etapa de desarrollo y funcionalidad se encuentra su software actualmente?</x:v>
      </x:c>
      <x:c r="D16" s="136" t="str">
        <x:v>Selección única</x:v>
      </x:c>
      <x:c r="E16" s="136" t="str">
        <x:v>Ver 11_TRL_DETALLE</x:v>
      </x:c>
      <x:c r="F16" s="136" t="str">
        <x:v>Sí</x:v>
      </x:c>
      <x:c r="G16" s="136"/>
      <x:c r="H16" s="136" t="str">
        <x:v>Sí</x:v>
      </x:c>
      <x:c r="I16" s="136" t="str">
        <x:v>No</x:v>
      </x:c>
      <x:c r="J16" s="136"/>
      <x:c r="K16" s="136" t="n">
        <x:v>12</x:v>
      </x:c>
      <x:c r="L16" s="136" t="str">
        <x:v>Seleccione la opción que mejor describa el estado actual.</x:v>
      </x:c>
      <x:c r="M16" s="136" t="str">
        <x:v>Fuente interna; confirmar versión vigente</x:v>
      </x:c>
      <x:c r="N16" s="136" t="str">
        <x:v>CALCULADORA TRL Y CRLS.xlsx</x:v>
      </x:c>
      <x:c r="O16" s="136" t="str">
        <x:v>Dimensión Funcionalidad y Desarrollo del Software; peso 35%.</x:v>
      </x:c>
      <x:c r="P16" s="136" t="str">
        <x:v>Software</x:v>
      </x:c>
    </x:row>
    <x:row r="17">
      <x:c r="A17" s="136" t="str">
        <x:v>Q-013</x:v>
      </x:c>
      <x:c r="B17" s="136" t="str">
        <x:v>TRL</x:v>
      </x:c>
      <x:c r="C17" s="136" t="str">
        <x:v>¿En qué etapa de desarrollo y funcionalidad se encuentra su software actualmente?</x:v>
      </x:c>
      <x:c r="D17" s="136" t="str">
        <x:v>Selección única</x:v>
      </x:c>
      <x:c r="E17" s="136" t="str">
        <x:v>Ver 11_TRL_DETALLE</x:v>
      </x:c>
      <x:c r="F17" s="136" t="str">
        <x:v>Sí</x:v>
      </x:c>
      <x:c r="G17" s="136"/>
      <x:c r="H17" s="136" t="str">
        <x:v>Sí</x:v>
      </x:c>
      <x:c r="I17" s="136" t="str">
        <x:v>No</x:v>
      </x:c>
      <x:c r="J17" s="136"/>
      <x:c r="K17" s="136" t="n">
        <x:v>13</x:v>
      </x:c>
      <x:c r="L17" s="136" t="str">
        <x:v>Seleccione la opción que mejor describa el estado actual.</x:v>
      </x:c>
      <x:c r="M17" s="136" t="str">
        <x:v>Fuente interna; confirmar versión vigente</x:v>
      </x:c>
      <x:c r="N17" s="136" t="str">
        <x:v>CALCULADORA TRL Y CRLS.xlsx</x:v>
      </x:c>
      <x:c r="O17" s="136" t="str">
        <x:v>Dimensión Pruebas de Usabilidad; peso 15%.</x:v>
      </x:c>
      <x:c r="P17" s="136" t="str">
        <x:v>Software</x:v>
      </x:c>
    </x:row>
    <x:row r="18">
      <x:c r="A18" s="136" t="str">
        <x:v>Q-014</x:v>
      </x:c>
      <x:c r="B18" s="136" t="str">
        <x:v>TRL</x:v>
      </x:c>
      <x:c r="C18" s="136" t="str">
        <x:v>¿En qué etapa de desarrollo y funcionalidad se encuentra su software actualmente?</x:v>
      </x:c>
      <x:c r="D18" s="136" t="str">
        <x:v>Selección única</x:v>
      </x:c>
      <x:c r="E18" s="136" t="str">
        <x:v>Ver 11_TRL_DETALLE</x:v>
      </x:c>
      <x:c r="F18" s="136" t="str">
        <x:v>Sí</x:v>
      </x:c>
      <x:c r="G18" s="136"/>
      <x:c r="H18" s="136" t="str">
        <x:v>Sí</x:v>
      </x:c>
      <x:c r="I18" s="136" t="str">
        <x:v>No</x:v>
      </x:c>
      <x:c r="J18" s="136"/>
      <x:c r="K18" s="136" t="n">
        <x:v>14</x:v>
      </x:c>
      <x:c r="L18" s="136" t="str">
        <x:v>Seleccione la opción que mejor describa el estado actual.</x:v>
      </x:c>
      <x:c r="M18" s="136" t="str">
        <x:v>Fuente interna; confirmar versión vigente</x:v>
      </x:c>
      <x:c r="N18" s="136" t="str">
        <x:v>CALCULADORA TRL Y CRLS.xlsx</x:v>
      </x:c>
      <x:c r="O18" s="136" t="str">
        <x:v>Dimensión NORMATIVAS; peso 20%.</x:v>
      </x:c>
      <x:c r="P18" s="136" t="str">
        <x:v>Software</x:v>
      </x:c>
    </x:row>
    <x:row r="19">
      <x:c r="A19" s="136" t="str">
        <x:v>Q-015</x:v>
      </x:c>
      <x:c r="B19" s="136" t="str">
        <x:v>TRL</x:v>
      </x:c>
      <x:c r="C19" s="136" t="str">
        <x:v>¿En qué etapa de desarrollo y funcionalidad se encuentra su software actualmente?</x:v>
      </x:c>
      <x:c r="D19" s="136" t="str">
        <x:v>Selección única</x:v>
      </x:c>
      <x:c r="E19" s="136" t="str">
        <x:v>Ver 11_TRL_DETALLE</x:v>
      </x:c>
      <x:c r="F19" s="136" t="str">
        <x:v>Sí</x:v>
      </x:c>
      <x:c r="G19" s="136"/>
      <x:c r="H19" s="136" t="str">
        <x:v>Sí</x:v>
      </x:c>
      <x:c r="I19" s="136" t="str">
        <x:v>No</x:v>
      </x:c>
      <x:c r="J19" s="136"/>
      <x:c r="K19" s="136" t="n">
        <x:v>15</x:v>
      </x:c>
      <x:c r="L19" s="136" t="str">
        <x:v>Seleccione la opción que mejor describa el estado actual.</x:v>
      </x:c>
      <x:c r="M19" s="136" t="str">
        <x:v>Fuente interna; confirmar versión vigente</x:v>
      </x:c>
      <x:c r="N19" s="136" t="str">
        <x:v>CALCULADORA TRL Y CRLS.xlsx</x:v>
      </x:c>
      <x:c r="O19" s="136" t="str">
        <x:v>Dimensión Soporte y Mantenimiento; peso 10%.</x:v>
      </x:c>
      <x:c r="P19" s="136" t="str">
        <x:v>Software</x:v>
      </x:c>
    </x:row>
    <x:row r="20">
      <x:c r="A20" s="136" t="str">
        <x:v>Q-016</x:v>
      </x:c>
      <x:c r="B20" s="136" t="str">
        <x:v>TRL</x:v>
      </x:c>
      <x:c r="C20" s="136" t="str">
        <x:v>¿En qué etapa de desarrollo y funcionalidad se encuentra su software actualmente?</x:v>
      </x:c>
      <x:c r="D20" s="136" t="str">
        <x:v>Selección única</x:v>
      </x:c>
      <x:c r="E20" s="136" t="str">
        <x:v>Ver 11_TRL_DETALLE</x:v>
      </x:c>
      <x:c r="F20" s="136" t="str">
        <x:v>Sí</x:v>
      </x:c>
      <x:c r="G20" s="136"/>
      <x:c r="H20" s="136" t="str">
        <x:v>Sí</x:v>
      </x:c>
      <x:c r="I20" s="136" t="str">
        <x:v>No</x:v>
      </x:c>
      <x:c r="J20" s="136"/>
      <x:c r="K20" s="136" t="n">
        <x:v>16</x:v>
      </x:c>
      <x:c r="L20" s="136" t="str">
        <x:v>Seleccione la opción que mejor describa el estado actual.</x:v>
      </x:c>
      <x:c r="M20" s="136" t="str">
        <x:v>Fuente interna; confirmar versión vigente</x:v>
      </x:c>
      <x:c r="N20" s="136" t="str">
        <x:v>CALCULADORA TRL Y CRLS.xlsx</x:v>
      </x:c>
      <x:c r="O20" s="136" t="str">
        <x:v>Dimensión Propiedad Intelectual; peso 5%.</x:v>
      </x:c>
      <x:c r="P20" s="136" t="str">
        <x:v>Software</x:v>
      </x:c>
    </x:row>
    <x:row r="21">
      <x:c r="A21" s="136" t="str">
        <x:v>Q-017</x:v>
      </x:c>
      <x:c r="B21" s="136" t="str">
        <x:v>TRL</x:v>
      </x:c>
      <x:c r="C21" s="136" t="str">
        <x:v>¿En qué etapa de desarrollo y funcionalidad se encuentra su software actualmente?</x:v>
      </x:c>
      <x:c r="D21" s="136" t="str">
        <x:v>Selección única</x:v>
      </x:c>
      <x:c r="E21" s="136" t="str">
        <x:v>Ver 11_TRL_DETALLE</x:v>
      </x:c>
      <x:c r="F21" s="136" t="str">
        <x:v>Sí</x:v>
      </x:c>
      <x:c r="G21" s="136"/>
      <x:c r="H21" s="136" t="str">
        <x:v>Sí</x:v>
      </x:c>
      <x:c r="I21" s="136" t="str">
        <x:v>No</x:v>
      </x:c>
      <x:c r="J21" s="136"/>
      <x:c r="K21" s="136" t="n">
        <x:v>17</x:v>
      </x:c>
      <x:c r="L21" s="136" t="str">
        <x:v>Seleccione la opción que mejor describa el estado actual.</x:v>
      </x:c>
      <x:c r="M21" s="136" t="str">
        <x:v>Fuente interna; confirmar versión vigente</x:v>
      </x:c>
      <x:c r="N21" s="136" t="str">
        <x:v>CALCULADORA TRL Y CRLS.xlsx</x:v>
      </x:c>
      <x:c r="O21" s="136" t="str">
        <x:v>Dimensión UI/UX; peso 15%.</x:v>
      </x:c>
      <x:c r="P21" s="136" t="str">
        <x:v>Software</x:v>
      </x:c>
    </x:row>
    <x:row r="22">
      <x:c r="A22" s="136" t="str">
        <x:v>Q-018</x:v>
      </x:c>
      <x:c r="B22" s="136" t="str">
        <x:v>TRL</x:v>
      </x:c>
      <x:c r="C22" s="136" t="str">
        <x:v>¿En qué nivel de desarrollo se encuentra actualmente su proyecto ?</x:v>
      </x:c>
      <x:c r="D22" s="136" t="str">
        <x:v>Selección única</x:v>
      </x:c>
      <x:c r="E22" s="136" t="str">
        <x:v>Ver 11_TRL_DETALLE</x:v>
      </x:c>
      <x:c r="F22" s="136" t="str">
        <x:v>Sí</x:v>
      </x:c>
      <x:c r="G22" s="136"/>
      <x:c r="H22" s="136" t="str">
        <x:v>Sí</x:v>
      </x:c>
      <x:c r="I22" s="136" t="str">
        <x:v>No</x:v>
      </x:c>
      <x:c r="J22" s="136"/>
      <x:c r="K22" s="136" t="n">
        <x:v>18</x:v>
      </x:c>
      <x:c r="L22" s="136" t="str">
        <x:v>Seleccione la opción que mejor describa el estado actual.</x:v>
      </x:c>
      <x:c r="M22" s="136" t="str">
        <x:v>Fuente interna; confirmar versión vigente</x:v>
      </x:c>
      <x:c r="N22" s="136" t="str">
        <x:v>CALCULADORA TRL Y CRLS.xlsx</x:v>
      </x:c>
      <x:c r="O22" s="136" t="str">
        <x:v>Dimensión ETAPA DE DESARROLLO; peso 25%.</x:v>
      </x:c>
      <x:c r="P22" s="136" t="str">
        <x:v>Farmacéutico</x:v>
      </x:c>
    </x:row>
    <x:row r="23">
      <x:c r="A23" s="136" t="str">
        <x:v>Q-019</x:v>
      </x:c>
      <x:c r="B23" s="136" t="str">
        <x:v>TRL</x:v>
      </x:c>
      <x:c r="C23" s="136" t="str">
        <x:v>¿Qué nivel de evidencia de seguridad y eficacia ha alcanzado su invención?</x:v>
      </x:c>
      <x:c r="D23" s="136" t="str">
        <x:v>Selección única</x:v>
      </x:c>
      <x:c r="E23" s="136" t="str">
        <x:v>Ver 11_TRL_DETALLE</x:v>
      </x:c>
      <x:c r="F23" s="136" t="str">
        <x:v>Sí</x:v>
      </x:c>
      <x:c r="G23" s="136"/>
      <x:c r="H23" s="136" t="str">
        <x:v>Sí</x:v>
      </x:c>
      <x:c r="I23" s="136" t="str">
        <x:v>No</x:v>
      </x:c>
      <x:c r="J23" s="136"/>
      <x:c r="K23" s="136" t="n">
        <x:v>19</x:v>
      </x:c>
      <x:c r="L23" s="136" t="str">
        <x:v>Seleccione la opción que mejor describa el estado actual.</x:v>
      </x:c>
      <x:c r="M23" s="136" t="str">
        <x:v>Fuente interna; confirmar versión vigente</x:v>
      </x:c>
      <x:c r="N23" s="136" t="str">
        <x:v>CALCULADORA TRL Y CRLS.xlsx</x:v>
      </x:c>
      <x:c r="O23" s="136" t="str">
        <x:v>Dimensión Evidencia de Seguridad y Eficacia; peso 20%.</x:v>
      </x:c>
      <x:c r="P23" s="136" t="str">
        <x:v>Farmacéutico</x:v>
      </x:c>
    </x:row>
    <x:row r="24">
      <x:c r="A24" s="136" t="str">
        <x:v>Q-020</x:v>
      </x:c>
      <x:c r="B24" s="136" t="str">
        <x:v>TRL</x:v>
      </x:c>
      <x:c r="C24" s="136" t="str">
        <x:v>¿En qué etapa del proceso de cumplimiento regulatorio se encuentra su invención?</x:v>
      </x:c>
      <x:c r="D24" s="136" t="str">
        <x:v>Selección única</x:v>
      </x:c>
      <x:c r="E24" s="136" t="str">
        <x:v>Ver 11_TRL_DETALLE</x:v>
      </x:c>
      <x:c r="F24" s="136" t="str">
        <x:v>Sí</x:v>
      </x:c>
      <x:c r="G24" s="136"/>
      <x:c r="H24" s="136" t="str">
        <x:v>Sí</x:v>
      </x:c>
      <x:c r="I24" s="136" t="str">
        <x:v>No</x:v>
      </x:c>
      <x:c r="J24" s="136"/>
      <x:c r="K24" s="136" t="n">
        <x:v>20</x:v>
      </x:c>
      <x:c r="L24" s="136" t="str">
        <x:v>Seleccione la opción que mejor describa el estado actual.</x:v>
      </x:c>
      <x:c r="M24" s="136" t="str">
        <x:v>Fuente interna; confirmar versión vigente</x:v>
      </x:c>
      <x:c r="N24" s="136" t="str">
        <x:v>CALCULADORA TRL Y CRLS.xlsx</x:v>
      </x:c>
      <x:c r="O24" s="136" t="str">
        <x:v>Dimensión Cumplimiento Regulatorio; peso 20%.</x:v>
      </x:c>
      <x:c r="P24" s="136" t="str">
        <x:v>Farmacéutico</x:v>
      </x:c>
    </x:row>
    <x:row r="25">
      <x:c r="A25" s="136" t="str">
        <x:v>Q-021</x:v>
      </x:c>
      <x:c r="B25" s="136" t="str">
        <x:v>TRL</x:v>
      </x:c>
      <x:c r="C25" s="136" t="str">
        <x:v>¿En qué etapa se encuentra la producción y escalabilidad de su invención?</x:v>
      </x:c>
      <x:c r="D25" s="136" t="str">
        <x:v>Selección única</x:v>
      </x:c>
      <x:c r="E25" s="136" t="str">
        <x:v>Ver 11_TRL_DETALLE</x:v>
      </x:c>
      <x:c r="F25" s="136" t="str">
        <x:v>Sí</x:v>
      </x:c>
      <x:c r="G25" s="136"/>
      <x:c r="H25" s="136" t="str">
        <x:v>Sí</x:v>
      </x:c>
      <x:c r="I25" s="136" t="str">
        <x:v>No</x:v>
      </x:c>
      <x:c r="J25" s="136"/>
      <x:c r="K25" s="136" t="n">
        <x:v>21</x:v>
      </x:c>
      <x:c r="L25" s="136" t="str">
        <x:v>Seleccione la opción que mejor describa el estado actual.</x:v>
      </x:c>
      <x:c r="M25" s="136" t="str">
        <x:v>Fuente interna; confirmar versión vigente</x:v>
      </x:c>
      <x:c r="N25" s="136" t="str">
        <x:v>CALCULADORA TRL Y CRLS.xlsx</x:v>
      </x:c>
      <x:c r="O25" s="136" t="str">
        <x:v>Dimensión Producción y Escalabilidad; peso 10%.</x:v>
      </x:c>
      <x:c r="P25" s="136" t="str">
        <x:v>Farmacéutico</x:v>
      </x:c>
    </x:row>
    <x:row r="26">
      <x:c r="A26" s="136" t="str">
        <x:v>Q-022</x:v>
      </x:c>
      <x:c r="B26" s="136" t="str">
        <x:v>TRL</x:v>
      </x:c>
      <x:c r="C26" s="136" t="str">
        <x:v>¿En qué etapa de pruebas clínicas y validación en humanos se encuentra su invención ?</x:v>
      </x:c>
      <x:c r="D26" s="136" t="str">
        <x:v>Selección única</x:v>
      </x:c>
      <x:c r="E26" s="136" t="str">
        <x:v>Ver 11_TRL_DETALLE</x:v>
      </x:c>
      <x:c r="F26" s="136" t="str">
        <x:v>Sí</x:v>
      </x:c>
      <x:c r="G26" s="136"/>
      <x:c r="H26" s="136" t="str">
        <x:v>Sí</x:v>
      </x:c>
      <x:c r="I26" s="136" t="str">
        <x:v>No</x:v>
      </x:c>
      <x:c r="J26" s="136"/>
      <x:c r="K26" s="136" t="n">
        <x:v>22</x:v>
      </x:c>
      <x:c r="L26" s="136" t="str">
        <x:v>Seleccione la opción que mejor describa el estado actual.</x:v>
      </x:c>
      <x:c r="M26" s="136" t="str">
        <x:v>Fuente interna; confirmar versión vigente</x:v>
      </x:c>
      <x:c r="N26" s="136" t="str">
        <x:v>CALCULADORA TRL Y CRLS.xlsx</x:v>
      </x:c>
      <x:c r="O26" s="136" t="str">
        <x:v>Dimensión Pruebas Clínicas y Validación en Humanos; peso 15%.</x:v>
      </x:c>
      <x:c r="P26" s="136" t="str">
        <x:v>Farmacéutico</x:v>
      </x:c>
    </x:row>
    <x:row r="27">
      <x:c r="A27" s="136" t="str">
        <x:v>Q-023</x:v>
      </x:c>
      <x:c r="B27" s="136" t="str">
        <x:v>TRL</x:v>
      </x:c>
      <x:c r="C27" s="136" t="str">
        <x:v>¿En qué etapa de pruebas clínicas y validación en humanos se encuentra su invención ?</x:v>
      </x:c>
      <x:c r="D27" s="136" t="str">
        <x:v>Selección única</x:v>
      </x:c>
      <x:c r="E27" s="136" t="str">
        <x:v>Ver 11_TRL_DETALLE</x:v>
      </x:c>
      <x:c r="F27" s="136" t="str">
        <x:v>Sí</x:v>
      </x:c>
      <x:c r="G27" s="136"/>
      <x:c r="H27" s="136" t="str">
        <x:v>Sí</x:v>
      </x:c>
      <x:c r="I27" s="136" t="str">
        <x:v>No</x:v>
      </x:c>
      <x:c r="J27" s="136"/>
      <x:c r="K27" s="136" t="n">
        <x:v>23</x:v>
      </x:c>
      <x:c r="L27" s="136" t="str">
        <x:v>Seleccione la opción que mejor describa el estado actual.</x:v>
      </x:c>
      <x:c r="M27" s="136" t="str">
        <x:v>Fuente interna; confirmar versión vigente</x:v>
      </x:c>
      <x:c r="N27" s="136" t="str">
        <x:v>CALCULADORA TRL Y CRLS.xlsx</x:v>
      </x:c>
      <x:c r="O27" s="136" t="str">
        <x:v>Dimensión Evidencia Científica y Documentación; peso 5%.</x:v>
      </x:c>
      <x:c r="P27" s="136" t="str">
        <x:v>Farmacéutico</x:v>
      </x:c>
    </x:row>
    <x:row r="28">
      <x:c r="A28" s="136" t="str">
        <x:v>Q-024</x:v>
      </x:c>
      <x:c r="B28" s="136" t="str">
        <x:v>TRL</x:v>
      </x:c>
      <x:c r="C28" s="136" t="str">
        <x:v>¿En qué etapa de pruebas clínicas y validación en humanos se encuentra su invención ?</x:v>
      </x:c>
      <x:c r="D28" s="136" t="str">
        <x:v>Selección única</x:v>
      </x:c>
      <x:c r="E28" s="136" t="str">
        <x:v>Ver 11_TRL_DETALLE</x:v>
      </x:c>
      <x:c r="F28" s="136" t="str">
        <x:v>Sí</x:v>
      </x:c>
      <x:c r="G28" s="136"/>
      <x:c r="H28" s="136" t="str">
        <x:v>Sí</x:v>
      </x:c>
      <x:c r="I28" s="136" t="str">
        <x:v>No</x:v>
      </x:c>
      <x:c r="J28" s="136"/>
      <x:c r="K28" s="136" t="n">
        <x:v>24</x:v>
      </x:c>
      <x:c r="L28" s="136" t="str">
        <x:v>Seleccione la opción que mejor describa el estado actual.</x:v>
      </x:c>
      <x:c r="M28" s="136" t="str">
        <x:v>Fuente interna; confirmar versión vigente</x:v>
      </x:c>
      <x:c r="N28" s="136" t="str">
        <x:v>CALCULADORA TRL Y CRLS.xlsx</x:v>
      </x:c>
      <x:c r="O28" s="136" t="str">
        <x:v>Dimensión Propiedad Intelectual; peso 5%.</x:v>
      </x:c>
      <x:c r="P28" s="136" t="str">
        <x:v>Farmacéutico</x:v>
      </x:c>
    </x:row>
    <x:row r="29">
      <x:c r="A29" s="136" t="str">
        <x:v>Q-025</x:v>
      </x:c>
      <x:c r="B29" s="136" t="str">
        <x:v>CRL</x:v>
      </x:c>
      <x:c r="C29" s="136" t="str">
        <x:v>¿En qué nivel de comprensión del mercado y validación de las necesidades del cliente se encuentra su producto o tecnología?</x:v>
      </x:c>
      <x:c r="D29" s="136" t="str">
        <x:v>Selección única</x:v>
      </x:c>
      <x:c r="E29" s="136" t="str">
        <x:v>Ver 12_CRL_DETALLE</x:v>
      </x:c>
      <x:c r="F29" s="136" t="str">
        <x:v>Sí</x:v>
      </x:c>
      <x:c r="G29" s="136"/>
      <x:c r="H29" s="136" t="str">
        <x:v>No</x:v>
      </x:c>
      <x:c r="I29" s="136" t="str">
        <x:v>Sí</x:v>
      </x:c>
      <x:c r="J29" s="136"/>
      <x:c r="K29" s="136" t="n">
        <x:v>25</x:v>
      </x:c>
      <x:c r="L29" s="136" t="str">
        <x:v>Seleccione la opción que mejor describa el estado actual.</x:v>
      </x:c>
      <x:c r="M29" s="136" t="str">
        <x:v>Fuente interna; confirmar versión vigente</x:v>
      </x:c>
      <x:c r="N29" s="136" t="str">
        <x:v>CALCULADORA TRL Y CRLS.xlsx</x:v>
      </x:c>
      <x:c r="O29" s="136" t="str">
        <x:v>Dimensión Comprensión del Mercado y Necesidades del Cliente; peso 30%.</x:v>
      </x:c>
      <x:c r="P29" s="136" t="str">
        <x:v>Todos</x:v>
      </x:c>
    </x:row>
    <x:row r="30">
      <x:c r="A30" s="136" t="str">
        <x:v>Q-026</x:v>
      </x:c>
      <x:c r="B30" s="136" t="str">
        <x:v>CRL</x:v>
      </x:c>
      <x:c r="C30" s="136" t="str">
        <x:v>¿En qué etapa de validación del producto y relación con los clientes se encuentra su proyecto o tecnología?</x:v>
      </x:c>
      <x:c r="D30" s="136" t="str">
        <x:v>Selección única</x:v>
      </x:c>
      <x:c r="E30" s="136" t="str">
        <x:v>Ver 12_CRL_DETALLE</x:v>
      </x:c>
      <x:c r="F30" s="136" t="str">
        <x:v>Sí</x:v>
      </x:c>
      <x:c r="G30" s="136"/>
      <x:c r="H30" s="136" t="str">
        <x:v>No</x:v>
      </x:c>
      <x:c r="I30" s="136" t="str">
        <x:v>Sí</x:v>
      </x:c>
      <x:c r="J30" s="136"/>
      <x:c r="K30" s="136" t="n">
        <x:v>26</x:v>
      </x:c>
      <x:c r="L30" s="136" t="str">
        <x:v>Seleccione la opción que mejor describa el estado actual.</x:v>
      </x:c>
      <x:c r="M30" s="136" t="str">
        <x:v>Fuente interna; confirmar versión vigente</x:v>
      </x:c>
      <x:c r="N30" s="136" t="str">
        <x:v>CALCULADORA TRL Y CRLS.xlsx</x:v>
      </x:c>
      <x:c r="O30" s="136" t="str">
        <x:v>Dimensión Nivel de Validación del Producto y Relación con el Cliente; peso 35%.</x:v>
      </x:c>
      <x:c r="P30" s="136" t="str">
        <x:v>Todos</x:v>
      </x:c>
    </x:row>
    <x:row r="31">
      <x:c r="A31" s="137" t="str">
        <x:v>Q-027</x:v>
      </x:c>
      <x:c r="B31" s="137" t="str">
        <x:v>CRL</x:v>
      </x:c>
      <x:c r="C31" s="137" t="str">
        <x:v>¿En qué etapa de desarrollo comercial y escalabilidad de ventas se encuentra su tecnología o producto?</x:v>
      </x:c>
      <x:c r="D31" s="137" t="str">
        <x:v>Selección única</x:v>
      </x:c>
      <x:c r="E31" s="137" t="str">
        <x:v>Ver 12_CRL_DETALLE</x:v>
      </x:c>
      <x:c r="F31" s="137" t="str">
        <x:v>Sí</x:v>
      </x:c>
      <x:c r="G31" s="137"/>
      <x:c r="H31" s="137" t="str">
        <x:v>No</x:v>
      </x:c>
      <x:c r="I31" s="137" t="str">
        <x:v>Sí</x:v>
      </x:c>
      <x:c r="J31" s="137"/>
      <x:c r="K31" s="137" t="n">
        <x:v>27</x:v>
      </x:c>
      <x:c r="L31" s="137" t="str">
        <x:v>Seleccione la opción que mejor describa el estado actual.</x:v>
      </x:c>
      <x:c r="M31" s="137" t="str">
        <x:v>Fuente interna; confirmar versión vigente</x:v>
      </x:c>
      <x:c r="N31" s="137" t="str">
        <x:v>CALCULADORA TRL Y CRLS.xlsx</x:v>
      </x:c>
      <x:c r="O31" s="137" t="str">
        <x:v>Dimensión Desarrollo Comercial y Escalabilidad de Ventas; peso 35%.</x:v>
      </x:c>
      <x:c r="P31" s="137" t="str">
        <x:v>Todos</x:v>
      </x:c>
    </x:row>
    <x:row r="32">
      <x:c r="A32" s="408" t="str">
        <x:v>Q-027</x:v>
      </x:c>
      <x:c r="B32" s="408" t="str">
        <x:v>Validación</x:v>
      </x:c>
      <x:c r="C32" s="408" t="str">
        <x:v>¿Qué tendría que ser cierto para que tu idea funcione y cuál de esos supuestos tiene menos evidencia?</x:v>
      </x:c>
      <x:c r="D32" s="408" t="str">
        <x:v>Abierta</x:v>
      </x:c>
      <x:c r="E32" s="408"/>
      <x:c r="F32" s="408" t="str">
        <x:v>Sí</x:v>
      </x:c>
      <x:c r="G32" s="408" t="str">
        <x:v>B-HIP-001</x:v>
      </x:c>
      <x:c r="H32" s="408" t="str">
        <x:v>No</x:v>
      </x:c>
      <x:c r="I32" s="408" t="str">
        <x:v>Sí</x:v>
      </x:c>
      <x:c r="J32" s="408" t="str">
        <x:v>Si no puede identificar supuestos, sugerir Mapa de Supuestos.</x:v>
      </x:c>
      <x:c r="K32" s="408" t="str">
        <x:v>27</x:v>
      </x:c>
      <x:c r="L32" s="408" t="str">
        <x:v>Piensa en cliente, factibilidad técnica, viabilidad económica y contexto.</x:v>
      </x:c>
      <x:c r="M32" s="408" t="str">
        <x:v>Propuesta sustentada — validar CEDIA</x:v>
      </x:c>
      <x:c r="N32" s="408" t="str">
        <x:v>Strategyzer — Assumptions Mapping</x:v>
      </x:c>
      <x:c r="O32" s="408" t="str">
        <x:v>https://www.strategyzer.com/programs/assumptions-mapping-prepare-to-test-your-business-idea-part-1</x:v>
      </x:c>
      <x:c r="P32" s="416" t="str">
        <x:v>Cualquiera</x:v>
      </x:c>
    </x:row>
    <x:row r="33">
      <x:c r="A33" s="408" t="str">
        <x:v>Q-028</x:v>
      </x:c>
      <x:c r="B33" s="408" t="str">
        <x:v>Validación</x:v>
      </x:c>
      <x:c r="C33" s="408" t="str">
        <x:v>¿Tienes una hipótesis prioritaria y ya definiste cómo la probarás, qué medirás y cuál será tu umbral de éxito?</x:v>
      </x:c>
      <x:c r="D33" s="408" t="str">
        <x:v>Selección</x:v>
      </x:c>
      <x:c r="E33" s="408" t="str">
        <x:v>Sí / Parcial / No</x:v>
      </x:c>
      <x:c r="F33" s="408" t="str">
        <x:v>Sí</x:v>
      </x:c>
      <x:c r="G33" s="408" t="str">
        <x:v>B-VAL-002</x:v>
      </x:c>
      <x:c r="H33" s="408" t="str">
        <x:v>Sí</x:v>
      </x:c>
      <x:c r="I33" s="408" t="str">
        <x:v>Sí</x:v>
      </x:c>
      <x:c r="J33" s="408" t="str">
        <x:v>Si No o Parcial y la hipótesis existe, sugerir Test Card.</x:v>
      </x:c>
      <x:c r="K33" s="408" t="str">
        <x:v>28</x:v>
      </x:c>
      <x:c r="L33" s="408" t="str">
        <x:v>El umbral debe definirse antes de ver el resultado.</x:v>
      </x:c>
      <x:c r="M33" s="408" t="str">
        <x:v>Propuesta sustentada — validar CEDIA</x:v>
      </x:c>
      <x:c r="N33" s="408" t="str">
        <x:v>Strategyzer — Test Card</x:v>
      </x:c>
      <x:c r="O33" s="408" t="str">
        <x:v>https://www.strategyzer.com/library/validate-your-ideas-with-the-test-card</x:v>
      </x:c>
      <x:c r="P33" s="416" t="str">
        <x:v>Cualquiera</x:v>
      </x:c>
    </x:row>
    <x:row r="34">
      <x:c r="A34" s="408" t="str">
        <x:v>Q-029</x:v>
      </x:c>
      <x:c r="B34" s="408" t="str">
        <x:v>Validación</x:v>
      </x:c>
      <x:c r="C34" s="408" t="str">
        <x:v>Después de tu última prueba, ¿están documentados los datos, el aprendizaje y la decisión que cambia por esa evidencia?</x:v>
      </x:c>
      <x:c r="D34" s="408" t="str">
        <x:v>Selección</x:v>
      </x:c>
      <x:c r="E34" s="408" t="str">
        <x:v>Sí / Parcial / No / No he probado</x:v>
      </x:c>
      <x:c r="F34" s="408" t="str">
        <x:v>Sí</x:v>
      </x:c>
      <x:c r="G34" s="408" t="str">
        <x:v>B-VAL-003</x:v>
      </x:c>
      <x:c r="H34" s="408" t="str">
        <x:v>Sí</x:v>
      </x:c>
      <x:c r="I34" s="408" t="str">
        <x:v>Sí</x:v>
      </x:c>
      <x:c r="J34" s="408" t="str">
        <x:v>Si hubo prueba y falta aprendizaje/decisión, sugerir Learning Card.</x:v>
      </x:c>
      <x:c r="K34" s="408" t="str">
        <x:v>29</x:v>
      </x:c>
      <x:c r="L34" s="408" t="str">
        <x:v>No confundas observación con interpretación.</x:v>
      </x:c>
      <x:c r="M34" s="408" t="str">
        <x:v>Propuesta sustentada — validar CEDIA</x:v>
      </x:c>
      <x:c r="N34" s="408" t="str">
        <x:v>Strategyzer — Learning Card</x:v>
      </x:c>
      <x:c r="O34" s="408" t="str">
        <x:v>https://www.strategyzer.com/library/capture-customer-insights-and-actions-with-the-learning-card</x:v>
      </x:c>
      <x:c r="P34" s="416" t="str">
        <x:v>Cualquiera</x:v>
      </x:c>
    </x:row>
    <x:row r="35">
      <x:c r="A35" s="408" t="str">
        <x:v>Q-030</x:v>
      </x:c>
      <x:c r="B35" s="408" t="str">
        <x:v>Maduración tecnológica</x:v>
      </x:c>
      <x:c r="C35" s="408" t="str">
        <x:v>¿Sabes qué evidencia y actividades necesitas para pasar de tu TRL actual al TRL objetivo?</x:v>
      </x:c>
      <x:c r="D35" s="408" t="str">
        <x:v>Selección</x:v>
      </x:c>
      <x:c r="E35" s="408" t="str">
        <x:v>Sí / Parcial / No / TRL no evaluado</x:v>
      </x:c>
      <x:c r="F35" s="408" t="str">
        <x:v>Sí</x:v>
      </x:c>
      <x:c r="G35" s="408" t="str">
        <x:v>B-MAD-001</x:v>
      </x:c>
      <x:c r="H35" s="408" t="str">
        <x:v>Sí</x:v>
      </x:c>
      <x:c r="I35" s="408" t="str">
        <x:v>No</x:v>
      </x:c>
      <x:c r="J35" s="408" t="str">
        <x:v>Si TRL está evaluado y la ruta no existe, sugerir Plan de Maduración.</x:v>
      </x:c>
      <x:c r="K35" s="408" t="str">
        <x:v>30</x:v>
      </x:c>
      <x:c r="L35" s="408" t="str">
        <x:v>La herramienta parte de un TRL sustentado, no de un número arbitrario.</x:v>
      </x:c>
      <x:c r="M35" s="408" t="str">
        <x:v>Propuesta sustentada — validar CEDIA</x:v>
      </x:c>
      <x:c r="N35" s="408" t="str">
        <x:v>U.S. DOE — Technology Maturation Plan</x:v>
      </x:c>
      <x:c r="O35" s="408" t="str">
        <x:v>https://www.energy.gov/documents/archivedoe-g-413-3-4doe-technology-readiness-assessment-guide2009-10-12pdf</x:v>
      </x:c>
      <x:c r="P35" s="416" t="str">
        <x:v>Tecnología / Producto; Software; Farmacéutico</x:v>
      </x:c>
    </x:row>
    <x:row r="36">
      <x:c r="A36" s="408" t="str">
        <x:v>Q-031</x:v>
      </x:c>
      <x:c r="B36" s="408" t="str">
        <x:v>Propiedad Intelectual</x:v>
      </x:c>
      <x:c r="C36" s="408" t="str">
        <x:v>¿Se ha revisado si derechos de PI de terceros podrían limitar el uso, fabricación, venta o licencia de tu solución en el mercado objetivo?</x:v>
      </x:c>
      <x:c r="D36" s="408" t="str">
        <x:v>Selección</x:v>
      </x:c>
      <x:c r="E36" s="408" t="str">
        <x:v>Sí / Parcial / No / No aplica aún</x:v>
      </x:c>
      <x:c r="F36" s="408" t="str">
        <x:v>Sí</x:v>
      </x:c>
      <x:c r="G36" s="408" t="str">
        <x:v>B-PI-001</x:v>
      </x:c>
      <x:c r="H36" s="408" t="str">
        <x:v>No</x:v>
      </x:c>
      <x:c r="I36" s="408" t="str">
        <x:v>Sí</x:v>
      </x:c>
      <x:c r="J36" s="408" t="str">
        <x:v>Si la solución/jurisdicción están definidas y no hay revisión, sugerir FTO.</x:v>
      </x:c>
      <x:c r="K36" s="408" t="str">
        <x:v>31</x:v>
      </x:c>
      <x:c r="L36" s="408" t="str">
        <x:v>Es un cribado preliminar y no reemplaza opinión jurídica.</x:v>
      </x:c>
      <x:c r="M36" s="408" t="str">
        <x:v>Propuesta sustentada — validar CEDIA</x:v>
      </x:c>
      <x:c r="N36" s="408" t="str">
        <x:v>WIPO — Freedom to Operate</x:v>
      </x:c>
      <x:c r="O36" s="408" t="str">
        <x:v>https://www.wipo.int/en/web/tisc/inventions-public-domain</x:v>
      </x:c>
      <x:c r="P36" s="416" t="str">
        <x:v>Cualquiera</x:v>
      </x:c>
    </x:row>
    <x:row r="37">
      <x:c r="A37" s="408" t="str">
        <x:v>Q-032</x:v>
      </x:c>
      <x:c r="B37" s="408" t="str">
        <x:v>Ecosistema</x:v>
      </x:c>
      <x:c r="C37" s="408" t="str">
        <x:v>¿Están identificados los actores y capacidades necesarios para desarrollar, transferir, producir, comercializar y sostener la solución?</x:v>
      </x:c>
      <x:c r="D37" s="408" t="str">
        <x:v>Selección</x:v>
      </x:c>
      <x:c r="E37" s="408" t="str">
        <x:v>Sí / Parcial / No</x:v>
      </x:c>
      <x:c r="F37" s="408" t="str">
        <x:v>Sí</x:v>
      </x:c>
      <x:c r="G37" s="408" t="str">
        <x:v>B-ECO-001</x:v>
      </x:c>
      <x:c r="H37" s="408" t="str">
        <x:v>No</x:v>
      </x:c>
      <x:c r="I37" s="408" t="str">
        <x:v>Sí</x:v>
      </x:c>
      <x:c r="J37" s="408" t="str">
        <x:v>Si hay solución definida pero actores/capacidades están incompletos, sugerir Cadena de Valor.</x:v>
      </x:c>
      <x:c r="K37" s="408" t="str">
        <x:v>32</x:v>
      </x:c>
      <x:c r="L37" s="408" t="str">
        <x:v>Busca brechas de capacidad y dependencias, no solo una lista de actores.</x:v>
      </x:c>
      <x:c r="M37" s="408" t="str">
        <x:v>Propuesta sustentada — validar CEDIA</x:v>
      </x:c>
      <x:c r="N37" s="408" t="str">
        <x:v>WIPO — Value Chain</x:v>
      </x:c>
      <x:c r="O37" s="408" t="str">
        <x:v>https://www.wipo.int/en/web/tisc/inventions-public-domain</x:v>
      </x:c>
      <x:c r="P37" s="416" t="str">
        <x:v>Cualquiera</x:v>
      </x:c>
    </x:row>
    <x:row r="38">
      <x:c r="A38" s="408" t="str">
        <x:v>Q-033</x:v>
      </x:c>
      <x:c r="B38" s="408" t="str">
        <x:v>Transferencia / PI</x:v>
      </x:c>
      <x:c r="C38" s="408" t="str">
        <x:v>¿El resultado inventivo ya está documentado y comunicado institucionalmente para evaluación de PI y transferencia?</x:v>
      </x:c>
      <x:c r="D38" s="408" t="str">
        <x:v>Selección</x:v>
      </x:c>
      <x:c r="E38" s="408" t="str">
        <x:v>Sí / Parcial / No / No existe resultado inventivo</x:v>
      </x:c>
      <x:c r="F38" s="408" t="str">
        <x:v>Sí</x:v>
      </x:c>
      <x:c r="G38" s="408" t="str">
        <x:v>B-PI-002</x:v>
      </x:c>
      <x:c r="H38" s="408" t="str">
        <x:v>No</x:v>
      </x:c>
      <x:c r="I38" s="408" t="str">
        <x:v>Sí</x:v>
      </x:c>
      <x:c r="J38" s="408" t="str">
        <x:v>Si existe resultado inventivo y no hay expediente, sugerir Ficha de Divulgación.</x:v>
      </x:c>
      <x:c r="K38" s="408" t="str">
        <x:v>33</x:v>
      </x:c>
      <x:c r="L38" s="408" t="str">
        <x:v>La ficha inicia evaluación; no equivale a patente ni FTO.</x:v>
      </x:c>
      <x:c r="M38" s="408" t="str">
        <x:v>Propuesta sustentada — validar CEDIA</x:v>
      </x:c>
      <x:c r="N38" s="408" t="str">
        <x:v>WIPO — Knowledge and Technology Transfer</x:v>
      </x:c>
      <x:c r="O38" s="408" t="str">
        <x:v>https://www.wipo.int/es/web/technology-transfer/</x:v>
      </x:c>
      <x:c r="P38" s="416" t="str">
        <x:v>Cualquiera con resultado inventivo</x:v>
      </x:c>
    </x:row>
    <x:row r="39">
      <x:c r="A39" s="408" t="str">
        <x:v>Q-034</x:v>
      </x:c>
      <x:c r="B39" s="408" t="str">
        <x:v>Adopción</x:v>
      </x:c>
      <x:c r="C39" s="408" t="str">
        <x:v>Además de la tecnología, ¿has evaluado barreras de propuesta de valor, mercado, recursos y licencia para operar?</x:v>
      </x:c>
      <x:c r="D39" s="408" t="str">
        <x:v>Selección</x:v>
      </x:c>
      <x:c r="E39" s="408" t="str">
        <x:v>Sí / Parcial / No / Aún no hay aplicación definida</x:v>
      </x:c>
      <x:c r="F39" s="408" t="str">
        <x:v>Sí</x:v>
      </x:c>
      <x:c r="G39" s="408" t="str">
        <x:v>B-ADO-001</x:v>
      </x:c>
      <x:c r="H39" s="408" t="str">
        <x:v>No</x:v>
      </x:c>
      <x:c r="I39" s="408" t="str">
        <x:v>Sí</x:v>
      </x:c>
      <x:c r="J39" s="408" t="str">
        <x:v>Si existe aplicación/mercado y faltan barreras no técnicas, sugerir mapa de adopción.</x:v>
      </x:c>
      <x:c r="K39" s="408" t="str">
        <x:v>34</x:v>
      </x:c>
      <x:c r="L39" s="408" t="str">
        <x:v>TRL alto no significa automáticamente adopción alta.</x:v>
      </x:c>
      <x:c r="M39" s="408" t="str">
        <x:v>Propuesta sustentada — validar CEDIA</x:v>
      </x:c>
      <x:c r="N39" s="408" t="str">
        <x:v>U.S. DOE — ARL Framework</x:v>
      </x:c>
      <x:c r="O39" s="408" t="str">
        <x:v>https://www.energy.gov/technologycommercialization/adoption-readiness-levels-arl-framework</x:v>
      </x:c>
      <x:c r="P39" s="416" t="str">
        <x:v>Cualquiera con aplicación definida</x:v>
      </x:c>
    </x:row>
    <x:row r="40">
      <x:c r="A40" s="44"/>
      <x:c r="B40" s="44"/>
      <x:c r="C40" s="44"/>
      <x:c r="D40" s="44"/>
      <x:c r="E40" s="44"/>
      <x:c r="F40" s="44"/>
      <x:c r="G40" s="44"/>
      <x:c r="H40" s="44"/>
      <x:c r="I40" s="44"/>
      <x:c r="J40" s="44"/>
      <x:c r="K40" s="44"/>
      <x:c r="L40" s="44"/>
      <x:c r="M40" s="44"/>
      <x:c r="N40" s="44"/>
      <x:c r="O40" s="44"/>
    </x:row>
    <x:row r="41">
      <x:c r="A41" s="44"/>
      <x:c r="B41" s="44"/>
      <x:c r="C41" s="44"/>
      <x:c r="D41" s="44"/>
      <x:c r="E41" s="44"/>
      <x:c r="F41" s="44"/>
      <x:c r="G41" s="44"/>
      <x:c r="H41" s="44"/>
      <x:c r="I41" s="44"/>
      <x:c r="J41" s="44"/>
      <x:c r="K41" s="44"/>
      <x:c r="L41" s="44"/>
      <x:c r="M41" s="44"/>
      <x:c r="N41" s="44"/>
      <x:c r="O41" s="44"/>
    </x:row>
    <x:row r="42">
      <x:c r="A42" s="44"/>
      <x:c r="B42" s="44"/>
      <x:c r="C42" s="44"/>
      <x:c r="D42" s="44"/>
      <x:c r="E42" s="44"/>
      <x:c r="F42" s="44"/>
      <x:c r="G42" s="44"/>
      <x:c r="H42" s="44"/>
      <x:c r="I42" s="44"/>
      <x:c r="J42" s="44"/>
      <x:c r="K42" s="44"/>
      <x:c r="L42" s="44"/>
      <x:c r="M42" s="44"/>
      <x:c r="N42" s="44"/>
      <x:c r="O42" s="44"/>
    </x:row>
    <x:row r="43">
      <x:c r="A43" s="44"/>
      <x:c r="B43" s="44"/>
      <x:c r="C43" s="44"/>
      <x:c r="D43" s="44"/>
      <x:c r="E43" s="44"/>
      <x:c r="F43" s="44"/>
      <x:c r="G43" s="44"/>
      <x:c r="H43" s="44"/>
      <x:c r="I43" s="44"/>
      <x:c r="J43" s="44"/>
      <x:c r="K43" s="44"/>
      <x:c r="L43" s="44"/>
      <x:c r="M43" s="44"/>
      <x:c r="N43" s="44"/>
      <x:c r="O43" s="44"/>
    </x:row>
    <x:row r="44">
      <x:c r="A44" s="44"/>
      <x:c r="B44" s="44"/>
      <x:c r="C44" s="44"/>
      <x:c r="D44" s="44"/>
      <x:c r="E44" s="44"/>
      <x:c r="F44" s="44"/>
      <x:c r="G44" s="44"/>
      <x:c r="H44" s="44"/>
      <x:c r="I44" s="44"/>
      <x:c r="J44" s="44"/>
      <x:c r="K44" s="44"/>
      <x:c r="L44" s="44"/>
      <x:c r="M44" s="44"/>
      <x:c r="N44" s="44"/>
      <x:c r="O44" s="44"/>
    </x:row>
    <x:row r="45">
      <x:c r="A45" s="44"/>
      <x:c r="B45" s="44"/>
      <x:c r="C45" s="44"/>
      <x:c r="D45" s="44"/>
      <x:c r="E45" s="44"/>
      <x:c r="F45" s="44"/>
      <x:c r="G45" s="44"/>
      <x:c r="H45" s="44"/>
      <x:c r="I45" s="44"/>
      <x:c r="J45" s="44"/>
      <x:c r="K45" s="44"/>
      <x:c r="L45" s="44"/>
      <x:c r="M45" s="44"/>
      <x:c r="N45" s="44"/>
      <x:c r="O45" s="44"/>
    </x:row>
    <x:row r="46">
      <x:c r="A46" s="44"/>
      <x:c r="B46" s="44"/>
      <x:c r="C46" s="44"/>
      <x:c r="D46" s="44"/>
      <x:c r="E46" s="44"/>
      <x:c r="F46" s="44"/>
      <x:c r="G46" s="44"/>
      <x:c r="H46" s="44"/>
      <x:c r="I46" s="44"/>
      <x:c r="J46" s="44"/>
      <x:c r="K46" s="44"/>
      <x:c r="L46" s="44"/>
      <x:c r="M46" s="44"/>
      <x:c r="N46" s="44"/>
      <x:c r="O46" s="44"/>
    </x:row>
    <x:row r="47">
      <x:c r="A47" s="44"/>
      <x:c r="B47" s="44"/>
      <x:c r="C47" s="44"/>
      <x:c r="D47" s="44"/>
      <x:c r="E47" s="44"/>
      <x:c r="F47" s="44"/>
      <x:c r="G47" s="44"/>
      <x:c r="H47" s="44"/>
      <x:c r="I47" s="44"/>
      <x:c r="J47" s="44"/>
      <x:c r="K47" s="44"/>
      <x:c r="L47" s="44"/>
      <x:c r="M47" s="44"/>
      <x:c r="N47" s="44"/>
      <x:c r="O47" s="44"/>
    </x:row>
    <x:row r="48">
      <x:c r="A48" s="44"/>
      <x:c r="B48" s="44"/>
      <x:c r="C48" s="44"/>
      <x:c r="D48" s="44"/>
      <x:c r="E48" s="44"/>
      <x:c r="F48" s="44"/>
      <x:c r="G48" s="44"/>
      <x:c r="H48" s="44"/>
      <x:c r="I48" s="44"/>
      <x:c r="J48" s="44"/>
      <x:c r="K48" s="44"/>
      <x:c r="L48" s="44"/>
      <x:c r="M48" s="44"/>
      <x:c r="N48" s="44"/>
      <x:c r="O48" s="44"/>
    </x:row>
    <x:row r="49">
      <x:c r="A49" s="44"/>
      <x:c r="B49" s="44"/>
      <x:c r="C49" s="44"/>
      <x:c r="D49" s="44"/>
      <x:c r="E49" s="44"/>
      <x:c r="F49" s="44"/>
      <x:c r="G49" s="44"/>
      <x:c r="H49" s="44"/>
      <x:c r="I49" s="44"/>
      <x:c r="J49" s="44"/>
      <x:c r="K49" s="44"/>
      <x:c r="L49" s="44"/>
      <x:c r="M49" s="44"/>
      <x:c r="N49" s="44"/>
      <x:c r="O49" s="44"/>
    </x:row>
    <x:row r="50">
      <x:c r="A50" s="44"/>
      <x:c r="B50" s="44"/>
      <x:c r="C50" s="44"/>
      <x:c r="D50" s="44"/>
      <x:c r="E50" s="44"/>
      <x:c r="F50" s="44"/>
      <x:c r="G50" s="44"/>
      <x:c r="H50" s="44"/>
      <x:c r="I50" s="44"/>
      <x:c r="J50" s="44"/>
      <x:c r="K50" s="44"/>
      <x:c r="L50" s="44"/>
      <x:c r="M50" s="44"/>
      <x:c r="N50" s="44"/>
      <x:c r="O50" s="44"/>
    </x:row>
    <x:row r="51">
      <x:c r="A51" s="44"/>
      <x:c r="B51" s="44"/>
      <x:c r="C51" s="44"/>
      <x:c r="D51" s="44"/>
      <x:c r="E51" s="44"/>
      <x:c r="F51" s="44"/>
      <x:c r="G51" s="44"/>
      <x:c r="H51" s="44"/>
      <x:c r="I51" s="44"/>
      <x:c r="J51" s="44"/>
      <x:c r="K51" s="44"/>
      <x:c r="L51" s="44"/>
      <x:c r="M51" s="44"/>
      <x:c r="N51" s="44"/>
      <x:c r="O51" s="44"/>
    </x:row>
    <x:row r="52">
      <x:c r="A52" s="44"/>
      <x:c r="B52" s="44"/>
      <x:c r="C52" s="44"/>
      <x:c r="D52" s="44"/>
      <x:c r="E52" s="44"/>
      <x:c r="F52" s="44"/>
      <x:c r="G52" s="44"/>
      <x:c r="H52" s="44"/>
      <x:c r="I52" s="44"/>
      <x:c r="J52" s="44"/>
      <x:c r="K52" s="44"/>
      <x:c r="L52" s="44"/>
      <x:c r="M52" s="44"/>
      <x:c r="N52" s="44"/>
      <x:c r="O52" s="44"/>
    </x:row>
    <x:row r="53">
      <x:c r="A53" s="44"/>
      <x:c r="B53" s="44"/>
      <x:c r="C53" s="44"/>
      <x:c r="D53" s="44"/>
      <x:c r="E53" s="44"/>
      <x:c r="F53" s="44"/>
      <x:c r="G53" s="44"/>
      <x:c r="H53" s="44"/>
      <x:c r="I53" s="44"/>
      <x:c r="J53" s="44"/>
      <x:c r="K53" s="44"/>
      <x:c r="L53" s="44"/>
      <x:c r="M53" s="44"/>
      <x:c r="N53" s="44"/>
      <x:c r="O53" s="44"/>
    </x:row>
    <x:row r="54">
      <x:c r="A54" s="44"/>
      <x:c r="B54" s="44"/>
      <x:c r="C54" s="44"/>
      <x:c r="D54" s="44"/>
      <x:c r="E54" s="44"/>
      <x:c r="F54" s="44"/>
      <x:c r="G54" s="44"/>
      <x:c r="H54" s="44"/>
      <x:c r="I54" s="44"/>
      <x:c r="J54" s="44"/>
      <x:c r="K54" s="44"/>
      <x:c r="L54" s="44"/>
      <x:c r="M54" s="44"/>
      <x:c r="N54" s="44"/>
      <x:c r="O54" s="44"/>
    </x:row>
    <x:row r="55">
      <x:c r="A55" s="44"/>
      <x:c r="B55" s="44"/>
      <x:c r="C55" s="44"/>
      <x:c r="D55" s="44"/>
      <x:c r="E55" s="44"/>
      <x:c r="F55" s="44"/>
      <x:c r="G55" s="44"/>
      <x:c r="H55" s="44"/>
      <x:c r="I55" s="44"/>
      <x:c r="J55" s="44"/>
      <x:c r="K55" s="44"/>
      <x:c r="L55" s="44"/>
      <x:c r="M55" s="44"/>
      <x:c r="N55" s="44"/>
      <x:c r="O55" s="44"/>
    </x:row>
    <x:row r="56">
      <x:c r="A56" s="44"/>
      <x:c r="B56" s="44"/>
      <x:c r="C56" s="44"/>
      <x:c r="D56" s="44"/>
      <x:c r="E56" s="44"/>
      <x:c r="F56" s="44"/>
      <x:c r="G56" s="44"/>
      <x:c r="H56" s="44"/>
      <x:c r="I56" s="44"/>
      <x:c r="J56" s="44"/>
      <x:c r="K56" s="44"/>
      <x:c r="L56" s="44"/>
      <x:c r="M56" s="44"/>
      <x:c r="N56" s="44"/>
      <x:c r="O56" s="44"/>
    </x:row>
    <x:row r="57">
      <x:c r="A57" s="44"/>
      <x:c r="B57" s="44"/>
      <x:c r="C57" s="44"/>
      <x:c r="D57" s="44"/>
      <x:c r="E57" s="44"/>
      <x:c r="F57" s="44"/>
      <x:c r="G57" s="44"/>
      <x:c r="H57" s="44"/>
      <x:c r="I57" s="44"/>
      <x:c r="J57" s="44"/>
      <x:c r="K57" s="44"/>
      <x:c r="L57" s="44"/>
      <x:c r="M57" s="44"/>
      <x:c r="N57" s="44"/>
      <x:c r="O57" s="44"/>
    </x:row>
    <x:row r="58">
      <x:c r="A58" s="44"/>
      <x:c r="B58" s="44"/>
      <x:c r="C58" s="44"/>
      <x:c r="D58" s="44"/>
      <x:c r="E58" s="44"/>
      <x:c r="F58" s="44"/>
      <x:c r="G58" s="44"/>
      <x:c r="H58" s="44"/>
      <x:c r="I58" s="44"/>
      <x:c r="J58" s="44"/>
      <x:c r="K58" s="44"/>
      <x:c r="L58" s="44"/>
      <x:c r="M58" s="44"/>
      <x:c r="N58" s="44"/>
      <x:c r="O58" s="44"/>
    </x:row>
    <x:row r="59">
      <x:c r="A59" s="44"/>
      <x:c r="B59" s="44"/>
      <x:c r="C59" s="44"/>
      <x:c r="D59" s="44"/>
      <x:c r="E59" s="44"/>
      <x:c r="F59" s="44"/>
      <x:c r="G59" s="44"/>
      <x:c r="H59" s="44"/>
      <x:c r="I59" s="44"/>
      <x:c r="J59" s="44"/>
      <x:c r="K59" s="44"/>
      <x:c r="L59" s="44"/>
      <x:c r="M59" s="44"/>
      <x:c r="N59" s="44"/>
      <x:c r="O59" s="44"/>
    </x:row>
    <x:row r="60">
      <x:c r="A60" s="44"/>
      <x:c r="B60" s="44"/>
      <x:c r="C60" s="44"/>
      <x:c r="D60" s="44"/>
      <x:c r="E60" s="44"/>
      <x:c r="F60" s="44"/>
      <x:c r="G60" s="44"/>
      <x:c r="H60" s="44"/>
      <x:c r="I60" s="44"/>
      <x:c r="J60" s="44"/>
      <x:c r="K60" s="44"/>
      <x:c r="L60" s="44"/>
      <x:c r="M60" s="44"/>
      <x:c r="N60" s="44"/>
      <x:c r="O60" s="44"/>
    </x:row>
    <x:row r="61">
      <x:c r="A61" s="44"/>
      <x:c r="B61" s="44"/>
      <x:c r="C61" s="44"/>
      <x:c r="D61" s="44"/>
      <x:c r="E61" s="44"/>
      <x:c r="F61" s="44"/>
      <x:c r="G61" s="44"/>
      <x:c r="H61" s="44"/>
      <x:c r="I61" s="44"/>
      <x:c r="J61" s="44"/>
      <x:c r="K61" s="44"/>
      <x:c r="L61" s="44"/>
      <x:c r="M61" s="44"/>
      <x:c r="N61" s="44"/>
      <x:c r="O61" s="44"/>
    </x:row>
    <x:row r="62">
      <x:c r="A62" s="44"/>
      <x:c r="B62" s="44"/>
      <x:c r="C62" s="44"/>
      <x:c r="D62" s="44"/>
      <x:c r="E62" s="44"/>
      <x:c r="F62" s="44"/>
      <x:c r="G62" s="44"/>
      <x:c r="H62" s="44"/>
      <x:c r="I62" s="44"/>
      <x:c r="J62" s="44"/>
      <x:c r="K62" s="44"/>
      <x:c r="L62" s="44"/>
      <x:c r="M62" s="44"/>
      <x:c r="N62" s="44"/>
      <x:c r="O62" s="44"/>
    </x:row>
    <x:row r="63">
      <x:c r="A63" s="44"/>
      <x:c r="B63" s="44"/>
      <x:c r="C63" s="44"/>
      <x:c r="D63" s="44"/>
      <x:c r="E63" s="44"/>
      <x:c r="F63" s="44"/>
      <x:c r="G63" s="44"/>
      <x:c r="H63" s="44"/>
      <x:c r="I63" s="44"/>
      <x:c r="J63" s="44"/>
      <x:c r="K63" s="44"/>
      <x:c r="L63" s="44"/>
      <x:c r="M63" s="44"/>
      <x:c r="N63" s="44"/>
      <x:c r="O63" s="44"/>
    </x:row>
    <x:row r="64">
      <x:c r="A64" s="44"/>
      <x:c r="B64" s="44"/>
      <x:c r="C64" s="44"/>
      <x:c r="D64" s="44"/>
      <x:c r="E64" s="44"/>
      <x:c r="F64" s="44"/>
      <x:c r="G64" s="44"/>
      <x:c r="H64" s="44"/>
      <x:c r="I64" s="44"/>
      <x:c r="J64" s="44"/>
      <x:c r="K64" s="44"/>
      <x:c r="L64" s="44"/>
      <x:c r="M64" s="44"/>
      <x:c r="N64" s="44"/>
      <x:c r="O64" s="44"/>
    </x:row>
    <x:row r="65">
      <x:c r="A65" s="44"/>
      <x:c r="B65" s="44"/>
      <x:c r="C65" s="44"/>
      <x:c r="D65" s="44"/>
      <x:c r="E65" s="44"/>
      <x:c r="F65" s="44"/>
      <x:c r="G65" s="44"/>
      <x:c r="H65" s="44"/>
      <x:c r="I65" s="44"/>
      <x:c r="J65" s="44"/>
      <x:c r="K65" s="44"/>
      <x:c r="L65" s="44"/>
      <x:c r="M65" s="44"/>
      <x:c r="N65" s="44"/>
      <x:c r="O65" s="44"/>
    </x:row>
    <x:row r="66">
      <x:c r="A66" s="44"/>
      <x:c r="B66" s="44"/>
      <x:c r="C66" s="44"/>
      <x:c r="D66" s="44"/>
      <x:c r="E66" s="44"/>
      <x:c r="F66" s="44"/>
      <x:c r="G66" s="44"/>
      <x:c r="H66" s="44"/>
      <x:c r="I66" s="44"/>
      <x:c r="J66" s="44"/>
      <x:c r="K66" s="44"/>
      <x:c r="L66" s="44"/>
      <x:c r="M66" s="44"/>
      <x:c r="N66" s="44"/>
      <x:c r="O66" s="44"/>
    </x:row>
    <x:row r="67">
      <x:c r="A67" s="44"/>
      <x:c r="B67" s="44"/>
      <x:c r="C67" s="44"/>
      <x:c r="D67" s="44"/>
      <x:c r="E67" s="44"/>
      <x:c r="F67" s="44"/>
      <x:c r="G67" s="44"/>
      <x:c r="H67" s="44"/>
      <x:c r="I67" s="44"/>
      <x:c r="J67" s="44"/>
      <x:c r="K67" s="44"/>
      <x:c r="L67" s="44"/>
      <x:c r="M67" s="44"/>
      <x:c r="N67" s="44"/>
      <x:c r="O67" s="44"/>
    </x:row>
    <x:row r="68">
      <x:c r="A68" s="44"/>
      <x:c r="B68" s="44"/>
      <x:c r="C68" s="44"/>
      <x:c r="D68" s="44"/>
      <x:c r="E68" s="44"/>
      <x:c r="F68" s="44"/>
      <x:c r="G68" s="44"/>
      <x:c r="H68" s="44"/>
      <x:c r="I68" s="44"/>
      <x:c r="J68" s="44"/>
      <x:c r="K68" s="44"/>
      <x:c r="L68" s="44"/>
      <x:c r="M68" s="44"/>
      <x:c r="N68" s="44"/>
      <x:c r="O68" s="44"/>
    </x:row>
    <x:row r="69">
      <x:c r="A69" s="44"/>
      <x:c r="B69" s="44"/>
      <x:c r="C69" s="44"/>
      <x:c r="D69" s="44"/>
      <x:c r="E69" s="44"/>
      <x:c r="F69" s="44"/>
      <x:c r="G69" s="44"/>
      <x:c r="H69" s="44"/>
      <x:c r="I69" s="44"/>
      <x:c r="J69" s="44"/>
      <x:c r="K69" s="44"/>
      <x:c r="L69" s="44"/>
      <x:c r="M69" s="44"/>
      <x:c r="N69" s="44"/>
      <x:c r="O69" s="44"/>
    </x:row>
    <x:row r="70">
      <x:c r="A70" s="44"/>
      <x:c r="B70" s="44"/>
      <x:c r="C70" s="44"/>
      <x:c r="D70" s="44"/>
      <x:c r="E70" s="44"/>
      <x:c r="F70" s="44"/>
      <x:c r="G70" s="44"/>
      <x:c r="H70" s="44"/>
      <x:c r="I70" s="44"/>
      <x:c r="J70" s="44"/>
      <x:c r="K70" s="44"/>
      <x:c r="L70" s="44"/>
      <x:c r="M70" s="44"/>
      <x:c r="N70" s="44"/>
      <x:c r="O70" s="44"/>
    </x:row>
    <x:row r="71">
      <x:c r="A71" s="44"/>
      <x:c r="B71" s="44"/>
      <x:c r="C71" s="44"/>
      <x:c r="D71" s="44"/>
      <x:c r="E71" s="44"/>
      <x:c r="F71" s="44"/>
      <x:c r="G71" s="44"/>
      <x:c r="H71" s="44"/>
      <x:c r="I71" s="44"/>
      <x:c r="J71" s="44"/>
      <x:c r="K71" s="44"/>
      <x:c r="L71" s="44"/>
      <x:c r="M71" s="44"/>
      <x:c r="N71" s="44"/>
      <x:c r="O71" s="44"/>
    </x:row>
    <x:row r="72">
      <x:c r="A72" s="44"/>
      <x:c r="B72" s="44"/>
      <x:c r="C72" s="44"/>
      <x:c r="D72" s="44"/>
      <x:c r="E72" s="44"/>
      <x:c r="F72" s="44"/>
      <x:c r="G72" s="44"/>
      <x:c r="H72" s="44"/>
      <x:c r="I72" s="44"/>
      <x:c r="J72" s="44"/>
      <x:c r="K72" s="44"/>
      <x:c r="L72" s="44"/>
      <x:c r="M72" s="44"/>
      <x:c r="N72" s="44"/>
      <x:c r="O72" s="44"/>
    </x:row>
    <x:row r="73">
      <x:c r="A73" s="44"/>
      <x:c r="B73" s="44"/>
      <x:c r="C73" s="44"/>
      <x:c r="D73" s="44"/>
      <x:c r="E73" s="44"/>
      <x:c r="F73" s="44"/>
      <x:c r="G73" s="44"/>
      <x:c r="H73" s="44"/>
      <x:c r="I73" s="44"/>
      <x:c r="J73" s="44"/>
      <x:c r="K73" s="44"/>
      <x:c r="L73" s="44"/>
      <x:c r="M73" s="44"/>
      <x:c r="N73" s="44"/>
      <x:c r="O73" s="44"/>
    </x:row>
    <x:row r="74">
      <x:c r="A74" s="44"/>
      <x:c r="B74" s="44"/>
      <x:c r="C74" s="44"/>
      <x:c r="D74" s="44"/>
      <x:c r="E74" s="44"/>
      <x:c r="F74" s="44"/>
      <x:c r="G74" s="44"/>
      <x:c r="H74" s="44"/>
      <x:c r="I74" s="44"/>
      <x:c r="J74" s="44"/>
      <x:c r="K74" s="44"/>
      <x:c r="L74" s="44"/>
      <x:c r="M74" s="44"/>
      <x:c r="N74" s="44"/>
      <x:c r="O74" s="44"/>
    </x:row>
    <x:row r="75">
      <x:c r="A75" s="44"/>
      <x:c r="B75" s="44"/>
      <x:c r="C75" s="44"/>
      <x:c r="D75" s="44"/>
      <x:c r="E75" s="44"/>
      <x:c r="F75" s="44"/>
      <x:c r="G75" s="44"/>
      <x:c r="H75" s="44"/>
      <x:c r="I75" s="44"/>
      <x:c r="J75" s="44"/>
      <x:c r="K75" s="44"/>
      <x:c r="L75" s="44"/>
      <x:c r="M75" s="44"/>
      <x:c r="N75" s="44"/>
      <x:c r="O75" s="44"/>
    </x:row>
    <x:row r="76">
      <x:c r="A76" s="44"/>
      <x:c r="B76" s="44"/>
      <x:c r="C76" s="44"/>
      <x:c r="D76" s="44"/>
      <x:c r="E76" s="44"/>
      <x:c r="F76" s="44"/>
      <x:c r="G76" s="44"/>
      <x:c r="H76" s="44"/>
      <x:c r="I76" s="44"/>
      <x:c r="J76" s="44"/>
      <x:c r="K76" s="44"/>
      <x:c r="L76" s="44"/>
      <x:c r="M76" s="44"/>
      <x:c r="N76" s="44"/>
      <x:c r="O76" s="44"/>
    </x:row>
    <x:row r="77">
      <x:c r="A77" s="44"/>
      <x:c r="B77" s="44"/>
      <x:c r="C77" s="44"/>
      <x:c r="D77" s="44"/>
      <x:c r="E77" s="44"/>
      <x:c r="F77" s="44"/>
      <x:c r="G77" s="44"/>
      <x:c r="H77" s="44"/>
      <x:c r="I77" s="44"/>
      <x:c r="J77" s="44"/>
      <x:c r="K77" s="44"/>
      <x:c r="L77" s="44"/>
      <x:c r="M77" s="44"/>
      <x:c r="N77" s="44"/>
      <x:c r="O77" s="44"/>
    </x:row>
    <x:row r="78">
      <x:c r="A78" s="44"/>
      <x:c r="B78" s="44"/>
      <x:c r="C78" s="44"/>
      <x:c r="D78" s="44"/>
      <x:c r="E78" s="44"/>
      <x:c r="F78" s="44"/>
      <x:c r="G78" s="44"/>
      <x:c r="H78" s="44"/>
      <x:c r="I78" s="44"/>
      <x:c r="J78" s="44"/>
      <x:c r="K78" s="44"/>
      <x:c r="L78" s="44"/>
      <x:c r="M78" s="44"/>
      <x:c r="N78" s="44"/>
      <x:c r="O78" s="44"/>
    </x:row>
    <x:row r="79">
      <x:c r="A79" s="44"/>
      <x:c r="B79" s="44"/>
      <x:c r="C79" s="44"/>
      <x:c r="D79" s="44"/>
      <x:c r="E79" s="44"/>
      <x:c r="F79" s="44"/>
      <x:c r="G79" s="44"/>
      <x:c r="H79" s="44"/>
      <x:c r="I79" s="44"/>
      <x:c r="J79" s="44"/>
      <x:c r="K79" s="44"/>
      <x:c r="L79" s="44"/>
      <x:c r="M79" s="44"/>
      <x:c r="N79" s="44"/>
      <x:c r="O79" s="44"/>
    </x:row>
    <x:row r="80">
      <x:c r="A80" s="44"/>
      <x:c r="B80" s="44"/>
      <x:c r="C80" s="44"/>
      <x:c r="D80" s="44"/>
      <x:c r="E80" s="44"/>
      <x:c r="F80" s="44"/>
      <x:c r="G80" s="44"/>
      <x:c r="H80" s="44"/>
      <x:c r="I80" s="44"/>
      <x:c r="J80" s="44"/>
      <x:c r="K80" s="44"/>
      <x:c r="L80" s="44"/>
      <x:c r="M80" s="44"/>
      <x:c r="N80" s="44"/>
      <x:c r="O80" s="44"/>
    </x:row>
    <x:row r="81">
      <x:c r="A81" s="44"/>
      <x:c r="B81" s="44"/>
      <x:c r="C81" s="44"/>
      <x:c r="D81" s="44"/>
      <x:c r="E81" s="44"/>
      <x:c r="F81" s="44"/>
      <x:c r="G81" s="44"/>
      <x:c r="H81" s="44"/>
      <x:c r="I81" s="44"/>
      <x:c r="J81" s="44"/>
      <x:c r="K81" s="44"/>
      <x:c r="L81" s="44"/>
      <x:c r="M81" s="44"/>
      <x:c r="N81" s="44"/>
      <x:c r="O81" s="44"/>
    </x:row>
    <x:row r="82">
      <x:c r="A82" s="44"/>
      <x:c r="B82" s="44"/>
      <x:c r="C82" s="44"/>
      <x:c r="D82" s="44"/>
      <x:c r="E82" s="44"/>
      <x:c r="F82" s="44"/>
      <x:c r="G82" s="44"/>
      <x:c r="H82" s="44"/>
      <x:c r="I82" s="44"/>
      <x:c r="J82" s="44"/>
      <x:c r="K82" s="44"/>
      <x:c r="L82" s="44"/>
      <x:c r="M82" s="44"/>
      <x:c r="N82" s="44"/>
      <x:c r="O82" s="44"/>
    </x:row>
    <x:row r="83">
      <x:c r="A83" s="44"/>
      <x:c r="B83" s="44"/>
      <x:c r="C83" s="44"/>
      <x:c r="D83" s="44"/>
      <x:c r="E83" s="44"/>
      <x:c r="F83" s="44"/>
      <x:c r="G83" s="44"/>
      <x:c r="H83" s="44"/>
      <x:c r="I83" s="44"/>
      <x:c r="J83" s="44"/>
      <x:c r="K83" s="44"/>
      <x:c r="L83" s="44"/>
      <x:c r="M83" s="44"/>
      <x:c r="N83" s="44"/>
      <x:c r="O83" s="44"/>
    </x:row>
    <x:row r="84">
      <x:c r="A84" s="44"/>
      <x:c r="B84" s="44"/>
      <x:c r="C84" s="44"/>
      <x:c r="D84" s="44"/>
      <x:c r="E84" s="44"/>
      <x:c r="F84" s="44"/>
      <x:c r="G84" s="44"/>
      <x:c r="H84" s="44"/>
      <x:c r="I84" s="44"/>
      <x:c r="J84" s="44"/>
      <x:c r="K84" s="44"/>
      <x:c r="L84" s="44"/>
      <x:c r="M84" s="44"/>
      <x:c r="N84" s="44"/>
      <x:c r="O84" s="44"/>
    </x:row>
    <x:row r="85">
      <x:c r="A85" s="44"/>
      <x:c r="B85" s="44"/>
      <x:c r="C85" s="44"/>
      <x:c r="D85" s="44"/>
      <x:c r="E85" s="44"/>
      <x:c r="F85" s="44"/>
      <x:c r="G85" s="44"/>
      <x:c r="H85" s="44"/>
      <x:c r="I85" s="44"/>
      <x:c r="J85" s="44"/>
      <x:c r="K85" s="44"/>
      <x:c r="L85" s="44"/>
      <x:c r="M85" s="44"/>
      <x:c r="N85" s="44"/>
      <x:c r="O85" s="44"/>
    </x:row>
    <x:row r="86">
      <x:c r="A86" s="44"/>
      <x:c r="B86" s="44"/>
      <x:c r="C86" s="44"/>
      <x:c r="D86" s="44"/>
      <x:c r="E86" s="44"/>
      <x:c r="F86" s="44"/>
      <x:c r="G86" s="44"/>
      <x:c r="H86" s="44"/>
      <x:c r="I86" s="44"/>
      <x:c r="J86" s="44"/>
      <x:c r="K86" s="44"/>
      <x:c r="L86" s="44"/>
      <x:c r="M86" s="44"/>
      <x:c r="N86" s="44"/>
      <x:c r="O86" s="44"/>
    </x:row>
    <x:row r="87">
      <x:c r="A87" s="44"/>
      <x:c r="B87" s="44"/>
      <x:c r="C87" s="44"/>
      <x:c r="D87" s="44"/>
      <x:c r="E87" s="44"/>
      <x:c r="F87" s="44"/>
      <x:c r="G87" s="44"/>
      <x:c r="H87" s="44"/>
      <x:c r="I87" s="44"/>
      <x:c r="J87" s="44"/>
      <x:c r="K87" s="44"/>
      <x:c r="L87" s="44"/>
      <x:c r="M87" s="44"/>
      <x:c r="N87" s="44"/>
      <x:c r="O87" s="44"/>
    </x:row>
    <x:row r="88">
      <x:c r="A88" s="44"/>
      <x:c r="B88" s="44"/>
      <x:c r="C88" s="44"/>
      <x:c r="D88" s="44"/>
      <x:c r="E88" s="44"/>
      <x:c r="F88" s="44"/>
      <x:c r="G88" s="44"/>
      <x:c r="H88" s="44"/>
      <x:c r="I88" s="44"/>
      <x:c r="J88" s="44"/>
      <x:c r="K88" s="44"/>
      <x:c r="L88" s="44"/>
      <x:c r="M88" s="44"/>
      <x:c r="N88" s="44"/>
      <x:c r="O88" s="44"/>
    </x:row>
    <x:row r="89">
      <x:c r="A89" s="44"/>
      <x:c r="B89" s="44"/>
      <x:c r="C89" s="44"/>
      <x:c r="D89" s="44"/>
      <x:c r="E89" s="44"/>
      <x:c r="F89" s="44"/>
      <x:c r="G89" s="44"/>
      <x:c r="H89" s="44"/>
      <x:c r="I89" s="44"/>
      <x:c r="J89" s="44"/>
      <x:c r="K89" s="44"/>
      <x:c r="L89" s="44"/>
      <x:c r="M89" s="44"/>
      <x:c r="N89" s="44"/>
      <x:c r="O89" s="44"/>
    </x:row>
    <x:row r="90">
      <x:c r="A90" s="44"/>
      <x:c r="B90" s="44"/>
      <x:c r="C90" s="44"/>
      <x:c r="D90" s="44"/>
      <x:c r="E90" s="44"/>
      <x:c r="F90" s="44"/>
      <x:c r="G90" s="44"/>
      <x:c r="H90" s="44"/>
      <x:c r="I90" s="44"/>
      <x:c r="J90" s="44"/>
      <x:c r="K90" s="44"/>
      <x:c r="L90" s="44"/>
      <x:c r="M90" s="44"/>
      <x:c r="N90" s="44"/>
      <x:c r="O90" s="44"/>
    </x:row>
    <x:row r="91">
      <x:c r="A91" s="44"/>
      <x:c r="B91" s="44"/>
      <x:c r="C91" s="44"/>
      <x:c r="D91" s="44"/>
      <x:c r="E91" s="44"/>
      <x:c r="F91" s="44"/>
      <x:c r="G91" s="44"/>
      <x:c r="H91" s="44"/>
      <x:c r="I91" s="44"/>
      <x:c r="J91" s="44"/>
      <x:c r="K91" s="44"/>
      <x:c r="L91" s="44"/>
      <x:c r="M91" s="44"/>
      <x:c r="N91" s="44"/>
      <x:c r="O91" s="44"/>
    </x:row>
    <x:row r="92">
      <x:c r="A92" s="44"/>
      <x:c r="B92" s="44"/>
      <x:c r="C92" s="44"/>
      <x:c r="D92" s="44"/>
      <x:c r="E92" s="44"/>
      <x:c r="F92" s="44"/>
      <x:c r="G92" s="44"/>
      <x:c r="H92" s="44"/>
      <x:c r="I92" s="44"/>
      <x:c r="J92" s="44"/>
      <x:c r="K92" s="44"/>
      <x:c r="L92" s="44"/>
      <x:c r="M92" s="44"/>
      <x:c r="N92" s="44"/>
      <x:c r="O92" s="44"/>
    </x:row>
    <x:row r="93">
      <x:c r="A93" s="44"/>
      <x:c r="B93" s="44"/>
      <x:c r="C93" s="44"/>
      <x:c r="D93" s="44"/>
      <x:c r="E93" s="44"/>
      <x:c r="F93" s="44"/>
      <x:c r="G93" s="44"/>
      <x:c r="H93" s="44"/>
      <x:c r="I93" s="44"/>
      <x:c r="J93" s="44"/>
      <x:c r="K93" s="44"/>
      <x:c r="L93" s="44"/>
      <x:c r="M93" s="44"/>
      <x:c r="N93" s="44"/>
      <x:c r="O93" s="44"/>
    </x:row>
    <x:row r="94">
      <x:c r="A94" s="44"/>
      <x:c r="B94" s="44"/>
      <x:c r="C94" s="44"/>
      <x:c r="D94" s="44"/>
      <x:c r="E94" s="44"/>
      <x:c r="F94" s="44"/>
      <x:c r="G94" s="44"/>
      <x:c r="H94" s="44"/>
      <x:c r="I94" s="44"/>
      <x:c r="J94" s="44"/>
      <x:c r="K94" s="44"/>
      <x:c r="L94" s="44"/>
      <x:c r="M94" s="44"/>
      <x:c r="N94" s="44"/>
      <x:c r="O94" s="44"/>
    </x:row>
    <x:row r="95">
      <x:c r="A95" s="44"/>
      <x:c r="B95" s="44"/>
      <x:c r="C95" s="44"/>
      <x:c r="D95" s="44"/>
      <x:c r="E95" s="44"/>
      <x:c r="F95" s="44"/>
      <x:c r="G95" s="44"/>
      <x:c r="H95" s="44"/>
      <x:c r="I95" s="44"/>
      <x:c r="J95" s="44"/>
      <x:c r="K95" s="44"/>
      <x:c r="L95" s="44"/>
      <x:c r="M95" s="44"/>
      <x:c r="N95" s="44"/>
      <x:c r="O95" s="44"/>
    </x:row>
    <x:row r="96">
      <x:c r="A96" s="44"/>
      <x:c r="B96" s="44"/>
      <x:c r="C96" s="44"/>
      <x:c r="D96" s="44"/>
      <x:c r="E96" s="44"/>
      <x:c r="F96" s="44"/>
      <x:c r="G96" s="44"/>
      <x:c r="H96" s="44"/>
      <x:c r="I96" s="44"/>
      <x:c r="J96" s="44"/>
      <x:c r="K96" s="44"/>
      <x:c r="L96" s="44"/>
      <x:c r="M96" s="44"/>
      <x:c r="N96" s="44"/>
      <x:c r="O96" s="44"/>
    </x:row>
    <x:row r="97">
      <x:c r="A97" s="44"/>
      <x:c r="B97" s="44"/>
      <x:c r="C97" s="44"/>
      <x:c r="D97" s="44"/>
      <x:c r="E97" s="44"/>
      <x:c r="F97" s="44"/>
      <x:c r="G97" s="44"/>
      <x:c r="H97" s="44"/>
      <x:c r="I97" s="44"/>
      <x:c r="J97" s="44"/>
      <x:c r="K97" s="44"/>
      <x:c r="L97" s="44"/>
      <x:c r="M97" s="44"/>
      <x:c r="N97" s="44"/>
      <x:c r="O97" s="44"/>
    </x:row>
    <x:row r="98">
      <x:c r="A98" s="44"/>
      <x:c r="B98" s="44"/>
      <x:c r="C98" s="44"/>
      <x:c r="D98" s="44"/>
      <x:c r="E98" s="44"/>
      <x:c r="F98" s="44"/>
      <x:c r="G98" s="44"/>
      <x:c r="H98" s="44"/>
      <x:c r="I98" s="44"/>
      <x:c r="J98" s="44"/>
      <x:c r="K98" s="44"/>
      <x:c r="L98" s="44"/>
      <x:c r="M98" s="44"/>
      <x:c r="N98" s="44"/>
      <x:c r="O98" s="44"/>
    </x:row>
    <x:row r="99">
      <x:c r="A99" s="44"/>
      <x:c r="B99" s="44"/>
      <x:c r="C99" s="44"/>
      <x:c r="D99" s="44"/>
      <x:c r="E99" s="44"/>
      <x:c r="F99" s="44"/>
      <x:c r="G99" s="44"/>
      <x:c r="H99" s="44"/>
      <x:c r="I99" s="44"/>
      <x:c r="J99" s="44"/>
      <x:c r="K99" s="44"/>
      <x:c r="L99" s="44"/>
      <x:c r="M99" s="44"/>
      <x:c r="N99" s="44"/>
      <x:c r="O99" s="44"/>
    </x:row>
    <x:row r="100">
      <x:c r="A100" s="44"/>
      <x:c r="B100" s="44"/>
      <x:c r="C100" s="44"/>
      <x:c r="D100" s="44"/>
      <x:c r="E100" s="44"/>
      <x:c r="F100" s="44"/>
      <x:c r="G100" s="44"/>
      <x:c r="H100" s="44"/>
      <x:c r="I100" s="44"/>
      <x:c r="J100" s="44"/>
      <x:c r="K100" s="44"/>
      <x:c r="L100" s="44"/>
      <x:c r="M100" s="44"/>
      <x:c r="N100" s="44"/>
      <x:c r="O100" s="44"/>
    </x:row>
    <x:row r="101">
      <x:c r="A101" s="44"/>
      <x:c r="B101" s="44"/>
      <x:c r="C101" s="44"/>
      <x:c r="D101" s="44"/>
      <x:c r="E101" s="44"/>
      <x:c r="F101" s="44"/>
      <x:c r="G101" s="44"/>
      <x:c r="H101" s="44"/>
      <x:c r="I101" s="44"/>
      <x:c r="J101" s="44"/>
      <x:c r="K101" s="44"/>
      <x:c r="L101" s="44"/>
      <x:c r="M101" s="44"/>
      <x:c r="N101" s="44"/>
      <x:c r="O101" s="44"/>
    </x:row>
    <x:row r="102">
      <x:c r="A102" s="44"/>
      <x:c r="B102" s="44"/>
      <x:c r="C102" s="44"/>
      <x:c r="D102" s="44"/>
      <x:c r="E102" s="44"/>
      <x:c r="F102" s="44"/>
      <x:c r="G102" s="44"/>
      <x:c r="H102" s="44"/>
      <x:c r="I102" s="44"/>
      <x:c r="J102" s="44"/>
      <x:c r="K102" s="44"/>
      <x:c r="L102" s="44"/>
      <x:c r="M102" s="44"/>
      <x:c r="N102" s="44"/>
      <x:c r="O102" s="44"/>
    </x:row>
    <x:row r="103">
      <x:c r="A103" s="44"/>
      <x:c r="B103" s="44"/>
      <x:c r="C103" s="44"/>
      <x:c r="D103" s="44"/>
      <x:c r="E103" s="44"/>
      <x:c r="F103" s="44"/>
      <x:c r="G103" s="44"/>
      <x:c r="H103" s="44"/>
      <x:c r="I103" s="44"/>
      <x:c r="J103" s="44"/>
      <x:c r="K103" s="44"/>
      <x:c r="L103" s="44"/>
      <x:c r="M103" s="44"/>
      <x:c r="N103" s="44"/>
      <x:c r="O103" s="44"/>
    </x:row>
    <x:row r="104">
      <x:c r="A104" s="44"/>
      <x:c r="B104" s="44"/>
      <x:c r="C104" s="44"/>
      <x:c r="D104" s="44"/>
      <x:c r="E104" s="44"/>
      <x:c r="F104" s="44"/>
      <x:c r="G104" s="44"/>
      <x:c r="H104" s="44"/>
      <x:c r="I104" s="44"/>
      <x:c r="J104" s="44"/>
      <x:c r="K104" s="44"/>
      <x:c r="L104" s="44"/>
      <x:c r="M104" s="44"/>
      <x:c r="N104" s="44"/>
      <x:c r="O104" s="44"/>
    </x:row>
    <x:row r="105">
      <x:c r="A105" s="44"/>
      <x:c r="B105" s="44"/>
      <x:c r="C105" s="44"/>
      <x:c r="D105" s="44"/>
      <x:c r="E105" s="44"/>
      <x:c r="F105" s="44"/>
      <x:c r="G105" s="44"/>
      <x:c r="H105" s="44"/>
      <x:c r="I105" s="44"/>
      <x:c r="J105" s="44"/>
      <x:c r="K105" s="44"/>
      <x:c r="L105" s="44"/>
      <x:c r="M105" s="44"/>
      <x:c r="N105" s="44"/>
      <x:c r="O105" s="44"/>
    </x:row>
    <x:row r="106">
      <x:c r="A106" s="44"/>
      <x:c r="B106" s="44"/>
      <x:c r="C106" s="44"/>
      <x:c r="D106" s="44"/>
      <x:c r="E106" s="44"/>
      <x:c r="F106" s="44"/>
      <x:c r="G106" s="44"/>
      <x:c r="H106" s="44"/>
      <x:c r="I106" s="44"/>
      <x:c r="J106" s="44"/>
      <x:c r="K106" s="44"/>
      <x:c r="L106" s="44"/>
      <x:c r="M106" s="44"/>
      <x:c r="N106" s="44"/>
      <x:c r="O106" s="44"/>
    </x:row>
    <x:row r="107">
      <x:c r="A107" s="44"/>
      <x:c r="B107" s="44"/>
      <x:c r="C107" s="44"/>
      <x:c r="D107" s="44"/>
      <x:c r="E107" s="44"/>
      <x:c r="F107" s="44"/>
      <x:c r="G107" s="44"/>
      <x:c r="H107" s="44"/>
      <x:c r="I107" s="44"/>
      <x:c r="J107" s="44"/>
      <x:c r="K107" s="44"/>
      <x:c r="L107" s="44"/>
      <x:c r="M107" s="44"/>
      <x:c r="N107" s="44"/>
      <x:c r="O107" s="44"/>
    </x:row>
    <x:row r="108">
      <x:c r="A108" s="44"/>
      <x:c r="B108" s="44"/>
      <x:c r="C108" s="44"/>
      <x:c r="D108" s="44"/>
      <x:c r="E108" s="44"/>
      <x:c r="F108" s="44"/>
      <x:c r="G108" s="44"/>
      <x:c r="H108" s="44"/>
      <x:c r="I108" s="44"/>
      <x:c r="J108" s="44"/>
      <x:c r="K108" s="44"/>
      <x:c r="L108" s="44"/>
      <x:c r="M108" s="44"/>
      <x:c r="N108" s="44"/>
      <x:c r="O108" s="44"/>
    </x:row>
    <x:row r="109">
      <x:c r="A109" s="44"/>
      <x:c r="B109" s="44"/>
      <x:c r="C109" s="44"/>
      <x:c r="D109" s="44"/>
      <x:c r="E109" s="44"/>
      <x:c r="F109" s="44"/>
      <x:c r="G109" s="44"/>
      <x:c r="H109" s="44"/>
      <x:c r="I109" s="44"/>
      <x:c r="J109" s="44"/>
      <x:c r="K109" s="44"/>
      <x:c r="L109" s="44"/>
      <x:c r="M109" s="44"/>
      <x:c r="N109" s="44"/>
      <x:c r="O109" s="44"/>
    </x:row>
    <x:row r="110">
      <x:c r="A110" s="44"/>
      <x:c r="B110" s="44"/>
      <x:c r="C110" s="44"/>
      <x:c r="D110" s="44"/>
      <x:c r="E110" s="44"/>
      <x:c r="F110" s="44"/>
      <x:c r="G110" s="44"/>
      <x:c r="H110" s="44"/>
      <x:c r="I110" s="44"/>
      <x:c r="J110" s="44"/>
      <x:c r="K110" s="44"/>
      <x:c r="L110" s="44"/>
      <x:c r="M110" s="44"/>
      <x:c r="N110" s="44"/>
      <x:c r="O110" s="44"/>
    </x:row>
    <x:row r="111">
      <x:c r="A111" s="44"/>
      <x:c r="B111" s="44"/>
      <x:c r="C111" s="44"/>
      <x:c r="D111" s="44"/>
      <x:c r="E111" s="44"/>
      <x:c r="F111" s="44"/>
      <x:c r="G111" s="44"/>
      <x:c r="H111" s="44"/>
      <x:c r="I111" s="44"/>
      <x:c r="J111" s="44"/>
      <x:c r="K111" s="44"/>
      <x:c r="L111" s="44"/>
      <x:c r="M111" s="44"/>
      <x:c r="N111" s="44"/>
      <x:c r="O111" s="44"/>
    </x:row>
    <x:row r="112">
      <x:c r="A112" s="44"/>
      <x:c r="B112" s="44"/>
      <x:c r="C112" s="44"/>
      <x:c r="D112" s="44"/>
      <x:c r="E112" s="44"/>
      <x:c r="F112" s="44"/>
      <x:c r="G112" s="44"/>
      <x:c r="H112" s="44"/>
      <x:c r="I112" s="44"/>
      <x:c r="J112" s="44"/>
      <x:c r="K112" s="44"/>
      <x:c r="L112" s="44"/>
      <x:c r="M112" s="44"/>
      <x:c r="N112" s="44"/>
      <x:c r="O112" s="44"/>
    </x:row>
    <x:row r="113">
      <x:c r="A113" s="44"/>
      <x:c r="B113" s="44"/>
      <x:c r="C113" s="44"/>
      <x:c r="D113" s="44"/>
      <x:c r="E113" s="44"/>
      <x:c r="F113" s="44"/>
      <x:c r="G113" s="44"/>
      <x:c r="H113" s="44"/>
      <x:c r="I113" s="44"/>
      <x:c r="J113" s="44"/>
      <x:c r="K113" s="44"/>
      <x:c r="L113" s="44"/>
      <x:c r="M113" s="44"/>
      <x:c r="N113" s="44"/>
      <x:c r="O113" s="44"/>
    </x:row>
    <x:row r="114">
      <x:c r="A114" s="44"/>
      <x:c r="B114" s="44"/>
      <x:c r="C114" s="44"/>
      <x:c r="D114" s="44"/>
      <x:c r="E114" s="44"/>
      <x:c r="F114" s="44"/>
      <x:c r="G114" s="44"/>
      <x:c r="H114" s="44"/>
      <x:c r="I114" s="44"/>
      <x:c r="J114" s="44"/>
      <x:c r="K114" s="44"/>
      <x:c r="L114" s="44"/>
      <x:c r="M114" s="44"/>
      <x:c r="N114" s="44"/>
      <x:c r="O114" s="44"/>
    </x:row>
    <x:row r="115">
      <x:c r="A115" s="44"/>
      <x:c r="B115" s="44"/>
      <x:c r="C115" s="44"/>
      <x:c r="D115" s="44"/>
      <x:c r="E115" s="44"/>
      <x:c r="F115" s="44"/>
      <x:c r="G115" s="44"/>
      <x:c r="H115" s="44"/>
      <x:c r="I115" s="44"/>
      <x:c r="J115" s="44"/>
      <x:c r="K115" s="44"/>
      <x:c r="L115" s="44"/>
      <x:c r="M115" s="44"/>
      <x:c r="N115" s="44"/>
      <x:c r="O115" s="44"/>
    </x:row>
    <x:row r="116">
      <x:c r="A116" s="44"/>
      <x:c r="B116" s="44"/>
      <x:c r="C116" s="44"/>
      <x:c r="D116" s="44"/>
      <x:c r="E116" s="44"/>
      <x:c r="F116" s="44"/>
      <x:c r="G116" s="44"/>
      <x:c r="H116" s="44"/>
      <x:c r="I116" s="44"/>
      <x:c r="J116" s="44"/>
      <x:c r="K116" s="44"/>
      <x:c r="L116" s="44"/>
      <x:c r="M116" s="44"/>
      <x:c r="N116" s="44"/>
      <x:c r="O116" s="44"/>
    </x:row>
    <x:row r="117">
      <x:c r="A117" s="44"/>
      <x:c r="B117" s="44"/>
      <x:c r="C117" s="44"/>
      <x:c r="D117" s="44"/>
      <x:c r="E117" s="44"/>
      <x:c r="F117" s="44"/>
      <x:c r="G117" s="44"/>
      <x:c r="H117" s="44"/>
      <x:c r="I117" s="44"/>
      <x:c r="J117" s="44"/>
      <x:c r="K117" s="44"/>
      <x:c r="L117" s="44"/>
      <x:c r="M117" s="44"/>
      <x:c r="N117" s="44"/>
      <x:c r="O117" s="44"/>
    </x:row>
    <x:row r="118">
      <x:c r="A118" s="44"/>
      <x:c r="B118" s="44"/>
      <x:c r="C118" s="44"/>
      <x:c r="D118" s="44"/>
      <x:c r="E118" s="44"/>
      <x:c r="F118" s="44"/>
      <x:c r="G118" s="44"/>
      <x:c r="H118" s="44"/>
      <x:c r="I118" s="44"/>
      <x:c r="J118" s="44"/>
      <x:c r="K118" s="44"/>
      <x:c r="L118" s="44"/>
      <x:c r="M118" s="44"/>
      <x:c r="N118" s="44"/>
      <x:c r="O118" s="44"/>
    </x:row>
    <x:row r="119">
      <x:c r="A119" s="44"/>
      <x:c r="B119" s="44"/>
      <x:c r="C119" s="44"/>
      <x:c r="D119" s="44"/>
      <x:c r="E119" s="44"/>
      <x:c r="F119" s="44"/>
      <x:c r="G119" s="44"/>
      <x:c r="H119" s="44"/>
      <x:c r="I119" s="44"/>
      <x:c r="J119" s="44"/>
      <x:c r="K119" s="44"/>
      <x:c r="L119" s="44"/>
      <x:c r="M119" s="44"/>
      <x:c r="N119" s="44"/>
      <x:c r="O119" s="44"/>
    </x:row>
    <x:row r="120">
      <x:c r="A120" s="44"/>
      <x:c r="B120" s="44"/>
      <x:c r="C120" s="44"/>
      <x:c r="D120" s="44"/>
      <x:c r="E120" s="44"/>
      <x:c r="F120" s="44"/>
      <x:c r="G120" s="44"/>
      <x:c r="H120" s="44"/>
      <x:c r="I120" s="44"/>
      <x:c r="J120" s="44"/>
      <x:c r="K120" s="44"/>
      <x:c r="L120" s="44"/>
      <x:c r="M120" s="44"/>
      <x:c r="N120" s="44"/>
      <x:c r="O120" s="44"/>
    </x:row>
    <x:row r="121">
      <x:c r="A121" s="44"/>
      <x:c r="B121" s="44"/>
      <x:c r="C121" s="44"/>
      <x:c r="D121" s="44"/>
      <x:c r="E121" s="44"/>
      <x:c r="F121" s="44"/>
      <x:c r="G121" s="44"/>
      <x:c r="H121" s="44"/>
      <x:c r="I121" s="44"/>
      <x:c r="J121" s="44"/>
      <x:c r="K121" s="44"/>
      <x:c r="L121" s="44"/>
      <x:c r="M121" s="44"/>
      <x:c r="N121" s="44"/>
      <x:c r="O121" s="44"/>
    </x:row>
    <x:row r="122">
      <x:c r="A122" s="44"/>
      <x:c r="B122" s="44"/>
      <x:c r="C122" s="44"/>
      <x:c r="D122" s="44"/>
      <x:c r="E122" s="44"/>
      <x:c r="F122" s="44"/>
      <x:c r="G122" s="44"/>
      <x:c r="H122" s="44"/>
      <x:c r="I122" s="44"/>
      <x:c r="J122" s="44"/>
      <x:c r="K122" s="44"/>
      <x:c r="L122" s="44"/>
      <x:c r="M122" s="44"/>
      <x:c r="N122" s="44"/>
      <x:c r="O122" s="44"/>
    </x:row>
    <x:row r="123">
      <x:c r="A123" s="44"/>
      <x:c r="B123" s="44"/>
      <x:c r="C123" s="44"/>
      <x:c r="D123" s="44"/>
      <x:c r="E123" s="44"/>
      <x:c r="F123" s="44"/>
      <x:c r="G123" s="44"/>
      <x:c r="H123" s="44"/>
      <x:c r="I123" s="44"/>
      <x:c r="J123" s="44"/>
      <x:c r="K123" s="44"/>
      <x:c r="L123" s="44"/>
      <x:c r="M123" s="44"/>
      <x:c r="N123" s="44"/>
      <x:c r="O123" s="44"/>
    </x:row>
    <x:row r="124">
      <x:c r="A124" s="44"/>
      <x:c r="B124" s="44"/>
      <x:c r="C124" s="44"/>
      <x:c r="D124" s="44"/>
      <x:c r="E124" s="44"/>
      <x:c r="F124" s="44"/>
      <x:c r="G124" s="44"/>
      <x:c r="H124" s="44"/>
      <x:c r="I124" s="44"/>
      <x:c r="J124" s="44"/>
      <x:c r="K124" s="44"/>
      <x:c r="L124" s="44"/>
      <x:c r="M124" s="44"/>
      <x:c r="N124" s="44"/>
      <x:c r="O124" s="44"/>
    </x:row>
    <x:row r="125">
      <x:c r="A125" s="44"/>
      <x:c r="B125" s="44"/>
      <x:c r="C125" s="44"/>
      <x:c r="D125" s="44"/>
      <x:c r="E125" s="44"/>
      <x:c r="F125" s="44"/>
      <x:c r="G125" s="44"/>
      <x:c r="H125" s="44"/>
      <x:c r="I125" s="44"/>
      <x:c r="J125" s="44"/>
      <x:c r="K125" s="44"/>
      <x:c r="L125" s="44"/>
      <x:c r="M125" s="44"/>
      <x:c r="N125" s="44"/>
      <x:c r="O125" s="44"/>
    </x:row>
    <x:row r="126">
      <x:c r="A126" s="44"/>
      <x:c r="B126" s="44"/>
      <x:c r="C126" s="44"/>
      <x:c r="D126" s="44"/>
      <x:c r="E126" s="44"/>
      <x:c r="F126" s="44"/>
      <x:c r="G126" s="44"/>
      <x:c r="H126" s="44"/>
      <x:c r="I126" s="44"/>
      <x:c r="J126" s="44"/>
      <x:c r="K126" s="44"/>
      <x:c r="L126" s="44"/>
      <x:c r="M126" s="44"/>
      <x:c r="N126" s="44"/>
      <x:c r="O126" s="44"/>
    </x:row>
    <x:row r="127">
      <x:c r="A127" s="44"/>
      <x:c r="B127" s="44"/>
      <x:c r="C127" s="44"/>
      <x:c r="D127" s="44"/>
      <x:c r="E127" s="44"/>
      <x:c r="F127" s="44"/>
      <x:c r="G127" s="44"/>
      <x:c r="H127" s="44"/>
      <x:c r="I127" s="44"/>
      <x:c r="J127" s="44"/>
      <x:c r="K127" s="44"/>
      <x:c r="L127" s="44"/>
      <x:c r="M127" s="44"/>
      <x:c r="N127" s="44"/>
      <x:c r="O127" s="44"/>
    </x:row>
    <x:row r="128">
      <x:c r="A128" s="44"/>
      <x:c r="B128" s="44"/>
      <x:c r="C128" s="44"/>
      <x:c r="D128" s="44"/>
      <x:c r="E128" s="44"/>
      <x:c r="F128" s="44"/>
      <x:c r="G128" s="44"/>
      <x:c r="H128" s="44"/>
      <x:c r="I128" s="44"/>
      <x:c r="J128" s="44"/>
      <x:c r="K128" s="44"/>
      <x:c r="L128" s="44"/>
      <x:c r="M128" s="44"/>
      <x:c r="N128" s="44"/>
      <x:c r="O128" s="44"/>
    </x:row>
    <x:row r="129">
      <x:c r="A129" s="44"/>
      <x:c r="B129" s="44"/>
      <x:c r="C129" s="44"/>
      <x:c r="D129" s="44"/>
      <x:c r="E129" s="44"/>
      <x:c r="F129" s="44"/>
      <x:c r="G129" s="44"/>
      <x:c r="H129" s="44"/>
      <x:c r="I129" s="44"/>
      <x:c r="J129" s="44"/>
      <x:c r="K129" s="44"/>
      <x:c r="L129" s="44"/>
      <x:c r="M129" s="44"/>
      <x:c r="N129" s="44"/>
      <x:c r="O129" s="44"/>
    </x:row>
    <x:row r="130">
      <x:c r="A130" s="44"/>
      <x:c r="B130" s="44"/>
      <x:c r="C130" s="44"/>
      <x:c r="D130" s="44"/>
      <x:c r="E130" s="44"/>
      <x:c r="F130" s="44"/>
      <x:c r="G130" s="44"/>
      <x:c r="H130" s="44"/>
      <x:c r="I130" s="44"/>
      <x:c r="J130" s="44"/>
      <x:c r="K130" s="44"/>
      <x:c r="L130" s="44"/>
      <x:c r="M130" s="44"/>
      <x:c r="N130" s="44"/>
      <x:c r="O130" s="44"/>
    </x:row>
    <x:row r="131">
      <x:c r="A131" s="44"/>
      <x:c r="B131" s="44"/>
      <x:c r="C131" s="44"/>
      <x:c r="D131" s="44"/>
      <x:c r="E131" s="44"/>
      <x:c r="F131" s="44"/>
      <x:c r="G131" s="44"/>
      <x:c r="H131" s="44"/>
      <x:c r="I131" s="44"/>
      <x:c r="J131" s="44"/>
      <x:c r="K131" s="44"/>
      <x:c r="L131" s="44"/>
      <x:c r="M131" s="44"/>
      <x:c r="N131" s="44"/>
      <x:c r="O131" s="44"/>
    </x:row>
    <x:row r="132">
      <x:c r="A132" s="44"/>
      <x:c r="B132" s="44"/>
      <x:c r="C132" s="44"/>
      <x:c r="D132" s="44"/>
      <x:c r="E132" s="44"/>
      <x:c r="F132" s="44"/>
      <x:c r="G132" s="44"/>
      <x:c r="H132" s="44"/>
      <x:c r="I132" s="44"/>
      <x:c r="J132" s="44"/>
      <x:c r="K132" s="44"/>
      <x:c r="L132" s="44"/>
      <x:c r="M132" s="44"/>
      <x:c r="N132" s="44"/>
      <x:c r="O132" s="44"/>
    </x:row>
    <x:row r="133">
      <x:c r="A133" s="44"/>
      <x:c r="B133" s="44"/>
      <x:c r="C133" s="44"/>
      <x:c r="D133" s="44"/>
      <x:c r="E133" s="44"/>
      <x:c r="F133" s="44"/>
      <x:c r="G133" s="44"/>
      <x:c r="H133" s="44"/>
      <x:c r="I133" s="44"/>
      <x:c r="J133" s="44"/>
      <x:c r="K133" s="44"/>
      <x:c r="L133" s="44"/>
      <x:c r="M133" s="44"/>
      <x:c r="N133" s="44"/>
      <x:c r="O133" s="44"/>
    </x:row>
    <x:row r="134">
      <x:c r="A134" s="44"/>
      <x:c r="B134" s="44"/>
      <x:c r="C134" s="44"/>
      <x:c r="D134" s="44"/>
      <x:c r="E134" s="44"/>
      <x:c r="F134" s="44"/>
      <x:c r="G134" s="44"/>
      <x:c r="H134" s="44"/>
      <x:c r="I134" s="44"/>
      <x:c r="J134" s="44"/>
      <x:c r="K134" s="44"/>
      <x:c r="L134" s="44"/>
      <x:c r="M134" s="44"/>
      <x:c r="N134" s="44"/>
      <x:c r="O134" s="44"/>
    </x:row>
    <x:row r="135">
      <x:c r="A135" s="44"/>
      <x:c r="B135" s="44"/>
      <x:c r="C135" s="44"/>
      <x:c r="D135" s="44"/>
      <x:c r="E135" s="44"/>
      <x:c r="F135" s="44"/>
      <x:c r="G135" s="44"/>
      <x:c r="H135" s="44"/>
      <x:c r="I135" s="44"/>
      <x:c r="J135" s="44"/>
      <x:c r="K135" s="44"/>
      <x:c r="L135" s="44"/>
      <x:c r="M135" s="44"/>
      <x:c r="N135" s="44"/>
      <x:c r="O135" s="44"/>
    </x:row>
    <x:row r="136">
      <x:c r="A136" s="44"/>
      <x:c r="B136" s="44"/>
      <x:c r="C136" s="44"/>
      <x:c r="D136" s="44"/>
      <x:c r="E136" s="44"/>
      <x:c r="F136" s="44"/>
      <x:c r="G136" s="44"/>
      <x:c r="H136" s="44"/>
      <x:c r="I136" s="44"/>
      <x:c r="J136" s="44"/>
      <x:c r="K136" s="44"/>
      <x:c r="L136" s="44"/>
      <x:c r="M136" s="44"/>
      <x:c r="N136" s="44"/>
      <x:c r="O136" s="44"/>
    </x:row>
    <x:row r="137">
      <x:c r="A137" s="44"/>
      <x:c r="B137" s="44"/>
      <x:c r="C137" s="44"/>
      <x:c r="D137" s="44"/>
      <x:c r="E137" s="44"/>
      <x:c r="F137" s="44"/>
      <x:c r="G137" s="44"/>
      <x:c r="H137" s="44"/>
      <x:c r="I137" s="44"/>
      <x:c r="J137" s="44"/>
      <x:c r="K137" s="44"/>
      <x:c r="L137" s="44"/>
      <x:c r="M137" s="44"/>
      <x:c r="N137" s="44"/>
      <x:c r="O137" s="44"/>
    </x:row>
    <x:row r="138">
      <x:c r="A138" s="44"/>
      <x:c r="B138" s="44"/>
      <x:c r="C138" s="44"/>
      <x:c r="D138" s="44"/>
      <x:c r="E138" s="44"/>
      <x:c r="F138" s="44"/>
      <x:c r="G138" s="44"/>
      <x:c r="H138" s="44"/>
      <x:c r="I138" s="44"/>
      <x:c r="J138" s="44"/>
      <x:c r="K138" s="44"/>
      <x:c r="L138" s="44"/>
      <x:c r="M138" s="44"/>
      <x:c r="N138" s="44"/>
      <x:c r="O138" s="44"/>
    </x:row>
    <x:row r="139">
      <x:c r="A139" s="44"/>
      <x:c r="B139" s="44"/>
      <x:c r="C139" s="44"/>
      <x:c r="D139" s="44"/>
      <x:c r="E139" s="44"/>
      <x:c r="F139" s="44"/>
      <x:c r="G139" s="44"/>
      <x:c r="H139" s="44"/>
      <x:c r="I139" s="44"/>
      <x:c r="J139" s="44"/>
      <x:c r="K139" s="44"/>
      <x:c r="L139" s="44"/>
      <x:c r="M139" s="44"/>
      <x:c r="N139" s="44"/>
      <x:c r="O139" s="44"/>
    </x:row>
    <x:row r="140">
      <x:c r="A140" s="44"/>
      <x:c r="B140" s="44"/>
      <x:c r="C140" s="44"/>
      <x:c r="D140" s="44"/>
      <x:c r="E140" s="44"/>
      <x:c r="F140" s="44"/>
      <x:c r="G140" s="44"/>
      <x:c r="H140" s="44"/>
      <x:c r="I140" s="44"/>
      <x:c r="J140" s="44"/>
      <x:c r="K140" s="44"/>
      <x:c r="L140" s="44"/>
      <x:c r="M140" s="44"/>
      <x:c r="N140" s="44"/>
      <x:c r="O140" s="44"/>
    </x:row>
    <x:row r="141">
      <x:c r="A141" s="44"/>
      <x:c r="B141" s="44"/>
      <x:c r="C141" s="44"/>
      <x:c r="D141" s="44"/>
      <x:c r="E141" s="44"/>
      <x:c r="F141" s="44"/>
      <x:c r="G141" s="44"/>
      <x:c r="H141" s="44"/>
      <x:c r="I141" s="44"/>
      <x:c r="J141" s="44"/>
      <x:c r="K141" s="44"/>
      <x:c r="L141" s="44"/>
      <x:c r="M141" s="44"/>
      <x:c r="N141" s="44"/>
      <x:c r="O141" s="44"/>
    </x:row>
    <x:row r="142">
      <x:c r="A142" s="44"/>
      <x:c r="B142" s="44"/>
      <x:c r="C142" s="44"/>
      <x:c r="D142" s="44"/>
      <x:c r="E142" s="44"/>
      <x:c r="F142" s="44"/>
      <x:c r="G142" s="44"/>
      <x:c r="H142" s="44"/>
      <x:c r="I142" s="44"/>
      <x:c r="J142" s="44"/>
      <x:c r="K142" s="44"/>
      <x:c r="L142" s="44"/>
      <x:c r="M142" s="44"/>
      <x:c r="N142" s="44"/>
      <x:c r="O142" s="44"/>
    </x:row>
    <x:row r="143">
      <x:c r="A143" s="44"/>
      <x:c r="B143" s="44"/>
      <x:c r="C143" s="44"/>
      <x:c r="D143" s="44"/>
      <x:c r="E143" s="44"/>
      <x:c r="F143" s="44"/>
      <x:c r="G143" s="44"/>
      <x:c r="H143" s="44"/>
      <x:c r="I143" s="44"/>
      <x:c r="J143" s="44"/>
      <x:c r="K143" s="44"/>
      <x:c r="L143" s="44"/>
      <x:c r="M143" s="44"/>
      <x:c r="N143" s="44"/>
      <x:c r="O143" s="44"/>
    </x:row>
    <x:row r="144">
      <x:c r="A144" s="44"/>
      <x:c r="B144" s="44"/>
      <x:c r="C144" s="44"/>
      <x:c r="D144" s="44"/>
      <x:c r="E144" s="44"/>
      <x:c r="F144" s="44"/>
      <x:c r="G144" s="44"/>
      <x:c r="H144" s="44"/>
      <x:c r="I144" s="44"/>
      <x:c r="J144" s="44"/>
      <x:c r="K144" s="44"/>
      <x:c r="L144" s="44"/>
      <x:c r="M144" s="44"/>
      <x:c r="N144" s="44"/>
      <x:c r="O144" s="44"/>
    </x:row>
    <x:row r="145">
      <x:c r="A145" s="44"/>
      <x:c r="B145" s="44"/>
      <x:c r="C145" s="44"/>
      <x:c r="D145" s="44"/>
      <x:c r="E145" s="44"/>
      <x:c r="F145" s="44"/>
      <x:c r="G145" s="44"/>
      <x:c r="H145" s="44"/>
      <x:c r="I145" s="44"/>
      <x:c r="J145" s="44"/>
      <x:c r="K145" s="44"/>
      <x:c r="L145" s="44"/>
      <x:c r="M145" s="44"/>
      <x:c r="N145" s="44"/>
      <x:c r="O145" s="44"/>
    </x:row>
    <x:row r="146">
      <x:c r="A146" s="44"/>
      <x:c r="B146" s="44"/>
      <x:c r="C146" s="44"/>
      <x:c r="D146" s="44"/>
      <x:c r="E146" s="44"/>
      <x:c r="F146" s="44"/>
      <x:c r="G146" s="44"/>
      <x:c r="H146" s="44"/>
      <x:c r="I146" s="44"/>
      <x:c r="J146" s="44"/>
      <x:c r="K146" s="44"/>
      <x:c r="L146" s="44"/>
      <x:c r="M146" s="44"/>
      <x:c r="N146" s="44"/>
      <x:c r="O146" s="44"/>
    </x:row>
    <x:row r="147">
      <x:c r="A147" s="44"/>
      <x:c r="B147" s="44"/>
      <x:c r="C147" s="44"/>
      <x:c r="D147" s="44"/>
      <x:c r="E147" s="44"/>
      <x:c r="F147" s="44"/>
      <x:c r="G147" s="44"/>
      <x:c r="H147" s="44"/>
      <x:c r="I147" s="44"/>
      <x:c r="J147" s="44"/>
      <x:c r="K147" s="44"/>
      <x:c r="L147" s="44"/>
      <x:c r="M147" s="44"/>
      <x:c r="N147" s="44"/>
      <x:c r="O147" s="44"/>
    </x:row>
    <x:row r="148">
      <x:c r="A148" s="44"/>
      <x:c r="B148" s="44"/>
      <x:c r="C148" s="44"/>
      <x:c r="D148" s="44"/>
      <x:c r="E148" s="44"/>
      <x:c r="F148" s="44"/>
      <x:c r="G148" s="44"/>
      <x:c r="H148" s="44"/>
      <x:c r="I148" s="44"/>
      <x:c r="J148" s="44"/>
      <x:c r="K148" s="44"/>
      <x:c r="L148" s="44"/>
      <x:c r="M148" s="44"/>
      <x:c r="N148" s="44"/>
      <x:c r="O148" s="44"/>
    </x:row>
    <x:row r="149">
      <x:c r="A149" s="44"/>
      <x:c r="B149" s="44"/>
      <x:c r="C149" s="44"/>
      <x:c r="D149" s="44"/>
      <x:c r="E149" s="44"/>
      <x:c r="F149" s="44"/>
      <x:c r="G149" s="44"/>
      <x:c r="H149" s="44"/>
      <x:c r="I149" s="44"/>
      <x:c r="J149" s="44"/>
      <x:c r="K149" s="44"/>
      <x:c r="L149" s="44"/>
      <x:c r="M149" s="44"/>
      <x:c r="N149" s="44"/>
      <x:c r="O149" s="44"/>
    </x:row>
    <x:row r="150">
      <x:c r="A150" s="44"/>
      <x:c r="B150" s="44"/>
      <x:c r="C150" s="44"/>
      <x:c r="D150" s="44"/>
      <x:c r="E150" s="44"/>
      <x:c r="F150" s="44"/>
      <x:c r="G150" s="44"/>
      <x:c r="H150" s="44"/>
      <x:c r="I150" s="44"/>
      <x:c r="J150" s="44"/>
      <x:c r="K150" s="44"/>
      <x:c r="L150" s="44"/>
      <x:c r="M150" s="44"/>
      <x:c r="N150" s="44"/>
      <x:c r="O150" s="44"/>
    </x:row>
    <x:row r="151">
      <x:c r="A151" s="44"/>
      <x:c r="B151" s="44"/>
      <x:c r="C151" s="44"/>
      <x:c r="D151" s="44"/>
      <x:c r="E151" s="44"/>
      <x:c r="F151" s="44"/>
      <x:c r="G151" s="44"/>
      <x:c r="H151" s="44"/>
      <x:c r="I151" s="44"/>
      <x:c r="J151" s="44"/>
      <x:c r="K151" s="44"/>
      <x:c r="L151" s="44"/>
      <x:c r="M151" s="44"/>
      <x:c r="N151" s="44"/>
      <x:c r="O151" s="44"/>
    </x:row>
    <x:row r="152">
      <x:c r="A152" s="44"/>
      <x:c r="B152" s="44"/>
      <x:c r="C152" s="44"/>
      <x:c r="D152" s="44"/>
      <x:c r="E152" s="44"/>
      <x:c r="F152" s="44"/>
      <x:c r="G152" s="44"/>
      <x:c r="H152" s="44"/>
      <x:c r="I152" s="44"/>
      <x:c r="J152" s="44"/>
      <x:c r="K152" s="44"/>
      <x:c r="L152" s="44"/>
      <x:c r="M152" s="44"/>
      <x:c r="N152" s="44"/>
      <x:c r="O152" s="44"/>
    </x:row>
    <x:row r="153">
      <x:c r="A153" s="44"/>
      <x:c r="B153" s="44"/>
      <x:c r="C153" s="44"/>
      <x:c r="D153" s="44"/>
      <x:c r="E153" s="44"/>
      <x:c r="F153" s="44"/>
      <x:c r="G153" s="44"/>
      <x:c r="H153" s="44"/>
      <x:c r="I153" s="44"/>
      <x:c r="J153" s="44"/>
      <x:c r="K153" s="44"/>
      <x:c r="L153" s="44"/>
      <x:c r="M153" s="44"/>
      <x:c r="N153" s="44"/>
      <x:c r="O153" s="44"/>
    </x:row>
    <x:row r="154">
      <x:c r="A154" s="44"/>
      <x:c r="B154" s="44"/>
      <x:c r="C154" s="44"/>
      <x:c r="D154" s="44"/>
      <x:c r="E154" s="44"/>
      <x:c r="F154" s="44"/>
      <x:c r="G154" s="44"/>
      <x:c r="H154" s="44"/>
      <x:c r="I154" s="44"/>
      <x:c r="J154" s="44"/>
      <x:c r="K154" s="44"/>
      <x:c r="L154" s="44"/>
      <x:c r="M154" s="44"/>
      <x:c r="N154" s="44"/>
      <x:c r="O154" s="44"/>
    </x:row>
    <x:row r="155">
      <x:c r="A155" s="44"/>
      <x:c r="B155" s="44"/>
      <x:c r="C155" s="44"/>
      <x:c r="D155" s="44"/>
      <x:c r="E155" s="44"/>
      <x:c r="F155" s="44"/>
      <x:c r="G155" s="44"/>
      <x:c r="H155" s="44"/>
      <x:c r="I155" s="44"/>
      <x:c r="J155" s="44"/>
      <x:c r="K155" s="44"/>
      <x:c r="L155" s="44"/>
      <x:c r="M155" s="44"/>
      <x:c r="N155" s="44"/>
      <x:c r="O155" s="44"/>
    </x:row>
    <x:row r="156">
      <x:c r="A156" s="44"/>
      <x:c r="B156" s="44"/>
      <x:c r="C156" s="44"/>
      <x:c r="D156" s="44"/>
      <x:c r="E156" s="44"/>
      <x:c r="F156" s="44"/>
      <x:c r="G156" s="44"/>
      <x:c r="H156" s="44"/>
      <x:c r="I156" s="44"/>
      <x:c r="J156" s="44"/>
      <x:c r="K156" s="44"/>
      <x:c r="L156" s="44"/>
      <x:c r="M156" s="44"/>
      <x:c r="N156" s="44"/>
      <x:c r="O156" s="44"/>
    </x:row>
    <x:row r="157">
      <x:c r="A157" s="44"/>
      <x:c r="B157" s="44"/>
      <x:c r="C157" s="44"/>
      <x:c r="D157" s="44"/>
      <x:c r="E157" s="44"/>
      <x:c r="F157" s="44"/>
      <x:c r="G157" s="44"/>
      <x:c r="H157" s="44"/>
      <x:c r="I157" s="44"/>
      <x:c r="J157" s="44"/>
      <x:c r="K157" s="44"/>
      <x:c r="L157" s="44"/>
      <x:c r="M157" s="44"/>
      <x:c r="N157" s="44"/>
      <x:c r="O157" s="44"/>
    </x:row>
    <x:row r="158">
      <x:c r="A158" s="44"/>
      <x:c r="B158" s="44"/>
      <x:c r="C158" s="44"/>
      <x:c r="D158" s="44"/>
      <x:c r="E158" s="44"/>
      <x:c r="F158" s="44"/>
      <x:c r="G158" s="44"/>
      <x:c r="H158" s="44"/>
      <x:c r="I158" s="44"/>
      <x:c r="J158" s="44"/>
      <x:c r="K158" s="44"/>
      <x:c r="L158" s="44"/>
      <x:c r="M158" s="44"/>
      <x:c r="N158" s="44"/>
      <x:c r="O158" s="44"/>
    </x:row>
    <x:row r="159">
      <x:c r="A159" s="44"/>
      <x:c r="B159" s="44"/>
      <x:c r="C159" s="44"/>
      <x:c r="D159" s="44"/>
      <x:c r="E159" s="44"/>
      <x:c r="F159" s="44"/>
      <x:c r="G159" s="44"/>
      <x:c r="H159" s="44"/>
      <x:c r="I159" s="44"/>
      <x:c r="J159" s="44"/>
      <x:c r="K159" s="44"/>
      <x:c r="L159" s="44"/>
      <x:c r="M159" s="44"/>
      <x:c r="N159" s="44"/>
      <x:c r="O159" s="44"/>
    </x:row>
    <x:row r="160">
      <x:c r="A160" s="44"/>
      <x:c r="B160" s="44"/>
      <x:c r="C160" s="44"/>
      <x:c r="D160" s="44"/>
      <x:c r="E160" s="44"/>
      <x:c r="F160" s="44"/>
      <x:c r="G160" s="44"/>
      <x:c r="H160" s="44"/>
      <x:c r="I160" s="44"/>
      <x:c r="J160" s="44"/>
      <x:c r="K160" s="44"/>
      <x:c r="L160" s="44"/>
      <x:c r="M160" s="44"/>
      <x:c r="N160" s="44"/>
      <x:c r="O160" s="44"/>
    </x:row>
    <x:row r="161">
      <x:c r="A161" s="44"/>
      <x:c r="B161" s="44"/>
      <x:c r="C161" s="44"/>
      <x:c r="D161" s="44"/>
      <x:c r="E161" s="44"/>
      <x:c r="F161" s="44"/>
      <x:c r="G161" s="44"/>
      <x:c r="H161" s="44"/>
      <x:c r="I161" s="44"/>
      <x:c r="J161" s="44"/>
      <x:c r="K161" s="44"/>
      <x:c r="L161" s="44"/>
      <x:c r="M161" s="44"/>
      <x:c r="N161" s="44"/>
      <x:c r="O161" s="44"/>
    </x:row>
    <x:row r="162">
      <x:c r="A162" s="44"/>
      <x:c r="B162" s="44"/>
      <x:c r="C162" s="44"/>
      <x:c r="D162" s="44"/>
      <x:c r="E162" s="44"/>
      <x:c r="F162" s="44"/>
      <x:c r="G162" s="44"/>
      <x:c r="H162" s="44"/>
      <x:c r="I162" s="44"/>
      <x:c r="J162" s="44"/>
      <x:c r="K162" s="44"/>
      <x:c r="L162" s="44"/>
      <x:c r="M162" s="44"/>
      <x:c r="N162" s="44"/>
      <x:c r="O162" s="44"/>
    </x:row>
    <x:row r="163">
      <x:c r="A163" s="44"/>
      <x:c r="B163" s="44"/>
      <x:c r="C163" s="44"/>
      <x:c r="D163" s="44"/>
      <x:c r="E163" s="44"/>
      <x:c r="F163" s="44"/>
      <x:c r="G163" s="44"/>
      <x:c r="H163" s="44"/>
      <x:c r="I163" s="44"/>
      <x:c r="J163" s="44"/>
      <x:c r="K163" s="44"/>
      <x:c r="L163" s="44"/>
      <x:c r="M163" s="44"/>
      <x:c r="N163" s="44"/>
      <x:c r="O163" s="44"/>
    </x:row>
    <x:row r="164">
      <x:c r="A164" s="44"/>
      <x:c r="B164" s="44"/>
      <x:c r="C164" s="44"/>
      <x:c r="D164" s="44"/>
      <x:c r="E164" s="44"/>
      <x:c r="F164" s="44"/>
      <x:c r="G164" s="44"/>
      <x:c r="H164" s="44"/>
      <x:c r="I164" s="44"/>
      <x:c r="J164" s="44"/>
      <x:c r="K164" s="44"/>
      <x:c r="L164" s="44"/>
      <x:c r="M164" s="44"/>
      <x:c r="N164" s="44"/>
      <x:c r="O164" s="44"/>
    </x:row>
    <x:row r="165">
      <x:c r="A165" s="44"/>
      <x:c r="B165" s="44"/>
      <x:c r="C165" s="44"/>
      <x:c r="D165" s="44"/>
      <x:c r="E165" s="44"/>
      <x:c r="F165" s="44"/>
      <x:c r="G165" s="44"/>
      <x:c r="H165" s="44"/>
      <x:c r="I165" s="44"/>
      <x:c r="J165" s="44"/>
      <x:c r="K165" s="44"/>
      <x:c r="L165" s="44"/>
      <x:c r="M165" s="44"/>
      <x:c r="N165" s="44"/>
      <x:c r="O165" s="44"/>
    </x:row>
    <x:row r="166">
      <x:c r="A166" s="44"/>
      <x:c r="B166" s="44"/>
      <x:c r="C166" s="44"/>
      <x:c r="D166" s="44"/>
      <x:c r="E166" s="44"/>
      <x:c r="F166" s="44"/>
      <x:c r="G166" s="44"/>
      <x:c r="H166" s="44"/>
      <x:c r="I166" s="44"/>
      <x:c r="J166" s="44"/>
      <x:c r="K166" s="44"/>
      <x:c r="L166" s="44"/>
      <x:c r="M166" s="44"/>
      <x:c r="N166" s="44"/>
      <x:c r="O166" s="44"/>
    </x:row>
    <x:row r="167">
      <x:c r="A167" s="44"/>
      <x:c r="B167" s="44"/>
      <x:c r="C167" s="44"/>
      <x:c r="D167" s="44"/>
      <x:c r="E167" s="44"/>
      <x:c r="F167" s="44"/>
      <x:c r="G167" s="44"/>
      <x:c r="H167" s="44"/>
      <x:c r="I167" s="44"/>
      <x:c r="J167" s="44"/>
      <x:c r="K167" s="44"/>
      <x:c r="L167" s="44"/>
      <x:c r="M167" s="44"/>
      <x:c r="N167" s="44"/>
      <x:c r="O167" s="44"/>
    </x:row>
    <x:row r="168">
      <x:c r="A168" s="44"/>
      <x:c r="B168" s="44"/>
      <x:c r="C168" s="44"/>
      <x:c r="D168" s="44"/>
      <x:c r="E168" s="44"/>
      <x:c r="F168" s="44"/>
      <x:c r="G168" s="44"/>
      <x:c r="H168" s="44"/>
      <x:c r="I168" s="44"/>
      <x:c r="J168" s="44"/>
      <x:c r="K168" s="44"/>
      <x:c r="L168" s="44"/>
      <x:c r="M168" s="44"/>
      <x:c r="N168" s="44"/>
      <x:c r="O168" s="44"/>
    </x:row>
    <x:row r="169">
      <x:c r="A169" s="44"/>
      <x:c r="B169" s="44"/>
      <x:c r="C169" s="44"/>
      <x:c r="D169" s="44"/>
      <x:c r="E169" s="44"/>
      <x:c r="F169" s="44"/>
      <x:c r="G169" s="44"/>
      <x:c r="H169" s="44"/>
      <x:c r="I169" s="44"/>
      <x:c r="J169" s="44"/>
      <x:c r="K169" s="44"/>
      <x:c r="L169" s="44"/>
      <x:c r="M169" s="44"/>
      <x:c r="N169" s="44"/>
      <x:c r="O169" s="44"/>
    </x:row>
    <x:row r="170">
      <x:c r="A170" s="44"/>
      <x:c r="B170" s="44"/>
      <x:c r="C170" s="44"/>
      <x:c r="D170" s="44"/>
      <x:c r="E170" s="44"/>
      <x:c r="F170" s="44"/>
      <x:c r="G170" s="44"/>
      <x:c r="H170" s="44"/>
      <x:c r="I170" s="44"/>
      <x:c r="J170" s="44"/>
      <x:c r="K170" s="44"/>
      <x:c r="L170" s="44"/>
      <x:c r="M170" s="44"/>
      <x:c r="N170" s="44"/>
      <x:c r="O170" s="44"/>
    </x:row>
    <x:row r="171">
      <x:c r="A171" s="44"/>
      <x:c r="B171" s="44"/>
      <x:c r="C171" s="44"/>
      <x:c r="D171" s="44"/>
      <x:c r="E171" s="44"/>
      <x:c r="F171" s="44"/>
      <x:c r="G171" s="44"/>
      <x:c r="H171" s="44"/>
      <x:c r="I171" s="44"/>
      <x:c r="J171" s="44"/>
      <x:c r="K171" s="44"/>
      <x:c r="L171" s="44"/>
      <x:c r="M171" s="44"/>
      <x:c r="N171" s="44"/>
      <x:c r="O171" s="44"/>
    </x:row>
    <x:row r="172">
      <x:c r="A172" s="44"/>
      <x:c r="B172" s="44"/>
      <x:c r="C172" s="44"/>
      <x:c r="D172" s="44"/>
      <x:c r="E172" s="44"/>
      <x:c r="F172" s="44"/>
      <x:c r="G172" s="44"/>
      <x:c r="H172" s="44"/>
      <x:c r="I172" s="44"/>
      <x:c r="J172" s="44"/>
      <x:c r="K172" s="44"/>
      <x:c r="L172" s="44"/>
      <x:c r="M172" s="44"/>
      <x:c r="N172" s="44"/>
      <x:c r="O172" s="44"/>
    </x:row>
    <x:row r="173">
      <x:c r="A173" s="44"/>
      <x:c r="B173" s="44"/>
      <x:c r="C173" s="44"/>
      <x:c r="D173" s="44"/>
      <x:c r="E173" s="44"/>
      <x:c r="F173" s="44"/>
      <x:c r="G173" s="44"/>
      <x:c r="H173" s="44"/>
      <x:c r="I173" s="44"/>
      <x:c r="J173" s="44"/>
      <x:c r="K173" s="44"/>
      <x:c r="L173" s="44"/>
      <x:c r="M173" s="44"/>
      <x:c r="N173" s="44"/>
      <x:c r="O173" s="44"/>
    </x:row>
    <x:row r="174">
      <x:c r="A174" s="44"/>
      <x:c r="B174" s="44"/>
      <x:c r="C174" s="44"/>
      <x:c r="D174" s="44"/>
      <x:c r="E174" s="44"/>
      <x:c r="F174" s="44"/>
      <x:c r="G174" s="44"/>
      <x:c r="H174" s="44"/>
      <x:c r="I174" s="44"/>
      <x:c r="J174" s="44"/>
      <x:c r="K174" s="44"/>
      <x:c r="L174" s="44"/>
      <x:c r="M174" s="44"/>
      <x:c r="N174" s="44"/>
      <x:c r="O174" s="44"/>
    </x:row>
    <x:row r="175">
      <x:c r="A175" s="44"/>
      <x:c r="B175" s="44"/>
      <x:c r="C175" s="44"/>
      <x:c r="D175" s="44"/>
      <x:c r="E175" s="44"/>
      <x:c r="F175" s="44"/>
      <x:c r="G175" s="44"/>
      <x:c r="H175" s="44"/>
      <x:c r="I175" s="44"/>
      <x:c r="J175" s="44"/>
      <x:c r="K175" s="44"/>
      <x:c r="L175" s="44"/>
      <x:c r="M175" s="44"/>
      <x:c r="N175" s="44"/>
      <x:c r="O175" s="44"/>
    </x:row>
    <x:row r="176">
      <x:c r="A176" s="44"/>
      <x:c r="B176" s="44"/>
      <x:c r="C176" s="44"/>
      <x:c r="D176" s="44"/>
      <x:c r="E176" s="44"/>
      <x:c r="F176" s="44"/>
      <x:c r="G176" s="44"/>
      <x:c r="H176" s="44"/>
      <x:c r="I176" s="44"/>
      <x:c r="J176" s="44"/>
      <x:c r="K176" s="44"/>
      <x:c r="L176" s="44"/>
      <x:c r="M176" s="44"/>
      <x:c r="N176" s="44"/>
      <x:c r="O176" s="44"/>
    </x:row>
    <x:row r="177">
      <x:c r="A177" s="44"/>
      <x:c r="B177" s="44"/>
      <x:c r="C177" s="44"/>
      <x:c r="D177" s="44"/>
      <x:c r="E177" s="44"/>
      <x:c r="F177" s="44"/>
      <x:c r="G177" s="44"/>
      <x:c r="H177" s="44"/>
      <x:c r="I177" s="44"/>
      <x:c r="J177" s="44"/>
      <x:c r="K177" s="44"/>
      <x:c r="L177" s="44"/>
      <x:c r="M177" s="44"/>
      <x:c r="N177" s="44"/>
      <x:c r="O177" s="44"/>
    </x:row>
    <x:row r="178">
      <x:c r="A178" s="44"/>
      <x:c r="B178" s="44"/>
      <x:c r="C178" s="44"/>
      <x:c r="D178" s="44"/>
      <x:c r="E178" s="44"/>
      <x:c r="F178" s="44"/>
      <x:c r="G178" s="44"/>
      <x:c r="H178" s="44"/>
      <x:c r="I178" s="44"/>
      <x:c r="J178" s="44"/>
      <x:c r="K178" s="44"/>
      <x:c r="L178" s="44"/>
      <x:c r="M178" s="44"/>
      <x:c r="N178" s="44"/>
      <x:c r="O178" s="44"/>
    </x:row>
    <x:row r="179">
      <x:c r="A179" s="44"/>
      <x:c r="B179" s="44"/>
      <x:c r="C179" s="44"/>
      <x:c r="D179" s="44"/>
      <x:c r="E179" s="44"/>
      <x:c r="F179" s="44"/>
      <x:c r="G179" s="44"/>
      <x:c r="H179" s="44"/>
      <x:c r="I179" s="44"/>
      <x:c r="J179" s="44"/>
      <x:c r="K179" s="44"/>
      <x:c r="L179" s="44"/>
      <x:c r="M179" s="44"/>
      <x:c r="N179" s="44"/>
      <x:c r="O179" s="44"/>
    </x:row>
    <x:row r="180">
      <x:c r="A180" s="44"/>
      <x:c r="B180" s="44"/>
      <x:c r="C180" s="44"/>
      <x:c r="D180" s="44"/>
      <x:c r="E180" s="44"/>
      <x:c r="F180" s="44"/>
      <x:c r="G180" s="44"/>
      <x:c r="H180" s="44"/>
      <x:c r="I180" s="44"/>
      <x:c r="J180" s="44"/>
      <x:c r="K180" s="44"/>
      <x:c r="L180" s="44"/>
      <x:c r="M180" s="44"/>
      <x:c r="N180" s="44"/>
      <x:c r="O180" s="44"/>
    </x:row>
    <x:row r="181">
      <x:c r="A181" s="44"/>
      <x:c r="B181" s="44"/>
      <x:c r="C181" s="44"/>
      <x:c r="D181" s="44"/>
      <x:c r="E181" s="44"/>
      <x:c r="F181" s="44"/>
      <x:c r="G181" s="44"/>
      <x:c r="H181" s="44"/>
      <x:c r="I181" s="44"/>
      <x:c r="J181" s="44"/>
      <x:c r="K181" s="44"/>
      <x:c r="L181" s="44"/>
      <x:c r="M181" s="44"/>
      <x:c r="N181" s="44"/>
      <x:c r="O181" s="44"/>
    </x:row>
    <x:row r="182">
      <x:c r="A182" s="44"/>
      <x:c r="B182" s="44"/>
      <x:c r="C182" s="44"/>
      <x:c r="D182" s="44"/>
      <x:c r="E182" s="44"/>
      <x:c r="F182" s="44"/>
      <x:c r="G182" s="44"/>
      <x:c r="H182" s="44"/>
      <x:c r="I182" s="44"/>
      <x:c r="J182" s="44"/>
      <x:c r="K182" s="44"/>
      <x:c r="L182" s="44"/>
      <x:c r="M182" s="44"/>
      <x:c r="N182" s="44"/>
      <x:c r="O182" s="44"/>
    </x:row>
    <x:row r="183">
      <x:c r="A183" s="44"/>
      <x:c r="B183" s="44"/>
      <x:c r="C183" s="44"/>
      <x:c r="D183" s="44"/>
      <x:c r="E183" s="44"/>
      <x:c r="F183" s="44"/>
      <x:c r="G183" s="44"/>
      <x:c r="H183" s="44"/>
      <x:c r="I183" s="44"/>
      <x:c r="J183" s="44"/>
      <x:c r="K183" s="44"/>
      <x:c r="L183" s="44"/>
      <x:c r="M183" s="44"/>
      <x:c r="N183" s="44"/>
      <x:c r="O183" s="44"/>
    </x:row>
    <x:row r="184">
      <x:c r="A184" s="44"/>
      <x:c r="B184" s="44"/>
      <x:c r="C184" s="44"/>
      <x:c r="D184" s="44"/>
      <x:c r="E184" s="44"/>
      <x:c r="F184" s="44"/>
      <x:c r="G184" s="44"/>
      <x:c r="H184" s="44"/>
      <x:c r="I184" s="44"/>
      <x:c r="J184" s="44"/>
      <x:c r="K184" s="44"/>
      <x:c r="L184" s="44"/>
      <x:c r="M184" s="44"/>
      <x:c r="N184" s="44"/>
      <x:c r="O184" s="44"/>
    </x:row>
    <x:row r="185">
      <x:c r="A185" s="44"/>
      <x:c r="B185" s="44"/>
      <x:c r="C185" s="44"/>
      <x:c r="D185" s="44"/>
      <x:c r="E185" s="44"/>
      <x:c r="F185" s="44"/>
      <x:c r="G185" s="44"/>
      <x:c r="H185" s="44"/>
      <x:c r="I185" s="44"/>
      <x:c r="J185" s="44"/>
      <x:c r="K185" s="44"/>
      <x:c r="L185" s="44"/>
      <x:c r="M185" s="44"/>
      <x:c r="N185" s="44"/>
      <x:c r="O185" s="44"/>
    </x:row>
    <x:row r="186">
      <x:c r="A186" s="44"/>
      <x:c r="B186" s="44"/>
      <x:c r="C186" s="44"/>
      <x:c r="D186" s="44"/>
      <x:c r="E186" s="44"/>
      <x:c r="F186" s="44"/>
      <x:c r="G186" s="44"/>
      <x:c r="H186" s="44"/>
      <x:c r="I186" s="44"/>
      <x:c r="J186" s="44"/>
      <x:c r="K186" s="44"/>
      <x:c r="L186" s="44"/>
      <x:c r="M186" s="44"/>
      <x:c r="N186" s="44"/>
      <x:c r="O186" s="44"/>
    </x:row>
    <x:row r="187">
      <x:c r="A187" s="44"/>
      <x:c r="B187" s="44"/>
      <x:c r="C187" s="44"/>
      <x:c r="D187" s="44"/>
      <x:c r="E187" s="44"/>
      <x:c r="F187" s="44"/>
      <x:c r="G187" s="44"/>
      <x:c r="H187" s="44"/>
      <x:c r="I187" s="44"/>
      <x:c r="J187" s="44"/>
      <x:c r="K187" s="44"/>
      <x:c r="L187" s="44"/>
      <x:c r="M187" s="44"/>
      <x:c r="N187" s="44"/>
      <x:c r="O187" s="44"/>
    </x:row>
    <x:row r="188">
      <x:c r="A188" s="44"/>
      <x:c r="B188" s="44"/>
      <x:c r="C188" s="44"/>
      <x:c r="D188" s="44"/>
      <x:c r="E188" s="44"/>
      <x:c r="F188" s="44"/>
      <x:c r="G188" s="44"/>
      <x:c r="H188" s="44"/>
      <x:c r="I188" s="44"/>
      <x:c r="J188" s="44"/>
      <x:c r="K188" s="44"/>
      <x:c r="L188" s="44"/>
      <x:c r="M188" s="44"/>
      <x:c r="N188" s="44"/>
      <x:c r="O188" s="44"/>
    </x:row>
    <x:row r="189">
      <x:c r="A189" s="44"/>
      <x:c r="B189" s="44"/>
      <x:c r="C189" s="44"/>
      <x:c r="D189" s="44"/>
      <x:c r="E189" s="44"/>
      <x:c r="F189" s="44"/>
      <x:c r="G189" s="44"/>
      <x:c r="H189" s="44"/>
      <x:c r="I189" s="44"/>
      <x:c r="J189" s="44"/>
      <x:c r="K189" s="44"/>
      <x:c r="L189" s="44"/>
      <x:c r="M189" s="44"/>
      <x:c r="N189" s="44"/>
      <x:c r="O189" s="44"/>
    </x:row>
    <x:row r="190">
      <x:c r="A190" s="44"/>
      <x:c r="B190" s="44"/>
      <x:c r="C190" s="44"/>
      <x:c r="D190" s="44"/>
      <x:c r="E190" s="44"/>
      <x:c r="F190" s="44"/>
      <x:c r="G190" s="44"/>
      <x:c r="H190" s="44"/>
      <x:c r="I190" s="44"/>
      <x:c r="J190" s="44"/>
      <x:c r="K190" s="44"/>
      <x:c r="L190" s="44"/>
      <x:c r="M190" s="44"/>
      <x:c r="N190" s="44"/>
      <x:c r="O190" s="44"/>
    </x:row>
    <x:row r="191">
      <x:c r="A191" s="44"/>
      <x:c r="B191" s="44"/>
      <x:c r="C191" s="44"/>
      <x:c r="D191" s="44"/>
      <x:c r="E191" s="44"/>
      <x:c r="F191" s="44"/>
      <x:c r="G191" s="44"/>
      <x:c r="H191" s="44"/>
      <x:c r="I191" s="44"/>
      <x:c r="J191" s="44"/>
      <x:c r="K191" s="44"/>
      <x:c r="L191" s="44"/>
      <x:c r="M191" s="44"/>
      <x:c r="N191" s="44"/>
      <x:c r="O191" s="44"/>
    </x:row>
    <x:row r="192">
      <x:c r="A192" s="44"/>
      <x:c r="B192" s="44"/>
      <x:c r="C192" s="44"/>
      <x:c r="D192" s="44"/>
      <x:c r="E192" s="44"/>
      <x:c r="F192" s="44"/>
      <x:c r="G192" s="44"/>
      <x:c r="H192" s="44"/>
      <x:c r="I192" s="44"/>
      <x:c r="J192" s="44"/>
      <x:c r="K192" s="44"/>
      <x:c r="L192" s="44"/>
      <x:c r="M192" s="44"/>
      <x:c r="N192" s="44"/>
      <x:c r="O192" s="44"/>
    </x:row>
    <x:row r="193">
      <x:c r="A193" s="44"/>
      <x:c r="B193" s="44"/>
      <x:c r="C193" s="44"/>
      <x:c r="D193" s="44"/>
      <x:c r="E193" s="44"/>
      <x:c r="F193" s="44"/>
      <x:c r="G193" s="44"/>
      <x:c r="H193" s="44"/>
      <x:c r="I193" s="44"/>
      <x:c r="J193" s="44"/>
      <x:c r="K193" s="44"/>
      <x:c r="L193" s="44"/>
      <x:c r="M193" s="44"/>
      <x:c r="N193" s="44"/>
      <x:c r="O193" s="44"/>
    </x:row>
    <x:row r="194">
      <x:c r="A194" s="44"/>
      <x:c r="B194" s="44"/>
      <x:c r="C194" s="44"/>
      <x:c r="D194" s="44"/>
      <x:c r="E194" s="44"/>
      <x:c r="F194" s="44"/>
      <x:c r="G194" s="44"/>
      <x:c r="H194" s="44"/>
      <x:c r="I194" s="44"/>
      <x:c r="J194" s="44"/>
      <x:c r="K194" s="44"/>
      <x:c r="L194" s="44"/>
      <x:c r="M194" s="44"/>
      <x:c r="N194" s="44"/>
      <x:c r="O194" s="44"/>
    </x:row>
    <x:row r="195">
      <x:c r="A195" s="44"/>
      <x:c r="B195" s="44"/>
      <x:c r="C195" s="44"/>
      <x:c r="D195" s="44"/>
      <x:c r="E195" s="44"/>
      <x:c r="F195" s="44"/>
      <x:c r="G195" s="44"/>
      <x:c r="H195" s="44"/>
      <x:c r="I195" s="44"/>
      <x:c r="J195" s="44"/>
      <x:c r="K195" s="44"/>
      <x:c r="L195" s="44"/>
      <x:c r="M195" s="44"/>
      <x:c r="N195" s="44"/>
      <x:c r="O195" s="44"/>
    </x:row>
    <x:row r="196">
      <x:c r="A196" s="44"/>
      <x:c r="B196" s="44"/>
      <x:c r="C196" s="44"/>
      <x:c r="D196" s="44"/>
      <x:c r="E196" s="44"/>
      <x:c r="F196" s="44"/>
      <x:c r="G196" s="44"/>
      <x:c r="H196" s="44"/>
      <x:c r="I196" s="44"/>
      <x:c r="J196" s="44"/>
      <x:c r="K196" s="44"/>
      <x:c r="L196" s="44"/>
      <x:c r="M196" s="44"/>
      <x:c r="N196" s="44"/>
      <x:c r="O196" s="44"/>
    </x:row>
    <x:row r="197">
      <x:c r="A197" s="44"/>
      <x:c r="B197" s="44"/>
      <x:c r="C197" s="44"/>
      <x:c r="D197" s="44"/>
      <x:c r="E197" s="44"/>
      <x:c r="F197" s="44"/>
      <x:c r="G197" s="44"/>
      <x:c r="H197" s="44"/>
      <x:c r="I197" s="44"/>
      <x:c r="J197" s="44"/>
      <x:c r="K197" s="44"/>
      <x:c r="L197" s="44"/>
      <x:c r="M197" s="44"/>
      <x:c r="N197" s="44"/>
      <x:c r="O197" s="44"/>
    </x:row>
    <x:row r="198">
      <x:c r="A198" s="44"/>
      <x:c r="B198" s="44"/>
      <x:c r="C198" s="44"/>
      <x:c r="D198" s="44"/>
      <x:c r="E198" s="44"/>
      <x:c r="F198" s="44"/>
      <x:c r="G198" s="44"/>
      <x:c r="H198" s="44"/>
      <x:c r="I198" s="44"/>
      <x:c r="J198" s="44"/>
      <x:c r="K198" s="44"/>
      <x:c r="L198" s="44"/>
      <x:c r="M198" s="44"/>
      <x:c r="N198" s="44"/>
      <x:c r="O198" s="44"/>
    </x:row>
    <x:row r="199">
      <x:c r="A199" s="44"/>
      <x:c r="B199" s="44"/>
      <x:c r="C199" s="44"/>
      <x:c r="D199" s="44"/>
      <x:c r="E199" s="44"/>
      <x:c r="F199" s="44"/>
      <x:c r="G199" s="44"/>
      <x:c r="H199" s="44"/>
      <x:c r="I199" s="44"/>
      <x:c r="J199" s="44"/>
      <x:c r="K199" s="44"/>
      <x:c r="L199" s="44"/>
      <x:c r="M199" s="44"/>
      <x:c r="N199" s="44"/>
      <x:c r="O199" s="44"/>
    </x:row>
    <x:row r="200">
      <x:c r="A200" s="44"/>
      <x:c r="B200" s="44"/>
      <x:c r="C200" s="44"/>
      <x:c r="D200" s="44"/>
      <x:c r="E200" s="44"/>
      <x:c r="F200" s="44"/>
      <x:c r="G200" s="44"/>
      <x:c r="H200" s="44"/>
      <x:c r="I200" s="44"/>
      <x:c r="J200" s="44"/>
      <x:c r="K200" s="44"/>
      <x:c r="L200" s="44"/>
      <x:c r="M200" s="44"/>
      <x:c r="N200" s="44"/>
      <x:c r="O200" s="44"/>
    </x:row>
    <x:row r="201">
      <x:c r="A201" s="44"/>
      <x:c r="B201" s="44"/>
      <x:c r="C201" s="44"/>
      <x:c r="D201" s="44"/>
      <x:c r="E201" s="44"/>
      <x:c r="F201" s="44"/>
      <x:c r="G201" s="44"/>
      <x:c r="H201" s="44"/>
      <x:c r="I201" s="44"/>
      <x:c r="J201" s="44"/>
      <x:c r="K201" s="44"/>
      <x:c r="L201" s="44"/>
      <x:c r="M201" s="44"/>
      <x:c r="N201" s="44"/>
      <x:c r="O201" s="44"/>
    </x:row>
    <x:row r="202">
      <x:c r="A202" s="44"/>
      <x:c r="B202" s="44"/>
      <x:c r="C202" s="44"/>
      <x:c r="D202" s="44"/>
      <x:c r="E202" s="44"/>
      <x:c r="F202" s="44"/>
      <x:c r="G202" s="44"/>
      <x:c r="H202" s="44"/>
      <x:c r="I202" s="44"/>
      <x:c r="J202" s="44"/>
      <x:c r="K202" s="44"/>
      <x:c r="L202" s="44"/>
      <x:c r="M202" s="44"/>
      <x:c r="N202" s="44"/>
      <x:c r="O202" s="44"/>
    </x:row>
    <x:row r="203">
      <x:c r="A203" s="44"/>
      <x:c r="B203" s="44"/>
      <x:c r="C203" s="44"/>
      <x:c r="D203" s="44"/>
      <x:c r="E203" s="44"/>
      <x:c r="F203" s="44"/>
      <x:c r="G203" s="44"/>
      <x:c r="H203" s="44"/>
      <x:c r="I203" s="44"/>
      <x:c r="J203" s="44"/>
      <x:c r="K203" s="44"/>
      <x:c r="L203" s="44"/>
      <x:c r="M203" s="44"/>
      <x:c r="N203" s="44"/>
      <x:c r="O203" s="44"/>
    </x:row>
    <x:row r="204">
      <x:c r="A204" s="44"/>
      <x:c r="B204" s="44"/>
      <x:c r="C204" s="44"/>
      <x:c r="D204" s="44"/>
      <x:c r="E204" s="44"/>
      <x:c r="F204" s="44"/>
      <x:c r="G204" s="44"/>
      <x:c r="H204" s="44"/>
      <x:c r="I204" s="44"/>
      <x:c r="J204" s="44"/>
      <x:c r="K204" s="44"/>
      <x:c r="L204" s="44"/>
      <x:c r="M204" s="44"/>
      <x:c r="N204" s="44"/>
      <x:c r="O204" s="44"/>
    </x:row>
    <x:row r="205">
      <x:c r="A205" s="44"/>
      <x:c r="B205" s="44"/>
      <x:c r="C205" s="44"/>
      <x:c r="D205" s="44"/>
      <x:c r="E205" s="44"/>
      <x:c r="F205" s="44"/>
      <x:c r="G205" s="44"/>
      <x:c r="H205" s="44"/>
      <x:c r="I205" s="44"/>
      <x:c r="J205" s="44"/>
      <x:c r="K205" s="44"/>
      <x:c r="L205" s="44"/>
      <x:c r="M205" s="44"/>
      <x:c r="N205" s="44"/>
      <x:c r="O205" s="44"/>
    </x:row>
    <x:row r="206">
      <x:c r="A206" s="44"/>
      <x:c r="B206" s="44"/>
      <x:c r="C206" s="44"/>
      <x:c r="D206" s="44"/>
      <x:c r="E206" s="44"/>
      <x:c r="F206" s="44"/>
      <x:c r="G206" s="44"/>
      <x:c r="H206" s="44"/>
      <x:c r="I206" s="44"/>
      <x:c r="J206" s="44"/>
      <x:c r="K206" s="44"/>
      <x:c r="L206" s="44"/>
      <x:c r="M206" s="44"/>
      <x:c r="N206" s="44"/>
      <x:c r="O206" s="44"/>
    </x:row>
    <x:row r="207">
      <x:c r="A207" s="44"/>
      <x:c r="B207" s="44"/>
      <x:c r="C207" s="44"/>
      <x:c r="D207" s="44"/>
      <x:c r="E207" s="44"/>
      <x:c r="F207" s="44"/>
      <x:c r="G207" s="44"/>
      <x:c r="H207" s="44"/>
      <x:c r="I207" s="44"/>
      <x:c r="J207" s="44"/>
      <x:c r="K207" s="44"/>
      <x:c r="L207" s="44"/>
      <x:c r="M207" s="44"/>
      <x:c r="N207" s="44"/>
      <x:c r="O207" s="44"/>
    </x:row>
    <x:row r="208">
      <x:c r="A208" s="44"/>
      <x:c r="B208" s="44"/>
      <x:c r="C208" s="44"/>
      <x:c r="D208" s="44"/>
      <x:c r="E208" s="44"/>
      <x:c r="F208" s="44"/>
      <x:c r="G208" s="44"/>
      <x:c r="H208" s="44"/>
      <x:c r="I208" s="44"/>
      <x:c r="J208" s="44"/>
      <x:c r="K208" s="44"/>
      <x:c r="L208" s="44"/>
      <x:c r="M208" s="44"/>
      <x:c r="N208" s="44"/>
      <x:c r="O208" s="44"/>
    </x:row>
    <x:row r="209">
      <x:c r="A209" s="44"/>
      <x:c r="B209" s="44"/>
      <x:c r="C209" s="44"/>
      <x:c r="D209" s="44"/>
      <x:c r="E209" s="44"/>
      <x:c r="F209" s="44"/>
      <x:c r="G209" s="44"/>
      <x:c r="H209" s="44"/>
      <x:c r="I209" s="44"/>
      <x:c r="J209" s="44"/>
      <x:c r="K209" s="44"/>
      <x:c r="L209" s="44"/>
      <x:c r="M209" s="44"/>
      <x:c r="N209" s="44"/>
      <x:c r="O209" s="44"/>
    </x:row>
    <x:row r="210">
      <x:c r="A210" s="44"/>
      <x:c r="B210" s="44"/>
      <x:c r="C210" s="44"/>
      <x:c r="D210" s="44"/>
      <x:c r="E210" s="44"/>
      <x:c r="F210" s="44"/>
      <x:c r="G210" s="44"/>
      <x:c r="H210" s="44"/>
      <x:c r="I210" s="44"/>
      <x:c r="J210" s="44"/>
      <x:c r="K210" s="44"/>
      <x:c r="L210" s="44"/>
      <x:c r="M210" s="44"/>
      <x:c r="N210" s="44"/>
      <x:c r="O210" s="44"/>
    </x:row>
    <x:row r="211">
      <x:c r="A211" s="44"/>
      <x:c r="B211" s="44"/>
      <x:c r="C211" s="44"/>
      <x:c r="D211" s="44"/>
      <x:c r="E211" s="44"/>
      <x:c r="F211" s="44"/>
      <x:c r="G211" s="44"/>
      <x:c r="H211" s="44"/>
      <x:c r="I211" s="44"/>
      <x:c r="J211" s="44"/>
      <x:c r="K211" s="44"/>
      <x:c r="L211" s="44"/>
      <x:c r="M211" s="44"/>
      <x:c r="N211" s="44"/>
      <x:c r="O211" s="44"/>
    </x:row>
    <x:row r="212">
      <x:c r="A212" s="44"/>
      <x:c r="B212" s="44"/>
      <x:c r="C212" s="44"/>
      <x:c r="D212" s="44"/>
      <x:c r="E212" s="44"/>
      <x:c r="F212" s="44"/>
      <x:c r="G212" s="44"/>
      <x:c r="H212" s="44"/>
      <x:c r="I212" s="44"/>
      <x:c r="J212" s="44"/>
      <x:c r="K212" s="44"/>
      <x:c r="L212" s="44"/>
      <x:c r="M212" s="44"/>
      <x:c r="N212" s="44"/>
      <x:c r="O212" s="44"/>
    </x:row>
    <x:row r="213">
      <x:c r="A213" s="44"/>
      <x:c r="B213" s="44"/>
      <x:c r="C213" s="44"/>
      <x:c r="D213" s="44"/>
      <x:c r="E213" s="44"/>
      <x:c r="F213" s="44"/>
      <x:c r="G213" s="44"/>
      <x:c r="H213" s="44"/>
      <x:c r="I213" s="44"/>
      <x:c r="J213" s="44"/>
      <x:c r="K213" s="44"/>
      <x:c r="L213" s="44"/>
      <x:c r="M213" s="44"/>
      <x:c r="N213" s="44"/>
      <x:c r="O213" s="44"/>
    </x:row>
    <x:row r="214">
      <x:c r="A214" s="44"/>
      <x:c r="B214" s="44"/>
      <x:c r="C214" s="44"/>
      <x:c r="D214" s="44"/>
      <x:c r="E214" s="44"/>
      <x:c r="F214" s="44"/>
      <x:c r="G214" s="44"/>
      <x:c r="H214" s="44"/>
      <x:c r="I214" s="44"/>
      <x:c r="J214" s="44"/>
      <x:c r="K214" s="44"/>
      <x:c r="L214" s="44"/>
      <x:c r="M214" s="44"/>
      <x:c r="N214" s="44"/>
      <x:c r="O214" s="44"/>
    </x:row>
    <x:row r="215">
      <x:c r="A215" s="44"/>
      <x:c r="B215" s="44"/>
      <x:c r="C215" s="44"/>
      <x:c r="D215" s="44"/>
      <x:c r="E215" s="44"/>
      <x:c r="F215" s="44"/>
      <x:c r="G215" s="44"/>
      <x:c r="H215" s="44"/>
      <x:c r="I215" s="44"/>
      <x:c r="J215" s="44"/>
      <x:c r="K215" s="44"/>
      <x:c r="L215" s="44"/>
      <x:c r="M215" s="44"/>
      <x:c r="N215" s="44"/>
      <x:c r="O215" s="44"/>
    </x:row>
    <x:row r="216">
      <x:c r="A216" s="44"/>
      <x:c r="B216" s="44"/>
      <x:c r="C216" s="44"/>
      <x:c r="D216" s="44"/>
      <x:c r="E216" s="44"/>
      <x:c r="F216" s="44"/>
      <x:c r="G216" s="44"/>
      <x:c r="H216" s="44"/>
      <x:c r="I216" s="44"/>
      <x:c r="J216" s="44"/>
      <x:c r="K216" s="44"/>
      <x:c r="L216" s="44"/>
      <x:c r="M216" s="44"/>
      <x:c r="N216" s="44"/>
      <x:c r="O216" s="44"/>
    </x:row>
    <x:row r="217">
      <x:c r="A217" s="44"/>
      <x:c r="B217" s="44"/>
      <x:c r="C217" s="44"/>
      <x:c r="D217" s="44"/>
      <x:c r="E217" s="44"/>
      <x:c r="F217" s="44"/>
      <x:c r="G217" s="44"/>
      <x:c r="H217" s="44"/>
      <x:c r="I217" s="44"/>
      <x:c r="J217" s="44"/>
      <x:c r="K217" s="44"/>
      <x:c r="L217" s="44"/>
      <x:c r="M217" s="44"/>
      <x:c r="N217" s="44"/>
      <x:c r="O217" s="44"/>
    </x:row>
    <x:row r="218">
      <x:c r="A218" s="44"/>
      <x:c r="B218" s="44"/>
      <x:c r="C218" s="44"/>
      <x:c r="D218" s="44"/>
      <x:c r="E218" s="44"/>
      <x:c r="F218" s="44"/>
      <x:c r="G218" s="44"/>
      <x:c r="H218" s="44"/>
      <x:c r="I218" s="44"/>
      <x:c r="J218" s="44"/>
      <x:c r="K218" s="44"/>
      <x:c r="L218" s="44"/>
      <x:c r="M218" s="44"/>
      <x:c r="N218" s="44"/>
      <x:c r="O218" s="44"/>
    </x:row>
    <x:row r="219">
      <x:c r="A219" s="44"/>
      <x:c r="B219" s="44"/>
      <x:c r="C219" s="44"/>
      <x:c r="D219" s="44"/>
      <x:c r="E219" s="44"/>
      <x:c r="F219" s="44"/>
      <x:c r="G219" s="44"/>
      <x:c r="H219" s="44"/>
      <x:c r="I219" s="44"/>
      <x:c r="J219" s="44"/>
      <x:c r="K219" s="44"/>
      <x:c r="L219" s="44"/>
      <x:c r="M219" s="44"/>
      <x:c r="N219" s="44"/>
      <x:c r="O219" s="44"/>
    </x:row>
    <x:row r="220">
      <x:c r="A220" s="44"/>
      <x:c r="B220" s="44"/>
      <x:c r="C220" s="44"/>
      <x:c r="D220" s="44"/>
      <x:c r="E220" s="44"/>
      <x:c r="F220" s="44"/>
      <x:c r="G220" s="44"/>
      <x:c r="H220" s="44"/>
      <x:c r="I220" s="44"/>
      <x:c r="J220" s="44"/>
      <x:c r="K220" s="44"/>
      <x:c r="L220" s="44"/>
      <x:c r="M220" s="44"/>
      <x:c r="N220" s="44"/>
      <x:c r="O220" s="44"/>
    </x:row>
    <x:row r="221">
      <x:c r="A221" s="44"/>
      <x:c r="B221" s="44"/>
      <x:c r="C221" s="44"/>
      <x:c r="D221" s="44"/>
      <x:c r="E221" s="44"/>
      <x:c r="F221" s="44"/>
      <x:c r="G221" s="44"/>
      <x:c r="H221" s="44"/>
      <x:c r="I221" s="44"/>
      <x:c r="J221" s="44"/>
      <x:c r="K221" s="44"/>
      <x:c r="L221" s="44"/>
      <x:c r="M221" s="44"/>
      <x:c r="N221" s="44"/>
      <x:c r="O221" s="44"/>
    </x:row>
    <x:row r="222">
      <x:c r="A222" s="44"/>
      <x:c r="B222" s="44"/>
      <x:c r="C222" s="44"/>
      <x:c r="D222" s="44"/>
      <x:c r="E222" s="44"/>
      <x:c r="F222" s="44"/>
      <x:c r="G222" s="44"/>
      <x:c r="H222" s="44"/>
      <x:c r="I222" s="44"/>
      <x:c r="J222" s="44"/>
      <x:c r="K222" s="44"/>
      <x:c r="L222" s="44"/>
      <x:c r="M222" s="44"/>
      <x:c r="N222" s="44"/>
      <x:c r="O222" s="44"/>
    </x:row>
    <x:row r="223">
      <x:c r="A223" s="44"/>
      <x:c r="B223" s="44"/>
      <x:c r="C223" s="44"/>
      <x:c r="D223" s="44"/>
      <x:c r="E223" s="44"/>
      <x:c r="F223" s="44"/>
      <x:c r="G223" s="44"/>
      <x:c r="H223" s="44"/>
      <x:c r="I223" s="44"/>
      <x:c r="J223" s="44"/>
      <x:c r="K223" s="44"/>
      <x:c r="L223" s="44"/>
      <x:c r="M223" s="44"/>
      <x:c r="N223" s="44"/>
      <x:c r="O223" s="44"/>
    </x:row>
    <x:row r="224">
      <x:c r="A224" s="44"/>
      <x:c r="B224" s="44"/>
      <x:c r="C224" s="44"/>
      <x:c r="D224" s="44"/>
      <x:c r="E224" s="44"/>
      <x:c r="F224" s="44"/>
      <x:c r="G224" s="44"/>
      <x:c r="H224" s="44"/>
      <x:c r="I224" s="44"/>
      <x:c r="J224" s="44"/>
      <x:c r="K224" s="44"/>
      <x:c r="L224" s="44"/>
      <x:c r="M224" s="44"/>
      <x:c r="N224" s="44"/>
      <x:c r="O224" s="44"/>
    </x:row>
    <x:row r="225">
      <x:c r="A225" s="44"/>
      <x:c r="B225" s="44"/>
      <x:c r="C225" s="44"/>
      <x:c r="D225" s="44"/>
      <x:c r="E225" s="44"/>
      <x:c r="F225" s="44"/>
      <x:c r="G225" s="44"/>
      <x:c r="H225" s="44"/>
      <x:c r="I225" s="44"/>
      <x:c r="J225" s="44"/>
      <x:c r="K225" s="44"/>
      <x:c r="L225" s="44"/>
      <x:c r="M225" s="44"/>
      <x:c r="N225" s="44"/>
      <x:c r="O225" s="44"/>
    </x:row>
    <x:row r="226">
      <x:c r="A226" s="44"/>
      <x:c r="B226" s="44"/>
      <x:c r="C226" s="44"/>
      <x:c r="D226" s="44"/>
      <x:c r="E226" s="44"/>
      <x:c r="F226" s="44"/>
      <x:c r="G226" s="44"/>
      <x:c r="H226" s="44"/>
      <x:c r="I226" s="44"/>
      <x:c r="J226" s="44"/>
      <x:c r="K226" s="44"/>
      <x:c r="L226" s="44"/>
      <x:c r="M226" s="44"/>
      <x:c r="N226" s="44"/>
      <x:c r="O226" s="44"/>
    </x:row>
    <x:row r="227">
      <x:c r="A227" s="44"/>
      <x:c r="B227" s="44"/>
      <x:c r="C227" s="44"/>
      <x:c r="D227" s="44"/>
      <x:c r="E227" s="44"/>
      <x:c r="F227" s="44"/>
      <x:c r="G227" s="44"/>
      <x:c r="H227" s="44"/>
      <x:c r="I227" s="44"/>
      <x:c r="J227" s="44"/>
      <x:c r="K227" s="44"/>
      <x:c r="L227" s="44"/>
      <x:c r="M227" s="44"/>
      <x:c r="N227" s="44"/>
      <x:c r="O227" s="44"/>
    </x:row>
    <x:row r="228">
      <x:c r="A228" s="44"/>
      <x:c r="B228" s="44"/>
      <x:c r="C228" s="44"/>
      <x:c r="D228" s="44"/>
      <x:c r="E228" s="44"/>
      <x:c r="F228" s="44"/>
      <x:c r="G228" s="44"/>
      <x:c r="H228" s="44"/>
      <x:c r="I228" s="44"/>
      <x:c r="J228" s="44"/>
      <x:c r="K228" s="44"/>
      <x:c r="L228" s="44"/>
      <x:c r="M228" s="44"/>
      <x:c r="N228" s="44"/>
      <x:c r="O228" s="44"/>
    </x:row>
    <x:row r="229">
      <x:c r="A229" s="44"/>
      <x:c r="B229" s="44"/>
      <x:c r="C229" s="44"/>
      <x:c r="D229" s="44"/>
      <x:c r="E229" s="44"/>
      <x:c r="F229" s="44"/>
      <x:c r="G229" s="44"/>
      <x:c r="H229" s="44"/>
      <x:c r="I229" s="44"/>
      <x:c r="J229" s="44"/>
      <x:c r="K229" s="44"/>
      <x:c r="L229" s="44"/>
      <x:c r="M229" s="44"/>
      <x:c r="N229" s="44"/>
      <x:c r="O229" s="44"/>
    </x:row>
    <x:row r="230">
      <x:c r="A230" s="44"/>
      <x:c r="B230" s="44"/>
      <x:c r="C230" s="44"/>
      <x:c r="D230" s="44"/>
      <x:c r="E230" s="44"/>
      <x:c r="F230" s="44"/>
      <x:c r="G230" s="44"/>
      <x:c r="H230" s="44"/>
      <x:c r="I230" s="44"/>
      <x:c r="J230" s="44"/>
      <x:c r="K230" s="44"/>
      <x:c r="L230" s="44"/>
      <x:c r="M230" s="44"/>
      <x:c r="N230" s="44"/>
      <x:c r="O230" s="44"/>
    </x:row>
    <x:row r="231">
      <x:c r="A231" s="44"/>
      <x:c r="B231" s="44"/>
      <x:c r="C231" s="44"/>
      <x:c r="D231" s="44"/>
      <x:c r="E231" s="44"/>
      <x:c r="F231" s="44"/>
      <x:c r="G231" s="44"/>
      <x:c r="H231" s="44"/>
      <x:c r="I231" s="44"/>
      <x:c r="J231" s="44"/>
      <x:c r="K231" s="44"/>
      <x:c r="L231" s="44"/>
      <x:c r="M231" s="44"/>
      <x:c r="N231" s="44"/>
      <x:c r="O231" s="44"/>
    </x:row>
    <x:row r="232">
      <x:c r="A232" s="44"/>
      <x:c r="B232" s="44"/>
      <x:c r="C232" s="44"/>
      <x:c r="D232" s="44"/>
      <x:c r="E232" s="44"/>
      <x:c r="F232" s="44"/>
      <x:c r="G232" s="44"/>
      <x:c r="H232" s="44"/>
      <x:c r="I232" s="44"/>
      <x:c r="J232" s="44"/>
      <x:c r="K232" s="44"/>
      <x:c r="L232" s="44"/>
      <x:c r="M232" s="44"/>
      <x:c r="N232" s="44"/>
      <x:c r="O232" s="44"/>
    </x:row>
    <x:row r="233">
      <x:c r="A233" s="44"/>
      <x:c r="B233" s="44"/>
      <x:c r="C233" s="44"/>
      <x:c r="D233" s="44"/>
      <x:c r="E233" s="44"/>
      <x:c r="F233" s="44"/>
      <x:c r="G233" s="44"/>
      <x:c r="H233" s="44"/>
      <x:c r="I233" s="44"/>
      <x:c r="J233" s="44"/>
      <x:c r="K233" s="44"/>
      <x:c r="L233" s="44"/>
      <x:c r="M233" s="44"/>
      <x:c r="N233" s="44"/>
      <x:c r="O233" s="44"/>
    </x:row>
    <x:row r="234">
      <x:c r="A234" s="44"/>
      <x:c r="B234" s="44"/>
      <x:c r="C234" s="44"/>
      <x:c r="D234" s="44"/>
      <x:c r="E234" s="44"/>
      <x:c r="F234" s="44"/>
      <x:c r="G234" s="44"/>
      <x:c r="H234" s="44"/>
      <x:c r="I234" s="44"/>
      <x:c r="J234" s="44"/>
      <x:c r="K234" s="44"/>
      <x:c r="L234" s="44"/>
      <x:c r="M234" s="44"/>
      <x:c r="N234" s="44"/>
      <x:c r="O234" s="44"/>
    </x:row>
    <x:row r="235">
      <x:c r="A235" s="44"/>
      <x:c r="B235" s="44"/>
      <x:c r="C235" s="44"/>
      <x:c r="D235" s="44"/>
      <x:c r="E235" s="44"/>
      <x:c r="F235" s="44"/>
      <x:c r="G235" s="44"/>
      <x:c r="H235" s="44"/>
      <x:c r="I235" s="44"/>
      <x:c r="J235" s="44"/>
      <x:c r="K235" s="44"/>
      <x:c r="L235" s="44"/>
      <x:c r="M235" s="44"/>
      <x:c r="N235" s="44"/>
      <x:c r="O235" s="44"/>
    </x:row>
    <x:row r="236">
      <x:c r="A236" s="44"/>
      <x:c r="B236" s="44"/>
      <x:c r="C236" s="44"/>
      <x:c r="D236" s="44"/>
      <x:c r="E236" s="44"/>
      <x:c r="F236" s="44"/>
      <x:c r="G236" s="44"/>
      <x:c r="H236" s="44"/>
      <x:c r="I236" s="44"/>
      <x:c r="J236" s="44"/>
      <x:c r="K236" s="44"/>
      <x:c r="L236" s="44"/>
      <x:c r="M236" s="44"/>
      <x:c r="N236" s="44"/>
      <x:c r="O236" s="44"/>
    </x:row>
    <x:row r="237">
      <x:c r="A237" s="44"/>
      <x:c r="B237" s="44"/>
      <x:c r="C237" s="44"/>
      <x:c r="D237" s="44"/>
      <x:c r="E237" s="44"/>
      <x:c r="F237" s="44"/>
      <x:c r="G237" s="44"/>
      <x:c r="H237" s="44"/>
      <x:c r="I237" s="44"/>
      <x:c r="J237" s="44"/>
      <x:c r="K237" s="44"/>
      <x:c r="L237" s="44"/>
      <x:c r="M237" s="44"/>
      <x:c r="N237" s="44"/>
      <x:c r="O237" s="44"/>
    </x:row>
    <x:row r="238">
      <x:c r="A238" s="44"/>
      <x:c r="B238" s="44"/>
      <x:c r="C238" s="44"/>
      <x:c r="D238" s="44"/>
      <x:c r="E238" s="44"/>
      <x:c r="F238" s="44"/>
      <x:c r="G238" s="44"/>
      <x:c r="H238" s="44"/>
      <x:c r="I238" s="44"/>
      <x:c r="J238" s="44"/>
      <x:c r="K238" s="44"/>
      <x:c r="L238" s="44"/>
      <x:c r="M238" s="44"/>
      <x:c r="N238" s="44"/>
      <x:c r="O238" s="44"/>
    </x:row>
    <x:row r="239">
      <x:c r="A239" s="44"/>
      <x:c r="B239" s="44"/>
      <x:c r="C239" s="44"/>
      <x:c r="D239" s="44"/>
      <x:c r="E239" s="44"/>
      <x:c r="F239" s="44"/>
      <x:c r="G239" s="44"/>
      <x:c r="H239" s="44"/>
      <x:c r="I239" s="44"/>
      <x:c r="J239" s="44"/>
      <x:c r="K239" s="44"/>
      <x:c r="L239" s="44"/>
      <x:c r="M239" s="44"/>
      <x:c r="N239" s="44"/>
      <x:c r="O239" s="44"/>
    </x:row>
    <x:row r="240">
      <x:c r="A240" s="44"/>
      <x:c r="B240" s="44"/>
      <x:c r="C240" s="44"/>
      <x:c r="D240" s="44"/>
      <x:c r="E240" s="44"/>
      <x:c r="F240" s="44"/>
      <x:c r="G240" s="44"/>
      <x:c r="H240" s="44"/>
      <x:c r="I240" s="44"/>
      <x:c r="J240" s="44"/>
      <x:c r="K240" s="44"/>
      <x:c r="L240" s="44"/>
      <x:c r="M240" s="44"/>
      <x:c r="N240" s="44"/>
      <x:c r="O240" s="44"/>
    </x:row>
    <x:row r="241">
      <x:c r="A241" s="44"/>
      <x:c r="B241" s="44"/>
      <x:c r="C241" s="44"/>
      <x:c r="D241" s="44"/>
      <x:c r="E241" s="44"/>
      <x:c r="F241" s="44"/>
      <x:c r="G241" s="44"/>
      <x:c r="H241" s="44"/>
      <x:c r="I241" s="44"/>
      <x:c r="J241" s="44"/>
      <x:c r="K241" s="44"/>
      <x:c r="L241" s="44"/>
      <x:c r="M241" s="44"/>
      <x:c r="N241" s="44"/>
      <x:c r="O241" s="44"/>
    </x:row>
    <x:row r="242">
      <x:c r="A242" s="44"/>
      <x:c r="B242" s="44"/>
      <x:c r="C242" s="44"/>
      <x:c r="D242" s="44"/>
      <x:c r="E242" s="44"/>
      <x:c r="F242" s="44"/>
      <x:c r="G242" s="44"/>
      <x:c r="H242" s="44"/>
      <x:c r="I242" s="44"/>
      <x:c r="J242" s="44"/>
      <x:c r="K242" s="44"/>
      <x:c r="L242" s="44"/>
      <x:c r="M242" s="44"/>
      <x:c r="N242" s="44"/>
      <x:c r="O242" s="44"/>
    </x:row>
    <x:row r="243">
      <x:c r="A243" s="44"/>
      <x:c r="B243" s="44"/>
      <x:c r="C243" s="44"/>
      <x:c r="D243" s="44"/>
      <x:c r="E243" s="44"/>
      <x:c r="F243" s="44"/>
      <x:c r="G243" s="44"/>
      <x:c r="H243" s="44"/>
      <x:c r="I243" s="44"/>
      <x:c r="J243" s="44"/>
      <x:c r="K243" s="44"/>
      <x:c r="L243" s="44"/>
      <x:c r="M243" s="44"/>
      <x:c r="N243" s="44"/>
      <x:c r="O243" s="44"/>
    </x:row>
    <x:row r="244">
      <x:c r="A244" s="44"/>
      <x:c r="B244" s="44"/>
      <x:c r="C244" s="44"/>
      <x:c r="D244" s="44"/>
      <x:c r="E244" s="44"/>
      <x:c r="F244" s="44"/>
      <x:c r="G244" s="44"/>
      <x:c r="H244" s="44"/>
      <x:c r="I244" s="44"/>
      <x:c r="J244" s="44"/>
      <x:c r="K244" s="44"/>
      <x:c r="L244" s="44"/>
      <x:c r="M244" s="44"/>
      <x:c r="N244" s="44"/>
      <x:c r="O244" s="44"/>
    </x:row>
    <x:row r="245">
      <x:c r="A245" s="44"/>
      <x:c r="B245" s="44"/>
      <x:c r="C245" s="44"/>
      <x:c r="D245" s="44"/>
      <x:c r="E245" s="44"/>
      <x:c r="F245" s="44"/>
      <x:c r="G245" s="44"/>
      <x:c r="H245" s="44"/>
      <x:c r="I245" s="44"/>
      <x:c r="J245" s="44"/>
      <x:c r="K245" s="44"/>
      <x:c r="L245" s="44"/>
      <x:c r="M245" s="44"/>
      <x:c r="N245" s="44"/>
      <x:c r="O245" s="44"/>
    </x:row>
    <x:row r="246">
      <x:c r="A246" s="44"/>
      <x:c r="B246" s="44"/>
      <x:c r="C246" s="44"/>
      <x:c r="D246" s="44"/>
      <x:c r="E246" s="44"/>
      <x:c r="F246" s="44"/>
      <x:c r="G246" s="44"/>
      <x:c r="H246" s="44"/>
      <x:c r="I246" s="44"/>
      <x:c r="J246" s="44"/>
      <x:c r="K246" s="44"/>
      <x:c r="L246" s="44"/>
      <x:c r="M246" s="44"/>
      <x:c r="N246" s="44"/>
      <x:c r="O246" s="44"/>
    </x:row>
    <x:row r="247">
      <x:c r="A247" s="44"/>
      <x:c r="B247" s="44"/>
      <x:c r="C247" s="44"/>
      <x:c r="D247" s="44"/>
      <x:c r="E247" s="44"/>
      <x:c r="F247" s="44"/>
      <x:c r="G247" s="44"/>
      <x:c r="H247" s="44"/>
      <x:c r="I247" s="44"/>
      <x:c r="J247" s="44"/>
      <x:c r="K247" s="44"/>
      <x:c r="L247" s="44"/>
      <x:c r="M247" s="44"/>
      <x:c r="N247" s="44"/>
      <x:c r="O247" s="44"/>
    </x:row>
    <x:row r="248">
      <x:c r="A248" s="44"/>
      <x:c r="B248" s="44"/>
      <x:c r="C248" s="44"/>
      <x:c r="D248" s="44"/>
      <x:c r="E248" s="44"/>
      <x:c r="F248" s="44"/>
      <x:c r="G248" s="44"/>
      <x:c r="H248" s="44"/>
      <x:c r="I248" s="44"/>
      <x:c r="J248" s="44"/>
      <x:c r="K248" s="44"/>
      <x:c r="L248" s="44"/>
      <x:c r="M248" s="44"/>
      <x:c r="N248" s="44"/>
      <x:c r="O248" s="44"/>
    </x:row>
    <x:row r="249">
      <x:c r="A249" s="44"/>
      <x:c r="B249" s="44"/>
      <x:c r="C249" s="44"/>
      <x:c r="D249" s="44"/>
      <x:c r="E249" s="44"/>
      <x:c r="F249" s="44"/>
      <x:c r="G249" s="44"/>
      <x:c r="H249" s="44"/>
      <x:c r="I249" s="44"/>
      <x:c r="J249" s="44"/>
      <x:c r="K249" s="44"/>
      <x:c r="L249" s="44"/>
      <x:c r="M249" s="44"/>
      <x:c r="N249" s="44"/>
      <x:c r="O249" s="44"/>
    </x:row>
    <x:row r="250">
      <x:c r="A250" s="44"/>
      <x:c r="B250" s="44"/>
      <x:c r="C250" s="44"/>
      <x:c r="D250" s="44"/>
      <x:c r="E250" s="44"/>
      <x:c r="F250" s="44"/>
      <x:c r="G250" s="44"/>
      <x:c r="H250" s="44"/>
      <x:c r="I250" s="44"/>
      <x:c r="J250" s="44"/>
      <x:c r="K250" s="44"/>
      <x:c r="L250" s="44"/>
      <x:c r="M250" s="44"/>
      <x:c r="N250" s="44"/>
      <x:c r="O250" s="44"/>
    </x:row>
    <x:row r="251">
      <x:c r="A251" s="44"/>
      <x:c r="B251" s="44"/>
      <x:c r="C251" s="44"/>
      <x:c r="D251" s="44"/>
      <x:c r="E251" s="44"/>
      <x:c r="F251" s="44"/>
      <x:c r="G251" s="44"/>
      <x:c r="H251" s="44"/>
      <x:c r="I251" s="44"/>
      <x:c r="J251" s="44"/>
      <x:c r="K251" s="44"/>
      <x:c r="L251" s="44"/>
      <x:c r="M251" s="44"/>
      <x:c r="N251" s="44"/>
      <x:c r="O251" s="44"/>
    </x:row>
    <x:row r="252">
      <x:c r="A252" s="44"/>
      <x:c r="B252" s="44"/>
      <x:c r="C252" s="44"/>
      <x:c r="D252" s="44"/>
      <x:c r="E252" s="44"/>
      <x:c r="F252" s="44"/>
      <x:c r="G252" s="44"/>
      <x:c r="H252" s="44"/>
      <x:c r="I252" s="44"/>
      <x:c r="J252" s="44"/>
      <x:c r="K252" s="44"/>
      <x:c r="L252" s="44"/>
      <x:c r="M252" s="44"/>
      <x:c r="N252" s="44"/>
      <x:c r="O252" s="44"/>
    </x:row>
    <x:row r="253">
      <x:c r="A253" s="44"/>
      <x:c r="B253" s="44"/>
      <x:c r="C253" s="44"/>
      <x:c r="D253" s="44"/>
      <x:c r="E253" s="44"/>
      <x:c r="F253" s="44"/>
      <x:c r="G253" s="44"/>
      <x:c r="H253" s="44"/>
      <x:c r="I253" s="44"/>
      <x:c r="J253" s="44"/>
      <x:c r="K253" s="44"/>
      <x:c r="L253" s="44"/>
      <x:c r="M253" s="44"/>
      <x:c r="N253" s="44"/>
      <x:c r="O253" s="44"/>
    </x:row>
    <x:row r="254">
      <x:c r="A254" s="44"/>
      <x:c r="B254" s="44"/>
      <x:c r="C254" s="44"/>
      <x:c r="D254" s="44"/>
      <x:c r="E254" s="44"/>
      <x:c r="F254" s="44"/>
      <x:c r="G254" s="44"/>
      <x:c r="H254" s="44"/>
      <x:c r="I254" s="44"/>
      <x:c r="J254" s="44"/>
      <x:c r="K254" s="44"/>
      <x:c r="L254" s="44"/>
      <x:c r="M254" s="44"/>
      <x:c r="N254" s="44"/>
      <x:c r="O254" s="44"/>
    </x:row>
    <x:row r="255">
      <x:c r="A255" s="44"/>
      <x:c r="B255" s="44"/>
      <x:c r="C255" s="44"/>
      <x:c r="D255" s="44"/>
      <x:c r="E255" s="44"/>
      <x:c r="F255" s="44"/>
      <x:c r="G255" s="44"/>
      <x:c r="H255" s="44"/>
      <x:c r="I255" s="44"/>
      <x:c r="J255" s="44"/>
      <x:c r="K255" s="44"/>
      <x:c r="L255" s="44"/>
      <x:c r="M255" s="44"/>
      <x:c r="N255" s="44"/>
      <x:c r="O255" s="44"/>
    </x:row>
    <x:row r="256">
      <x:c r="A256" s="44"/>
      <x:c r="B256" s="44"/>
      <x:c r="C256" s="44"/>
      <x:c r="D256" s="44"/>
      <x:c r="E256" s="44"/>
      <x:c r="F256" s="44"/>
      <x:c r="G256" s="44"/>
      <x:c r="H256" s="44"/>
      <x:c r="I256" s="44"/>
      <x:c r="J256" s="44"/>
      <x:c r="K256" s="44"/>
      <x:c r="L256" s="44"/>
      <x:c r="M256" s="44"/>
      <x:c r="N256" s="44"/>
      <x:c r="O256" s="44"/>
    </x:row>
    <x:row r="257">
      <x:c r="A257" s="44"/>
      <x:c r="B257" s="44"/>
      <x:c r="C257" s="44"/>
      <x:c r="D257" s="44"/>
      <x:c r="E257" s="44"/>
      <x:c r="F257" s="44"/>
      <x:c r="G257" s="44"/>
      <x:c r="H257" s="44"/>
      <x:c r="I257" s="44"/>
      <x:c r="J257" s="44"/>
      <x:c r="K257" s="44"/>
      <x:c r="L257" s="44"/>
      <x:c r="M257" s="44"/>
      <x:c r="N257" s="44"/>
      <x:c r="O257" s="44"/>
    </x:row>
    <x:row r="258">
      <x:c r="A258" s="44"/>
      <x:c r="B258" s="44"/>
      <x:c r="C258" s="44"/>
      <x:c r="D258" s="44"/>
      <x:c r="E258" s="44"/>
      <x:c r="F258" s="44"/>
      <x:c r="G258" s="44"/>
      <x:c r="H258" s="44"/>
      <x:c r="I258" s="44"/>
      <x:c r="J258" s="44"/>
      <x:c r="K258" s="44"/>
      <x:c r="L258" s="44"/>
      <x:c r="M258" s="44"/>
      <x:c r="N258" s="44"/>
      <x:c r="O258" s="44"/>
    </x:row>
    <x:row r="259">
      <x:c r="A259" s="44"/>
      <x:c r="B259" s="44"/>
      <x:c r="C259" s="44"/>
      <x:c r="D259" s="44"/>
      <x:c r="E259" s="44"/>
      <x:c r="F259" s="44"/>
      <x:c r="G259" s="44"/>
      <x:c r="H259" s="44"/>
      <x:c r="I259" s="44"/>
      <x:c r="J259" s="44"/>
      <x:c r="K259" s="44"/>
      <x:c r="L259" s="44"/>
      <x:c r="M259" s="44"/>
      <x:c r="N259" s="44"/>
      <x:c r="O259" s="44"/>
    </x:row>
    <x:row r="260">
      <x:c r="A260" s="44"/>
      <x:c r="B260" s="44"/>
      <x:c r="C260" s="44"/>
      <x:c r="D260" s="44"/>
      <x:c r="E260" s="44"/>
      <x:c r="F260" s="44"/>
      <x:c r="G260" s="44"/>
      <x:c r="H260" s="44"/>
      <x:c r="I260" s="44"/>
      <x:c r="J260" s="44"/>
      <x:c r="K260" s="44"/>
      <x:c r="L260" s="44"/>
      <x:c r="M260" s="44"/>
      <x:c r="N260" s="44"/>
      <x:c r="O260" s="44"/>
    </x:row>
    <x:row r="261">
      <x:c r="A261" s="44"/>
      <x:c r="B261" s="44"/>
      <x:c r="C261" s="44"/>
      <x:c r="D261" s="44"/>
      <x:c r="E261" s="44"/>
      <x:c r="F261" s="44"/>
      <x:c r="G261" s="44"/>
      <x:c r="H261" s="44"/>
      <x:c r="I261" s="44"/>
      <x:c r="J261" s="44"/>
      <x:c r="K261" s="44"/>
      <x:c r="L261" s="44"/>
      <x:c r="M261" s="44"/>
      <x:c r="N261" s="44"/>
      <x:c r="O261" s="44"/>
    </x:row>
    <x:row r="262">
      <x:c r="A262" s="44"/>
      <x:c r="B262" s="44"/>
      <x:c r="C262" s="44"/>
      <x:c r="D262" s="44"/>
      <x:c r="E262" s="44"/>
      <x:c r="F262" s="44"/>
      <x:c r="G262" s="44"/>
      <x:c r="H262" s="44"/>
      <x:c r="I262" s="44"/>
      <x:c r="J262" s="44"/>
      <x:c r="K262" s="44"/>
      <x:c r="L262" s="44"/>
      <x:c r="M262" s="44"/>
      <x:c r="N262" s="44"/>
      <x:c r="O262" s="44"/>
    </x:row>
    <x:row r="263">
      <x:c r="A263" s="44"/>
      <x:c r="B263" s="44"/>
      <x:c r="C263" s="44"/>
      <x:c r="D263" s="44"/>
      <x:c r="E263" s="44"/>
      <x:c r="F263" s="44"/>
      <x:c r="G263" s="44"/>
      <x:c r="H263" s="44"/>
      <x:c r="I263" s="44"/>
      <x:c r="J263" s="44"/>
      <x:c r="K263" s="44"/>
      <x:c r="L263" s="44"/>
      <x:c r="M263" s="44"/>
      <x:c r="N263" s="44"/>
      <x:c r="O263" s="44"/>
    </x:row>
    <x:row r="264">
      <x:c r="A264" s="44"/>
      <x:c r="B264" s="44"/>
      <x:c r="C264" s="44"/>
      <x:c r="D264" s="44"/>
      <x:c r="E264" s="44"/>
      <x:c r="F264" s="44"/>
      <x:c r="G264" s="44"/>
      <x:c r="H264" s="44"/>
      <x:c r="I264" s="44"/>
      <x:c r="J264" s="44"/>
      <x:c r="K264" s="44"/>
      <x:c r="L264" s="44"/>
      <x:c r="M264" s="44"/>
      <x:c r="N264" s="44"/>
      <x:c r="O264" s="44"/>
    </x:row>
    <x:row r="265">
      <x:c r="A265" s="44"/>
      <x:c r="B265" s="44"/>
      <x:c r="C265" s="44"/>
      <x:c r="D265" s="44"/>
      <x:c r="E265" s="44"/>
      <x:c r="F265" s="44"/>
      <x:c r="G265" s="44"/>
      <x:c r="H265" s="44"/>
      <x:c r="I265" s="44"/>
      <x:c r="J265" s="44"/>
      <x:c r="K265" s="44"/>
      <x:c r="L265" s="44"/>
      <x:c r="M265" s="44"/>
      <x:c r="N265" s="44"/>
      <x:c r="O265" s="44"/>
    </x:row>
    <x:row r="266">
      <x:c r="A266" s="44"/>
      <x:c r="B266" s="44"/>
      <x:c r="C266" s="44"/>
      <x:c r="D266" s="44"/>
      <x:c r="E266" s="44"/>
      <x:c r="F266" s="44"/>
      <x:c r="G266" s="44"/>
      <x:c r="H266" s="44"/>
      <x:c r="I266" s="44"/>
      <x:c r="J266" s="44"/>
      <x:c r="K266" s="44"/>
      <x:c r="L266" s="44"/>
      <x:c r="M266" s="44"/>
      <x:c r="N266" s="44"/>
      <x:c r="O266" s="44"/>
    </x:row>
    <x:row r="267">
      <x:c r="A267" s="44"/>
      <x:c r="B267" s="44"/>
      <x:c r="C267" s="44"/>
      <x:c r="D267" s="44"/>
      <x:c r="E267" s="44"/>
      <x:c r="F267" s="44"/>
      <x:c r="G267" s="44"/>
      <x:c r="H267" s="44"/>
      <x:c r="I267" s="44"/>
      <x:c r="J267" s="44"/>
      <x:c r="K267" s="44"/>
      <x:c r="L267" s="44"/>
      <x:c r="M267" s="44"/>
      <x:c r="N267" s="44"/>
      <x:c r="O267" s="44"/>
    </x:row>
    <x:row r="268">
      <x:c r="A268" s="44"/>
      <x:c r="B268" s="44"/>
      <x:c r="C268" s="44"/>
      <x:c r="D268" s="44"/>
      <x:c r="E268" s="44"/>
      <x:c r="F268" s="44"/>
      <x:c r="G268" s="44"/>
      <x:c r="H268" s="44"/>
      <x:c r="I268" s="44"/>
      <x:c r="J268" s="44"/>
      <x:c r="K268" s="44"/>
      <x:c r="L268" s="44"/>
      <x:c r="M268" s="44"/>
      <x:c r="N268" s="44"/>
      <x:c r="O268" s="44"/>
    </x:row>
    <x:row r="269">
      <x:c r="A269" s="44"/>
      <x:c r="B269" s="44"/>
      <x:c r="C269" s="44"/>
      <x:c r="D269" s="44"/>
      <x:c r="E269" s="44"/>
      <x:c r="F269" s="44"/>
      <x:c r="G269" s="44"/>
      <x:c r="H269" s="44"/>
      <x:c r="I269" s="44"/>
      <x:c r="J269" s="44"/>
      <x:c r="K269" s="44"/>
      <x:c r="L269" s="44"/>
      <x:c r="M269" s="44"/>
      <x:c r="N269" s="44"/>
      <x:c r="O269" s="44"/>
    </x:row>
    <x:row r="270">
      <x:c r="A270" s="44"/>
      <x:c r="B270" s="44"/>
      <x:c r="C270" s="44"/>
      <x:c r="D270" s="44"/>
      <x:c r="E270" s="44"/>
      <x:c r="F270" s="44"/>
      <x:c r="G270" s="44"/>
      <x:c r="H270" s="44"/>
      <x:c r="I270" s="44"/>
      <x:c r="J270" s="44"/>
      <x:c r="K270" s="44"/>
      <x:c r="L270" s="44"/>
      <x:c r="M270" s="44"/>
      <x:c r="N270" s="44"/>
      <x:c r="O270" s="44"/>
    </x:row>
    <x:row r="271">
      <x:c r="A271" s="44"/>
      <x:c r="B271" s="44"/>
      <x:c r="C271" s="44"/>
      <x:c r="D271" s="44"/>
      <x:c r="E271" s="44"/>
      <x:c r="F271" s="44"/>
      <x:c r="G271" s="44"/>
      <x:c r="H271" s="44"/>
      <x:c r="I271" s="44"/>
      <x:c r="J271" s="44"/>
      <x:c r="K271" s="44"/>
      <x:c r="L271" s="44"/>
      <x:c r="M271" s="44"/>
      <x:c r="N271" s="44"/>
      <x:c r="O271" s="44"/>
    </x:row>
    <x:row r="272">
      <x:c r="A272" s="44"/>
      <x:c r="B272" s="44"/>
      <x:c r="C272" s="44"/>
      <x:c r="D272" s="44"/>
      <x:c r="E272" s="44"/>
      <x:c r="F272" s="44"/>
      <x:c r="G272" s="44"/>
      <x:c r="H272" s="44"/>
      <x:c r="I272" s="44"/>
      <x:c r="J272" s="44"/>
      <x:c r="K272" s="44"/>
      <x:c r="L272" s="44"/>
      <x:c r="M272" s="44"/>
      <x:c r="N272" s="44"/>
      <x:c r="O272" s="44"/>
    </x:row>
    <x:row r="273">
      <x:c r="A273" s="44"/>
      <x:c r="B273" s="44"/>
      <x:c r="C273" s="44"/>
      <x:c r="D273" s="44"/>
      <x:c r="E273" s="44"/>
      <x:c r="F273" s="44"/>
      <x:c r="G273" s="44"/>
      <x:c r="H273" s="44"/>
      <x:c r="I273" s="44"/>
      <x:c r="J273" s="44"/>
      <x:c r="K273" s="44"/>
      <x:c r="L273" s="44"/>
      <x:c r="M273" s="44"/>
      <x:c r="N273" s="44"/>
      <x:c r="O273" s="44"/>
    </x:row>
    <x:row r="274">
      <x:c r="A274" s="44"/>
      <x:c r="B274" s="44"/>
      <x:c r="C274" s="44"/>
      <x:c r="D274" s="44"/>
      <x:c r="E274" s="44"/>
      <x:c r="F274" s="44"/>
      <x:c r="G274" s="44"/>
      <x:c r="H274" s="44"/>
      <x:c r="I274" s="44"/>
      <x:c r="J274" s="44"/>
      <x:c r="K274" s="44"/>
      <x:c r="L274" s="44"/>
      <x:c r="M274" s="44"/>
      <x:c r="N274" s="44"/>
      <x:c r="O274" s="44"/>
    </x:row>
    <x:row r="275">
      <x:c r="A275" s="44"/>
      <x:c r="B275" s="44"/>
      <x:c r="C275" s="44"/>
      <x:c r="D275" s="44"/>
      <x:c r="E275" s="44"/>
      <x:c r="F275" s="44"/>
      <x:c r="G275" s="44"/>
      <x:c r="H275" s="44"/>
      <x:c r="I275" s="44"/>
      <x:c r="J275" s="44"/>
      <x:c r="K275" s="44"/>
      <x:c r="L275" s="44"/>
      <x:c r="M275" s="44"/>
      <x:c r="N275" s="44"/>
      <x:c r="O275" s="44"/>
    </x:row>
    <x:row r="276">
      <x:c r="A276" s="44"/>
      <x:c r="B276" s="44"/>
      <x:c r="C276" s="44"/>
      <x:c r="D276" s="44"/>
      <x:c r="E276" s="44"/>
      <x:c r="F276" s="44"/>
      <x:c r="G276" s="44"/>
      <x:c r="H276" s="44"/>
      <x:c r="I276" s="44"/>
      <x:c r="J276" s="44"/>
      <x:c r="K276" s="44"/>
      <x:c r="L276" s="44"/>
      <x:c r="M276" s="44"/>
      <x:c r="N276" s="44"/>
      <x:c r="O276" s="44"/>
    </x:row>
    <x:row r="277">
      <x:c r="A277" s="44"/>
      <x:c r="B277" s="44"/>
      <x:c r="C277" s="44"/>
      <x:c r="D277" s="44"/>
      <x:c r="E277" s="44"/>
      <x:c r="F277" s="44"/>
      <x:c r="G277" s="44"/>
      <x:c r="H277" s="44"/>
      <x:c r="I277" s="44"/>
      <x:c r="J277" s="44"/>
      <x:c r="K277" s="44"/>
      <x:c r="L277" s="44"/>
      <x:c r="M277" s="44"/>
      <x:c r="N277" s="44"/>
      <x:c r="O277" s="44"/>
    </x:row>
    <x:row r="278">
      <x:c r="A278" s="44"/>
      <x:c r="B278" s="44"/>
      <x:c r="C278" s="44"/>
      <x:c r="D278" s="44"/>
      <x:c r="E278" s="44"/>
      <x:c r="F278" s="44"/>
      <x:c r="G278" s="44"/>
      <x:c r="H278" s="44"/>
      <x:c r="I278" s="44"/>
      <x:c r="J278" s="44"/>
      <x:c r="K278" s="44"/>
      <x:c r="L278" s="44"/>
      <x:c r="M278" s="44"/>
      <x:c r="N278" s="44"/>
      <x:c r="O278" s="44"/>
    </x:row>
    <x:row r="279">
      <x:c r="A279" s="44"/>
      <x:c r="B279" s="44"/>
      <x:c r="C279" s="44"/>
      <x:c r="D279" s="44"/>
      <x:c r="E279" s="44"/>
      <x:c r="F279" s="44"/>
      <x:c r="G279" s="44"/>
      <x:c r="H279" s="44"/>
      <x:c r="I279" s="44"/>
      <x:c r="J279" s="44"/>
      <x:c r="K279" s="44"/>
      <x:c r="L279" s="44"/>
      <x:c r="M279" s="44"/>
      <x:c r="N279" s="44"/>
      <x:c r="O279" s="44"/>
    </x:row>
    <x:row r="280">
      <x:c r="A280" s="44"/>
      <x:c r="B280" s="44"/>
      <x:c r="C280" s="44"/>
      <x:c r="D280" s="44"/>
      <x:c r="E280" s="44"/>
      <x:c r="F280" s="44"/>
      <x:c r="G280" s="44"/>
      <x:c r="H280" s="44"/>
      <x:c r="I280" s="44"/>
      <x:c r="J280" s="44"/>
      <x:c r="K280" s="44"/>
      <x:c r="L280" s="44"/>
      <x:c r="M280" s="44"/>
      <x:c r="N280" s="44"/>
      <x:c r="O280" s="44"/>
    </x:row>
    <x:row r="281">
      <x:c r="A281" s="44"/>
      <x:c r="B281" s="44"/>
      <x:c r="C281" s="44"/>
      <x:c r="D281" s="44"/>
      <x:c r="E281" s="44"/>
      <x:c r="F281" s="44"/>
      <x:c r="G281" s="44"/>
      <x:c r="H281" s="44"/>
      <x:c r="I281" s="44"/>
      <x:c r="J281" s="44"/>
      <x:c r="K281" s="44"/>
      <x:c r="L281" s="44"/>
      <x:c r="M281" s="44"/>
      <x:c r="N281" s="44"/>
      <x:c r="O281" s="44"/>
    </x:row>
    <x:row r="282">
      <x:c r="A282" s="44"/>
      <x:c r="B282" s="44"/>
      <x:c r="C282" s="44"/>
      <x:c r="D282" s="44"/>
      <x:c r="E282" s="44"/>
      <x:c r="F282" s="44"/>
      <x:c r="G282" s="44"/>
      <x:c r="H282" s="44"/>
      <x:c r="I282" s="44"/>
      <x:c r="J282" s="44"/>
      <x:c r="K282" s="44"/>
      <x:c r="L282" s="44"/>
      <x:c r="M282" s="44"/>
      <x:c r="N282" s="44"/>
      <x:c r="O282" s="44"/>
    </x:row>
    <x:row r="283">
      <x:c r="A283" s="44"/>
      <x:c r="B283" s="44"/>
      <x:c r="C283" s="44"/>
      <x:c r="D283" s="44"/>
      <x:c r="E283" s="44"/>
      <x:c r="F283" s="44"/>
      <x:c r="G283" s="44"/>
      <x:c r="H283" s="44"/>
      <x:c r="I283" s="44"/>
      <x:c r="J283" s="44"/>
      <x:c r="K283" s="44"/>
      <x:c r="L283" s="44"/>
      <x:c r="M283" s="44"/>
      <x:c r="N283" s="44"/>
      <x:c r="O283" s="44"/>
    </x:row>
    <x:row r="284">
      <x:c r="A284" s="44"/>
      <x:c r="B284" s="44"/>
      <x:c r="C284" s="44"/>
      <x:c r="D284" s="44"/>
      <x:c r="E284" s="44"/>
      <x:c r="F284" s="44"/>
      <x:c r="G284" s="44"/>
      <x:c r="H284" s="44"/>
      <x:c r="I284" s="44"/>
      <x:c r="J284" s="44"/>
      <x:c r="K284" s="44"/>
      <x:c r="L284" s="44"/>
      <x:c r="M284" s="44"/>
      <x:c r="N284" s="44"/>
      <x:c r="O284" s="44"/>
    </x:row>
    <x:row r="285">
      <x:c r="A285" s="44"/>
      <x:c r="B285" s="44"/>
      <x:c r="C285" s="44"/>
      <x:c r="D285" s="44"/>
      <x:c r="E285" s="44"/>
      <x:c r="F285" s="44"/>
      <x:c r="G285" s="44"/>
      <x:c r="H285" s="44"/>
      <x:c r="I285" s="44"/>
      <x:c r="J285" s="44"/>
      <x:c r="K285" s="44"/>
      <x:c r="L285" s="44"/>
      <x:c r="M285" s="44"/>
      <x:c r="N285" s="44"/>
      <x:c r="O285" s="44"/>
    </x:row>
    <x:row r="286">
      <x:c r="A286" s="44"/>
      <x:c r="B286" s="44"/>
      <x:c r="C286" s="44"/>
      <x:c r="D286" s="44"/>
      <x:c r="E286" s="44"/>
      <x:c r="F286" s="44"/>
      <x:c r="G286" s="44"/>
      <x:c r="H286" s="44"/>
      <x:c r="I286" s="44"/>
      <x:c r="J286" s="44"/>
      <x:c r="K286" s="44"/>
      <x:c r="L286" s="44"/>
      <x:c r="M286" s="44"/>
      <x:c r="N286" s="44"/>
      <x:c r="O286" s="44"/>
    </x:row>
    <x:row r="287">
      <x:c r="A287" s="44"/>
      <x:c r="B287" s="44"/>
      <x:c r="C287" s="44"/>
      <x:c r="D287" s="44"/>
      <x:c r="E287" s="44"/>
      <x:c r="F287" s="44"/>
      <x:c r="G287" s="44"/>
      <x:c r="H287" s="44"/>
      <x:c r="I287" s="44"/>
      <x:c r="J287" s="44"/>
      <x:c r="K287" s="44"/>
      <x:c r="L287" s="44"/>
      <x:c r="M287" s="44"/>
      <x:c r="N287" s="44"/>
      <x:c r="O287" s="44"/>
    </x:row>
    <x:row r="288">
      <x:c r="A288" s="44"/>
      <x:c r="B288" s="44"/>
      <x:c r="C288" s="44"/>
      <x:c r="D288" s="44"/>
      <x:c r="E288" s="44"/>
      <x:c r="F288" s="44"/>
      <x:c r="G288" s="44"/>
      <x:c r="H288" s="44"/>
      <x:c r="I288" s="44"/>
      <x:c r="J288" s="44"/>
      <x:c r="K288" s="44"/>
      <x:c r="L288" s="44"/>
      <x:c r="M288" s="44"/>
      <x:c r="N288" s="44"/>
      <x:c r="O288" s="44"/>
    </x:row>
    <x:row r="289">
      <x:c r="A289" s="44"/>
      <x:c r="B289" s="44"/>
      <x:c r="C289" s="44"/>
      <x:c r="D289" s="44"/>
      <x:c r="E289" s="44"/>
      <x:c r="F289" s="44"/>
      <x:c r="G289" s="44"/>
      <x:c r="H289" s="44"/>
      <x:c r="I289" s="44"/>
      <x:c r="J289" s="44"/>
      <x:c r="K289" s="44"/>
      <x:c r="L289" s="44"/>
      <x:c r="M289" s="44"/>
      <x:c r="N289" s="44"/>
      <x:c r="O289" s="44"/>
    </x:row>
    <x:row r="290">
      <x:c r="A290" s="44"/>
      <x:c r="B290" s="44"/>
      <x:c r="C290" s="44"/>
      <x:c r="D290" s="44"/>
      <x:c r="E290" s="44"/>
      <x:c r="F290" s="44"/>
      <x:c r="G290" s="44"/>
      <x:c r="H290" s="44"/>
      <x:c r="I290" s="44"/>
      <x:c r="J290" s="44"/>
      <x:c r="K290" s="44"/>
      <x:c r="L290" s="44"/>
      <x:c r="M290" s="44"/>
      <x:c r="N290" s="44"/>
      <x:c r="O290" s="44"/>
    </x:row>
    <x:row r="291">
      <x:c r="A291" s="44"/>
      <x:c r="B291" s="44"/>
      <x:c r="C291" s="44"/>
      <x:c r="D291" s="44"/>
      <x:c r="E291" s="44"/>
      <x:c r="F291" s="44"/>
      <x:c r="G291" s="44"/>
      <x:c r="H291" s="44"/>
      <x:c r="I291" s="44"/>
      <x:c r="J291" s="44"/>
      <x:c r="K291" s="44"/>
      <x:c r="L291" s="44"/>
      <x:c r="M291" s="44"/>
      <x:c r="N291" s="44"/>
      <x:c r="O291" s="44"/>
    </x:row>
    <x:row r="292">
      <x:c r="A292" s="44"/>
      <x:c r="B292" s="44"/>
      <x:c r="C292" s="44"/>
      <x:c r="D292" s="44"/>
      <x:c r="E292" s="44"/>
      <x:c r="F292" s="44"/>
      <x:c r="G292" s="44"/>
      <x:c r="H292" s="44"/>
      <x:c r="I292" s="44"/>
      <x:c r="J292" s="44"/>
      <x:c r="K292" s="44"/>
      <x:c r="L292" s="44"/>
      <x:c r="M292" s="44"/>
      <x:c r="N292" s="44"/>
      <x:c r="O292" s="44"/>
    </x:row>
    <x:row r="293">
      <x:c r="A293" s="44"/>
      <x:c r="B293" s="44"/>
      <x:c r="C293" s="44"/>
      <x:c r="D293" s="44"/>
      <x:c r="E293" s="44"/>
      <x:c r="F293" s="44"/>
      <x:c r="G293" s="44"/>
      <x:c r="H293" s="44"/>
      <x:c r="I293" s="44"/>
      <x:c r="J293" s="44"/>
      <x:c r="K293" s="44"/>
      <x:c r="L293" s="44"/>
      <x:c r="M293" s="44"/>
      <x:c r="N293" s="44"/>
      <x:c r="O293" s="44"/>
    </x:row>
    <x:row r="294">
      <x:c r="A294" s="44"/>
      <x:c r="B294" s="44"/>
      <x:c r="C294" s="44"/>
      <x:c r="D294" s="44"/>
      <x:c r="E294" s="44"/>
      <x:c r="F294" s="44"/>
      <x:c r="G294" s="44"/>
      <x:c r="H294" s="44"/>
      <x:c r="I294" s="44"/>
      <x:c r="J294" s="44"/>
      <x:c r="K294" s="44"/>
      <x:c r="L294" s="44"/>
      <x:c r="M294" s="44"/>
      <x:c r="N294" s="44"/>
      <x:c r="O294" s="44"/>
    </x:row>
    <x:row r="295">
      <x:c r="A295" s="44"/>
      <x:c r="B295" s="44"/>
      <x:c r="C295" s="44"/>
      <x:c r="D295" s="44"/>
      <x:c r="E295" s="44"/>
      <x:c r="F295" s="44"/>
      <x:c r="G295" s="44"/>
      <x:c r="H295" s="44"/>
      <x:c r="I295" s="44"/>
      <x:c r="J295" s="44"/>
      <x:c r="K295" s="44"/>
      <x:c r="L295" s="44"/>
      <x:c r="M295" s="44"/>
      <x:c r="N295" s="44"/>
      <x:c r="O295" s="44"/>
    </x:row>
    <x:row r="296">
      <x:c r="A296" s="44"/>
      <x:c r="B296" s="44"/>
      <x:c r="C296" s="44"/>
      <x:c r="D296" s="44"/>
      <x:c r="E296" s="44"/>
      <x:c r="F296" s="44"/>
      <x:c r="G296" s="44"/>
      <x:c r="H296" s="44"/>
      <x:c r="I296" s="44"/>
      <x:c r="J296" s="44"/>
      <x:c r="K296" s="44"/>
      <x:c r="L296" s="44"/>
      <x:c r="M296" s="44"/>
      <x:c r="N296" s="44"/>
      <x:c r="O296" s="44"/>
    </x:row>
    <x:row r="297">
      <x:c r="A297" s="44"/>
      <x:c r="B297" s="44"/>
      <x:c r="C297" s="44"/>
      <x:c r="D297" s="44"/>
      <x:c r="E297" s="44"/>
      <x:c r="F297" s="44"/>
      <x:c r="G297" s="44"/>
      <x:c r="H297" s="44"/>
      <x:c r="I297" s="44"/>
      <x:c r="J297" s="44"/>
      <x:c r="K297" s="44"/>
      <x:c r="L297" s="44"/>
      <x:c r="M297" s="44"/>
      <x:c r="N297" s="44"/>
      <x:c r="O297" s="44"/>
    </x:row>
    <x:row r="298">
      <x:c r="A298" s="44"/>
      <x:c r="B298" s="44"/>
      <x:c r="C298" s="44"/>
      <x:c r="D298" s="44"/>
      <x:c r="E298" s="44"/>
      <x:c r="F298" s="44"/>
      <x:c r="G298" s="44"/>
      <x:c r="H298" s="44"/>
      <x:c r="I298" s="44"/>
      <x:c r="J298" s="44"/>
      <x:c r="K298" s="44"/>
      <x:c r="L298" s="44"/>
      <x:c r="M298" s="44"/>
      <x:c r="N298" s="44"/>
      <x:c r="O298" s="44"/>
    </x:row>
    <x:row r="299">
      <x:c r="A299" s="44"/>
      <x:c r="B299" s="44"/>
      <x:c r="C299" s="44"/>
      <x:c r="D299" s="44"/>
      <x:c r="E299" s="44"/>
      <x:c r="F299" s="44"/>
      <x:c r="G299" s="44"/>
      <x:c r="H299" s="44"/>
      <x:c r="I299" s="44"/>
      <x:c r="J299" s="44"/>
      <x:c r="K299" s="44"/>
      <x:c r="L299" s="44"/>
      <x:c r="M299" s="44"/>
      <x:c r="N299" s="44"/>
      <x:c r="O299" s="44"/>
    </x:row>
    <x:row r="300">
      <x:c r="A300" s="45"/>
      <x:c r="B300" s="45"/>
      <x:c r="C300" s="45"/>
      <x:c r="D300" s="45"/>
      <x:c r="E300" s="45"/>
      <x:c r="F300" s="45"/>
      <x:c r="G300" s="45"/>
      <x:c r="H300" s="45"/>
      <x:c r="I300" s="45"/>
      <x:c r="J300" s="45"/>
      <x:c r="K300" s="45"/>
      <x:c r="L300" s="45"/>
      <x:c r="M300" s="45"/>
      <x:c r="N300" s="45"/>
      <x:c r="O300" s="45"/>
    </x:row>
  </x:sheetData>
  <x:mergeCells>
    <x:mergeCell ref="A1:O1"/>
    <x:mergeCell ref="A2:O2"/>
  </x:mergeCells>
  <x:dataValidations count="5">
    <x:dataValidation type="list" sqref="B5:B300">
      <x:formula1>"Perfil del proyecto,TRL,CRL,Problema,Usuario,Entorno,Solución,Evidencias,Mercado,Negocio,Objetivo,Otra"</x:formula1>
    </x:dataValidation>
    <x:dataValidation type="list" sqref="D5:D300">
      <x:formula1>"Sí/No,Escala 1-5,Selección única,Selección múltiple,Texto corto,Texto largo,Número,Fecha,Archivo"</x:formula1>
    </x:dataValidation>
    <x:dataValidation type="list" sqref="F5:F300">
      <x:formula1>"Sí,No,Condicional"</x:formula1>
    </x:dataValidation>
    <x:dataValidation type="list" sqref="H5:I300">
      <x:formula1>"Sí,No,Indirectamente,Por validar"</x:formula1>
    </x:dataValidation>
    <x:dataValidation type="list" sqref="M5:M300">
      <x:formula1>"Borrador,Por validar CEDIA,Validada,Inactiva"</x:formula1>
    </x:dataValidation>
  </x:dataValidations>
  <x:pageMargins left="0.7" right="0.7" top="0.75" bottom="0.75" header="0.3" footer="0.3"/>
  <x:tableParts count="1">
    <x:tablePart xmlns:r="http://schemas.openxmlformats.org/officeDocument/2006/relationships" r:id="Rc9232a4160c34698"/>
  </x:tableParts>
</x:worksheet>
</file>

<file path=xl/worksheets/sheet8.xml><?xml version="1.0" encoding="utf-8"?>
<x:worksheet xmlns:x="http://schemas.openxmlformats.org/spreadsheetml/2006/main">
  <x:sheetFormatPr defaultRowHeight="15"/>
  <x:cols>
    <x:col min="1" max="1" width="16" hidden="0" customWidth="1"/>
    <x:col min="2" max="2" width="22" hidden="0" customWidth="1"/>
    <x:col min="3" max="3" width="20" hidden="0" customWidth="1"/>
    <x:col min="4" max="4" width="22" hidden="0" customWidth="1"/>
    <x:col min="5" max="5" width="34" hidden="0" customWidth="1"/>
    <x:col min="6" max="6" width="30" hidden="0" customWidth="1"/>
    <x:col min="7" max="7" width="14" hidden="0" customWidth="1"/>
    <x:col min="8" max="8" width="38" hidden="0" customWidth="1"/>
    <x:col min="9" max="9" width="20" hidden="0" customWidth="1"/>
    <x:col min="10" max="10" width="30" hidden="0" customWidth="1"/>
    <x:col min="11" max="11" width="38" hidden="0" customWidth="1"/>
    <x:col min="12" max="12" width="38" hidden="0" customWidth="1"/>
    <x:col min="13" max="13" width="28" hidden="0" customWidth="1"/>
    <x:col min="14" max="14" width="18" hidden="0" customWidth="1"/>
    <x:col min="16" max="16" width="42" hidden="0" customWidth="1"/>
    <x:col min="17" max="17" width="16" hidden="0" customWidth="1"/>
    <x:col min="18" max="18" width="40" hidden="0" customWidth="1"/>
    <x:col min="15" max="15" width="42" hidden="0" customWidth="1"/>
  </x:cols>
  <x:sheetData>
    <x:row r="1" ht="28" customHeight="1">
      <x:c r="A1" s="6" t="str">
        <x:v>07 — DEPENDENCIAS ENTRE HERRAMIENTAS</x:v>
      </x:c>
      <x:c r="B1" s="6" t="str">
        <x:v>07 — DEPENDENCIAS ENTRE HERRAMIENTAS</x:v>
      </x:c>
      <x:c r="C1" s="6" t="str">
        <x:v>07 — DEPENDENCIAS ENTRE HERRAMIENTAS</x:v>
      </x:c>
      <x:c r="D1" s="6" t="str">
        <x:v>07 — DEPENDENCIAS ENTRE HERRAMIENTAS</x:v>
      </x:c>
      <x:c r="E1" s="6" t="str">
        <x:v>07 — DEPENDENCIAS ENTRE HERRAMIENTAS</x:v>
      </x:c>
      <x:c r="F1" s="6" t="str">
        <x:v>07 — DEPENDENCIAS ENTRE HERRAMIENTAS</x:v>
      </x:c>
      <x:c r="G1" s="6" t="str">
        <x:v>07 — DEPENDENCIAS ENTRE HERRAMIENTAS</x:v>
      </x:c>
      <x:c r="H1" s="6" t="str">
        <x:v>07 — DEPENDENCIAS ENTRE HERRAMIENTAS</x:v>
      </x:c>
      <x:c r="I1" s="6" t="str">
        <x:v>07 — DEPENDENCIAS ENTRE HERRAMIENTAS</x:v>
      </x:c>
      <x:c r="J1" s="6" t="str">
        <x:v>07 — DEPENDENCIAS ENTRE HERRAMIENTAS</x:v>
      </x:c>
    </x:row>
    <x:row r="2" ht="48" customHeight="1">
      <x:c r="A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B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C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D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E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F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G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H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I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J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K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L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M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N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O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c r="P2" s="297" t="str">
        <x:v>Esta hoja registra relaciones directas entre pares de herramientas. NO crea una secuencia lineal obligatoria. La capa principal de habilitación está en 20_PRERREQUISITOS_EVIDENCIA: si el proyecto ya posee evidencia equivalente y suficiente, puede omitir una herramienta antecedente. Las relaciones «Antes de» y «Bloquea a» son condicionales y deben leerse junto con la evidencia requerida.</x:v>
      </x:c>
    </x:row>
    <x:row r="4" ht="34" customHeight="1">
      <x:c r="A4" s="28" t="str">
        <x:v>ID_DEPENDENCIA</x:v>
      </x:c>
      <x:c r="B4" s="55" t="str">
        <x:v>ID_HERRAMIENTA_ORIGEN</x:v>
      </x:c>
      <x:c r="C4" s="55" t="str">
        <x:v>RELACION</x:v>
      </x:c>
      <x:c r="D4" s="55" t="str">
        <x:v>ID_HERRAMIENTA_DESTINO</x:v>
      </x:c>
      <x:c r="E4" s="55" t="str">
        <x:v>CONDICION</x:v>
      </x:c>
      <x:c r="F4" s="55" t="str">
        <x:v>EVIDENCIA_REQUERIDA</x:v>
      </x:c>
      <x:c r="G4" s="55" t="str">
        <x:v>OBLIGATORIA</x:v>
      </x:c>
      <x:c r="H4" s="55" t="str">
        <x:v>JUSTIFICACION</x:v>
      </x:c>
      <x:c r="I4" s="55" t="str">
        <x:v>ESTADO_VALIDACION</x:v>
      </x:c>
      <x:c r="J4" s="29" t="str">
        <x:v>NOTAS</x:v>
      </x:c>
      <x:c r="K4" s="214" t="str">
        <x:v>FUENTE_ORIGEN</x:v>
      </x:c>
      <x:c r="L4" s="214" t="str">
        <x:v>FUENTE_DESTINO</x:v>
      </x:c>
      <x:c r="M4" s="214" t="str">
        <x:v>TIPO_SUSTENTO</x:v>
      </x:c>
      <x:c r="N4" s="214" t="str">
        <x:v>FUERZA_DEPENDENCIA</x:v>
      </x:c>
      <x:c r="O4" s="228" t="str">
        <x:v>FUENTE_SECUNDARIA</x:v>
      </x:c>
      <x:c r="P4" s="232" t="str">
        <x:v>RESUMEN RED DE DEPENDENCIAS</x:v>
      </x:c>
      <x:c r="Q4" s="233" t="str">
        <x:v>VALOR</x:v>
      </x:c>
      <x:c r="R4" s="233" t="str">
        <x:v>LECTURA</x:v>
      </x:c>
    </x:row>
    <x:row r="5">
      <x:c r="A5" s="136" t="str">
        <x:v>DEP-001</x:v>
      </x:c>
      <x:c r="B5" s="136" t="str">
        <x:v>IDE-008</x:v>
      </x:c>
      <x:c r="C5" s="136" t="str">
        <x:v>Antes de</x:v>
      </x:c>
      <x:c r="D5" s="136" t="str">
        <x:v>IDE-001</x:v>
      </x:c>
      <x:c r="E5" s="136" t="str">
        <x:v>Cuando la problemática todavía es amplia o no está suficientemente delimitada para trabajar un único problema central.</x:v>
      </x:c>
      <x:c r="F5" s="136" t="str">
        <x:v>Planteamiento estructurado del problema: tema, quién, qué, situación y valor esperado.</x:v>
      </x:c>
      <x:c r="G5" s="136" t="str">
        <x:v>Condicional</x:v>
      </x:c>
      <x:c r="H5" s="136" t="str">
        <x:v>Planteamiento del Problema ayuda a delimitar la problemática; Árbol de Problemas exige concentrarse en una única problemática central.</x:v>
      </x:c>
      <x:c r="I5" s="136" t="str">
        <x:v>Borrador sustentado</x:v>
      </x:c>
      <x:c r="J5" s="136" t="str">
        <x:v>No es obligatorio si el proyecto ya llega con un problema central claramente definido.</x:v>
      </x:c>
      <x:c r="K5" s="136" t="str">
        <x:v>IDEACIÓN - Planteamiento del Problema.pdf</x:v>
      </x:c>
      <x:c r="L5" s="136" t="str">
        <x:v>IDEACIÓN - ÁRBOL DE PROBLEMAS.pdf</x:v>
      </x:c>
      <x:c r="M5" s="136" t="str">
        <x:v>Directo + inferencia sustentada</x:v>
      </x:c>
      <x:c r="N5" s="136" t="str">
        <x:v>Media</x:v>
      </x:c>
      <x:c r="P5" s="207" t="str">
        <x:v>Dependencias construidas</x:v>
      </x:c>
      <x:c r="Q5" s="207" t="n">
        <x:v>59</x:v>
      </x:c>
      <x:c r="R5" s="207" t="str">
        <x:v>Red propuesta de 34 herramientas; 26 actuales + 8 nuevas.</x:v>
      </x:c>
    </x:row>
    <x:row r="6">
      <x:c r="A6" s="136" t="str">
        <x:v>DEP-002</x:v>
      </x:c>
      <x:c r="B6" s="136" t="str">
        <x:v>IDE-001</x:v>
      </x:c>
      <x:c r="C6" s="136" t="str">
        <x:v>Complementaria con</x:v>
      </x:c>
      <x:c r="D6" s="136" t="str">
        <x:v>IDE-005</x:v>
      </x:c>
      <x:c r="E6" s="136" t="str">
        <x:v>Cuando el equipo ya organizó problema, causas y efectos, pero necesita profundizar o clasificar las posibles causas.</x:v>
      </x:c>
      <x:c r="F6" s="136" t="str">
        <x:v>Problema central y causas preliminares documentadas.</x:v>
      </x:c>
      <x:c r="G6" s="136" t="str">
        <x:v>Condicional</x:v>
      </x:c>
      <x:c r="H6" s="136" t="str">
        <x:v>Árbol de Problemas organiza causas y efectos; Ishikawa profundiza y clasifica causas principales y secundarias de un problema definido.</x:v>
      </x:c>
      <x:c r="I6" s="136" t="str">
        <x:v>Borrador sustentado</x:v>
      </x:c>
      <x:c r="J6" s="136" t="str">
        <x:v>No implica que siempre deban usarse juntas.</x:v>
      </x:c>
      <x:c r="K6" s="136" t="str">
        <x:v>IDEACIÓN - ÁRBOL DE PROBLEMAS.pdf</x:v>
      </x:c>
      <x:c r="L6" s="136" t="str">
        <x:v>IDEACIÓN - Diagrama de Ishikawa.pdf</x:v>
      </x:c>
      <x:c r="M6" s="136" t="str">
        <x:v>Directo + inferencia sustentada</x:v>
      </x:c>
      <x:c r="N6" s="136" t="str">
        <x:v>Alta</x:v>
      </x:c>
      <x:c r="P6" s="207" t="str">
        <x:v>Fuerza alta</x:v>
      </x:c>
      <x:c r="Q6" s="207" t="n">
        <x:v>31</x:v>
      </x:c>
      <x:c r="R6" s="207" t="str">
        <x:v>Priorizar como relaciones principales.</x:v>
      </x:c>
    </x:row>
    <x:row r="7">
      <x:c r="A7" s="136" t="str">
        <x:v>DEP-003</x:v>
      </x:c>
      <x:c r="B7" s="136" t="str">
        <x:v>IDE-003</x:v>
      </x:c>
      <x:c r="C7" s="136" t="str">
        <x:v>Complementaria con</x:v>
      </x:c>
      <x:c r="D7" s="136" t="str">
        <x:v>IDE-004</x:v>
      </x:c>
      <x:c r="E7" s="136" t="str">
        <x:v>Cuando, dentro del plan de investigación, todavía se deben formular o mejorar las preguntas para obtener información útil.</x:v>
      </x:c>
      <x:c r="F7" s="136" t="str">
        <x:v>Objetivo de investigación e información específica que se necesita conocer.</x:v>
      </x:c>
      <x:c r="G7" s="136" t="str">
        <x:v>Condicional</x:v>
      </x:c>
      <x:c r="H7" s="136" t="str">
        <x:v>El Brief define qué información se busca y qué preguntas se necesitan; Componentes de Preguntas Poderosas ayuda a formular preguntas efectivas.</x:v>
      </x:c>
      <x:c r="I7" s="136" t="str">
        <x:v>Borrador sustentado</x:v>
      </x:c>
      <x:c r="J7" s="136" t="str">
        <x:v>La relación puede ocurrir durante la construcción del Brief, no necesariamente después.</x:v>
      </x:c>
      <x:c r="K7" s="136" t="str">
        <x:v>IDEACIÓN - Brief de investigación.pdf</x:v>
      </x:c>
      <x:c r="L7" s="136" t="str">
        <x:v>IDEACIÓN - Componentes de Preguntas Poderosas.pdf</x:v>
      </x:c>
      <x:c r="M7" s="136" t="str">
        <x:v>Directo + inferencia sustentada</x:v>
      </x:c>
      <x:c r="N7" s="136" t="str">
        <x:v>Alta</x:v>
      </x:c>
      <x:c r="P7" s="207" t="str">
        <x:v>Fuerza media</x:v>
      </x:c>
      <x:c r="Q7" s="207" t="n">
        <x:v>28</x:v>
      </x:c>
      <x:c r="R7" s="207" t="str">
        <x:v>Aplicar según contexto y evidencia.</x:v>
      </x:c>
    </x:row>
    <x:row r="8">
      <x:c r="A8" s="136" t="str">
        <x:v>DEP-004</x:v>
      </x:c>
      <x:c r="B8" s="136" t="str">
        <x:v>IDE-008</x:v>
      </x:c>
      <x:c r="C8" s="136" t="str">
        <x:v>Antes de</x:v>
      </x:c>
      <x:c r="D8" s="136" t="str">
        <x:v>IDE-006</x:v>
      </x:c>
      <x:c r="E8" s="136" t="str">
        <x:v>Cuando aún no existe claridad suficiente sobre el problema que se convertirá en una pregunta «¿Cómo podríamos…?».</x:v>
      </x:c>
      <x:c r="F8" s="136" t="str">
        <x:v>Problema delimitado y, adicionalmente, al menos un insight o aprendizaje relevante.</x:v>
      </x:c>
      <x:c r="G8" s="136" t="str">
        <x:v>Condicional</x:v>
      </x:c>
      <x:c r="H8" s="136" t="str">
        <x:v>How Might We requiere claridad sobre el problema e insights; Planteamiento del Problema puede aportar una formulación estructurada del problema.</x:v>
      </x:c>
      <x:c r="I8" s="136" t="str">
        <x:v>Borrador sustentado</x:v>
      </x:c>
      <x:c r="J8" s="136" t="str">
        <x:v>Planteamiento del Problema no genera por sí solo todos los insights requeridos.</x:v>
      </x:c>
      <x:c r="K8" s="136" t="str">
        <x:v>IDEACIÓN - Planteamiento del Problema.pdf</x:v>
      </x:c>
      <x:c r="L8" s="136" t="str">
        <x:v>IDEACIÓN - How might we.pdf</x:v>
      </x:c>
      <x:c r="M8" s="136" t="str">
        <x:v>Inferencia sustentada</x:v>
      </x:c>
      <x:c r="N8" s="136" t="str">
        <x:v>Media</x:v>
      </x:c>
      <x:c r="P8" s="207" t="str">
        <x:v>Bloqueos condicionales</x:v>
      </x:c>
      <x:c r="Q8" s="207" t="n">
        <x:v>2</x:v>
      </x:c>
      <x:c r="R8" s="207" t="str">
        <x:v>Funcionan como gates, no como prohibiciones absolutas.</x:v>
      </x:c>
    </x:row>
    <x:row r="9">
      <x:c r="A9" s="136" t="str">
        <x:v>DEP-005</x:v>
      </x:c>
      <x:c r="B9" s="136" t="str">
        <x:v>IDE-006</x:v>
      </x:c>
      <x:c r="C9" s="136" t="str">
        <x:v>Antes de</x:v>
      </x:c>
      <x:c r="D9" s="136" t="str">
        <x:v>IDE-002</x:v>
      </x:c>
      <x:c r="E9" s="136" t="str">
        <x:v>Cuando el usuario ya formuló una pregunta de oportunidad y necesita generar muchas alternativas de respuesta.</x:v>
      </x:c>
      <x:c r="F9" s="136" t="str">
        <x:v>Pregunta «¿Cómo podríamos…?» abierta y enfocada.</x:v>
      </x:c>
      <x:c r="G9" s="136" t="str">
        <x:v>Condicional</x:v>
      </x:c>
      <x:c r="H9" s="136" t="str">
        <x:v>How Might We abre el espacio de solución mediante preguntas; Brainstorming permite generar múltiples ideas como respuestas posibles.</x:v>
      </x:c>
      <x:c r="I9" s="136" t="str">
        <x:v>Borrador sustentado</x:v>
      </x:c>
      <x:c r="J9" s="136" t="str">
        <x:v>Brainstorming también puede iniciarse desde otro reto bien definido.</x:v>
      </x:c>
      <x:c r="K9" s="136" t="str">
        <x:v>IDEACIÓN - How might we.pdf</x:v>
      </x:c>
      <x:c r="L9" s="136" t="str">
        <x:v>IDEACIÓN - Brainstorming.pdf</x:v>
      </x:c>
      <x:c r="M9" s="136" t="str">
        <x:v>Inferencia sustentada</x:v>
      </x:c>
      <x:c r="N9" s="136" t="str">
        <x:v>Alta</x:v>
      </x:c>
      <x:c r="P9" s="207" t="str">
        <x:v>Estado</x:v>
      </x:c>
      <x:c r="Q9" s="207" t="str">
        <x:v>Borrador sustentado</x:v>
      </x:c>
      <x:c r="R9" s="207" t="str">
        <x:v>Validar con CEDIA antes de automatizar</x:v>
      </x:c>
    </x:row>
    <x:row r="10">
      <x:c r="A10" s="136" t="str">
        <x:v>DEP-006</x:v>
      </x:c>
      <x:c r="B10" s="136" t="str">
        <x:v>IDE-006</x:v>
      </x:c>
      <x:c r="C10" s="136" t="str">
        <x:v>Antes de</x:v>
      </x:c>
      <x:c r="D10" s="136" t="str">
        <x:v>IDE-007</x:v>
      </x:c>
      <x:c r="E10" s="136" t="str">
        <x:v>Cuando se desea expandir de forma estructurada una pregunta o reto de oportunidad en múltiples líneas de ideas.</x:v>
      </x:c>
      <x:c r="F10" s="136" t="str">
        <x:v>Pregunta de oportunidad o reto central claramente definido.</x:v>
      </x:c>
      <x:c r="G10" s="136" t="str">
        <x:v>Condicional</x:v>
      </x:c>
      <x:c r="H10" s="136" t="str">
        <x:v>How Might We formula oportunidades; Lotus Blossom expande un concepto o reto central en ideas y subconceptos.</x:v>
      </x:c>
      <x:c r="I10" s="136" t="str">
        <x:v>Borrador sustentado</x:v>
      </x:c>
      <x:c r="J10" s="136" t="str">
        <x:v>Lotus Blossom puede partir de otros retos o conceptos, no exclusivamente de HMW.</x:v>
      </x:c>
      <x:c r="K10" s="136" t="str">
        <x:v>IDEACIÓN - How might we.pdf</x:v>
      </x:c>
      <x:c r="L10" s="136" t="str">
        <x:v>IDEACIÓN - Lotus Blossom.pdf</x:v>
      </x:c>
      <x:c r="M10" s="136" t="str">
        <x:v>Inferencia sustentada</x:v>
      </x:c>
      <x:c r="N10" s="136" t="str">
        <x:v>Alta</x:v>
      </x:c>
    </x:row>
    <x:row r="11">
      <x:c r="A11" s="136" t="str">
        <x:v>DEP-007</x:v>
      </x:c>
      <x:c r="B11" s="136" t="str">
        <x:v>IDE-002</x:v>
      </x:c>
      <x:c r="C11" s="136" t="str">
        <x:v>Alternativa a</x:v>
      </x:c>
      <x:c r="D11" s="136" t="str">
        <x:v>IDE-007</x:v>
      </x:c>
      <x:c r="E11" s="136" t="str">
        <x:v>Cuando el objetivo es generar alternativas de solución y se debe escoger entre un proceso libre/colectivo o uno estructurado por expansión del concepto.</x:v>
      </x:c>
      <x:c r="F11" s="136" t="str">
        <x:v>Problema, pregunta o reto definido.</x:v>
      </x:c>
      <x:c r="G11" s="136" t="str">
        <x:v>No</x:v>
      </x:c>
      <x:c r="H11" s="136" t="str">
        <x:v>Brainstorming y Lotus Blossom son herramientas de divergencia: la primera genera ideas colectivamente y la segunda expande sistemáticamente un concepto central.</x:v>
      </x:c>
      <x:c r="I11" s="136" t="str">
        <x:v>Borrador sustentado</x:v>
      </x:c>
      <x:c r="J11" s="136" t="str">
        <x:v>También pueden utilizarse de forma complementaria si se requiere mayor amplitud.</x:v>
      </x:c>
      <x:c r="K11" s="136" t="str">
        <x:v>IDEACIÓN - Brainstorming.pdf</x:v>
      </x:c>
      <x:c r="L11" s="136" t="str">
        <x:v>IDEACIÓN - Lotus Blossom.pdf</x:v>
      </x:c>
      <x:c r="M11" s="136" t="str">
        <x:v>Inferencia sustentada</x:v>
      </x:c>
      <x:c r="N11" s="136" t="str">
        <x:v>Media</x:v>
      </x:c>
    </x:row>
    <x:row r="12">
      <x:c r="A12" s="136" t="str">
        <x:v>DEP-008</x:v>
      </x:c>
      <x:c r="B12" s="136" t="str">
        <x:v>PRO-001</x:v>
      </x:c>
      <x:c r="C12" s="136" t="str">
        <x:v>Complementaria con</x:v>
      </x:c>
      <x:c r="D12" s="136" t="str">
        <x:v>PRO-002</x:v>
      </x:c>
      <x:c r="E12" s="136" t="str">
        <x:v>Cuando se necesita combinar la comprensión de los trabajos prioritarios del cliente con una lectura más profunda de sus motivaciones, frustraciones y contexto.</x:v>
      </x:c>
      <x:c r="F12" s="136" t="str">
        <x:v>Información de usuario y necesidades obtenida mediante investigación o conocimiento previo.</x:v>
      </x:c>
      <x:c r="G12" s="136" t="str">
        <x:v>No</x:v>
      </x:c>
      <x:c r="H12" s="136" t="str">
        <x:v>Job To Be Done prioriza trabajos funcionales, emocionales y sociales; Mapa de Empatía profundiza en pensamientos, sentimientos, entorno, frustraciones y motivaciones.</x:v>
      </x:c>
      <x:c r="I12" s="136" t="str">
        <x:v>Borrador sustentado</x:v>
      </x:c>
      <x:c r="J12" s="136" t="str">
        <x:v>Ninguna de las dos debe considerarse sustituto automático de investigación real con usuarios.</x:v>
      </x:c>
      <x:c r="K12" s="136" t="str">
        <x:v>PROTOTIPADO - Job To Be Donde.pdf</x:v>
      </x:c>
      <x:c r="L12" s="136" t="str">
        <x:v>PROTOTIPADO - Mapa de Empatía.pdf</x:v>
      </x:c>
      <x:c r="M12" s="136" t="str">
        <x:v>Directo + inferencia sustentada</x:v>
      </x:c>
      <x:c r="N12" s="136" t="str">
        <x:v>Alta</x:v>
      </x:c>
    </x:row>
    <x:row r="13">
      <x:c r="A13" s="136" t="str">
        <x:v>DEP-009</x:v>
      </x:c>
      <x:c r="B13" s="136" t="str">
        <x:v>PRO-001</x:v>
      </x:c>
      <x:c r="C13" s="136" t="str">
        <x:v>Antes de</x:v>
      </x:c>
      <x:c r="D13" s="136" t="str">
        <x:v>PRO-003</x:v>
      </x:c>
      <x:c r="E13" s="136" t="str">
        <x:v>Cuando todavía no está claramente definido el trabajo prioritario que la solución debe resolver.</x:v>
      </x:c>
      <x:c r="F13" s="136" t="str">
        <x:v>Jobs del cliente identificados y priorizados.</x:v>
      </x:c>
      <x:c r="G13" s="136" t="str">
        <x:v>Condicional</x:v>
      </x:c>
      <x:c r="H13" s="136" t="str">
        <x:v>Job To Be Done define y prioriza los trabajos del cliente; ¿Qué debe hacer mi solución? parte explícitamente de la definición del trabajo a resolver.</x:v>
      </x:c>
      <x:c r="I13" s="136" t="str">
        <x:v>Borrador sustentado</x:v>
      </x:c>
      <x:c r="J13" s="136" t="str">
        <x:v>Puede omitirse si el trabajo del cliente ya está sustentado por otra evidencia equivalente.</x:v>
      </x:c>
      <x:c r="K13" s="136" t="str">
        <x:v>PROTOTIPADO - Job To Be Donde.pdf</x:v>
      </x:c>
      <x:c r="L13" s="136" t="str">
        <x:v>PROTOTIPADO - Que debe hacer mi solución.docx.pdf</x:v>
      </x:c>
      <x:c r="M13" s="136" t="str">
        <x:v>Directo + inferencia sustentada</x:v>
      </x:c>
      <x:c r="N13" s="136" t="str">
        <x:v>Alta</x:v>
      </x:c>
    </x:row>
    <x:row r="14">
      <x:c r="A14" s="136" t="str">
        <x:v>DEP-010</x:v>
      </x:c>
      <x:c r="B14" s="136" t="str">
        <x:v>PRO-002</x:v>
      </x:c>
      <x:c r="C14" s="136" t="str">
        <x:v>Complementaria con</x:v>
      </x:c>
      <x:c r="D14" s="136" t="str">
        <x:v>PRO-003</x:v>
      </x:c>
      <x:c r="E14" s="136" t="str">
        <x:v>Cuando los atributos de la solución requieren una comprensión más profunda de motivaciones, frustraciones y contexto del usuario.</x:v>
      </x:c>
      <x:c r="F14" s="136" t="str">
        <x:v>Mapa de Empatía o evidencia equivalente sobre el usuario.</x:v>
      </x:c>
      <x:c r="G14" s="136" t="str">
        <x:v>Condicional</x:v>
      </x:c>
      <x:c r="H14" s="136" t="str">
        <x:v>Mapa de Empatía profundiza la comprensión del usuario; ¿Qué debe hacer mi solución? traduce necesidades en atributos funcionales y emocionales.</x:v>
      </x:c>
      <x:c r="I14" s="136" t="str">
        <x:v>Borrador sustentado</x:v>
      </x:c>
      <x:c r="J14" s="136" t="str">
        <x:v>No es una dependencia obligatoria si existe evidencia de usuario por otra vía.</x:v>
      </x:c>
      <x:c r="K14" s="136" t="str">
        <x:v>PROTOTIPADO - Mapa de Empatía.pdf</x:v>
      </x:c>
      <x:c r="L14" s="136" t="str">
        <x:v>PROTOTIPADO - Que debe hacer mi solución.docx.pdf</x:v>
      </x:c>
      <x:c r="M14" s="136" t="str">
        <x:v>Inferencia sustentada</x:v>
      </x:c>
      <x:c r="N14" s="136" t="str">
        <x:v>Media</x:v>
      </x:c>
    </x:row>
    <x:row r="15">
      <x:c r="A15" s="136" t="str">
        <x:v>DEP-011</x:v>
      </x:c>
      <x:c r="B15" s="136" t="str">
        <x:v>PRO-003</x:v>
      </x:c>
      <x:c r="C15" s="136" t="str">
        <x:v>Antes de</x:v>
      </x:c>
      <x:c r="D15" s="136" t="str">
        <x:v>PRO-004</x:v>
      </x:c>
      <x:c r="E15" s="136" t="str">
        <x:v>Cuando aún no se han traducido las necesidades del cliente en atributos suficientemente claros para especificar requisitos.</x:v>
      </x:c>
      <x:c r="F15" s="136" t="str">
        <x:v>Trabajo a resolver, necesidades principales y atributos funcionales/emocionales definidos.</x:v>
      </x:c>
      <x:c r="G15" s="136" t="str">
        <x:v>Condicional</x:v>
      </x:c>
      <x:c r="H15" s="136" t="str">
        <x:v>¿Qué debe hacer mi solución? define trabajo, necesidades y atributos; Requisitos de Solución especifica requisitos funcionales, tecnológicos y expresivos.</x:v>
      </x:c>
      <x:c r="I15" s="136" t="str">
        <x:v>Borrador sustentado</x:v>
      </x:c>
      <x:c r="J15" s="136" t="str">
        <x:v>Es una de las dependencias más fuertes del bloque de prototipado.</x:v>
      </x:c>
      <x:c r="K15" s="136" t="str">
        <x:v>PROTOTIPADO - Que debe hacer mi solución.docx.pdf</x:v>
      </x:c>
      <x:c r="L15" s="136" t="str">
        <x:v>PROTOTIPADO - Requisitos de Solución.pdf</x:v>
      </x:c>
      <x:c r="M15" s="136" t="str">
        <x:v>Directo + inferencia sustentada</x:v>
      </x:c>
      <x:c r="N15" s="136" t="str">
        <x:v>Alta</x:v>
      </x:c>
    </x:row>
    <x:row r="16">
      <x:c r="A16" s="136" t="str">
        <x:v>DEP-012</x:v>
      </x:c>
      <x:c r="B16" s="136" t="str">
        <x:v>PRO-003</x:v>
      </x:c>
      <x:c r="C16" s="136" t="str">
        <x:v>Antes de</x:v>
      </x:c>
      <x:c r="D16" s="136" t="str">
        <x:v>PRO-005</x:v>
      </x:c>
      <x:c r="E16" s="136" t="str">
        <x:v>Cuando todavía no existe una solución suficientemente definida para representar cómo interactuaría el usuario con ella.</x:v>
      </x:c>
      <x:c r="F16" s="136" t="str">
        <x:v>Concepto de solución, trabajo a resolver y atributos principales definidos.</x:v>
      </x:c>
      <x:c r="G16" s="136" t="str">
        <x:v>Condicional</x:v>
      </x:c>
      <x:c r="H16" s="136" t="str">
        <x:v>¿Qué debe hacer mi solución? estructura qué debe ofrecer la propuesta; Storyboard representa visualmente la interacción del usuario con el producto o servicio.</x:v>
      </x:c>
      <x:c r="I16" s="136" t="str">
        <x:v>Borrador sustentado</x:v>
      </x:c>
      <x:c r="J16" s="136" t="str">
        <x:v>El Storyboard puede partir de otra definición equivalente de la solución.</x:v>
      </x:c>
      <x:c r="K16" s="136" t="str">
        <x:v>PROTOTIPADO - Que debe hacer mi solución.docx.pdf</x:v>
      </x:c>
      <x:c r="L16" s="136" t="str">
        <x:v>PROTOTIPADO - Storyboard.pdf</x:v>
      </x:c>
      <x:c r="M16" s="136" t="str">
        <x:v>Inferencia sustentada</x:v>
      </x:c>
      <x:c r="N16" s="136" t="str">
        <x:v>Alta</x:v>
      </x:c>
    </x:row>
    <x:row r="17">
      <x:c r="A17" s="136" t="str">
        <x:v>DEP-013</x:v>
      </x:c>
      <x:c r="B17" s="136" t="str">
        <x:v>PRO-004</x:v>
      </x:c>
      <x:c r="C17" s="136" t="str">
        <x:v>Complementaria con</x:v>
      </x:c>
      <x:c r="D17" s="136" t="str">
        <x:v>PRO-005</x:v>
      </x:c>
      <x:c r="E17" s="136" t="str">
        <x:v>Cuando la experiencia representada en el Storyboard debe contrastarse con requisitos funcionales, tecnológicos o expresivos ya definidos.</x:v>
      </x:c>
      <x:c r="F17" s="136" t="str">
        <x:v>Requisitos de solución documentados.</x:v>
      </x:c>
      <x:c r="G17" s="136" t="str">
        <x:v>No</x:v>
      </x:c>
      <x:c r="H17" s="136" t="str">
        <x:v>Requisitos de Solución define condiciones del diseño; Storyboard permite observar cómo esas condiciones se manifiestan en la experiencia de interacción.</x:v>
      </x:c>
      <x:c r="I17" s="136" t="str">
        <x:v>Borrador sustentado</x:v>
      </x:c>
      <x:c r="J17" s="136" t="str">
        <x:v>No es requisito para dibujar un Storyboard inicial.</x:v>
      </x:c>
      <x:c r="K17" s="136" t="str">
        <x:v>PROTOTIPADO - Requisitos de Solución.pdf</x:v>
      </x:c>
      <x:c r="L17" s="136" t="str">
        <x:v>PROTOTIPADO - Storyboard.pdf</x:v>
      </x:c>
      <x:c r="M17" s="136" t="str">
        <x:v>Inferencia sustentada</x:v>
      </x:c>
      <x:c r="N17" s="136" t="str">
        <x:v>Media</x:v>
      </x:c>
    </x:row>
    <x:row r="18">
      <x:c r="A18" s="136" t="str">
        <x:v>DEP-014</x:v>
      </x:c>
      <x:c r="B18" s="136" t="str">
        <x:v>IDE-002</x:v>
      </x:c>
      <x:c r="C18" s="136" t="str">
        <x:v>Antes de</x:v>
      </x:c>
      <x:c r="D18" s="136" t="str">
        <x:v>PRO-006</x:v>
      </x:c>
      <x:c r="E18" s="136" t="str">
        <x:v>Cuando las ideas provienen de Brainstorming y se necesita evaluar cuál tiene mejor potencial antes de continuar su desarrollo.</x:v>
      </x:c>
      <x:c r="F18" s="136" t="str">
        <x:v>Idea o conjunto reducido de ideas candidatas.</x:v>
      </x:c>
      <x:c r="G18" s="136" t="str">
        <x:v>Condicional</x:v>
      </x:c>
      <x:c r="H18" s="136" t="str">
        <x:v>Brainstorming genera múltiples ideas; Tres Lupas evalúa el potencial de una idea desde mercado, factibilidad técnica y viabilidad económica.</x:v>
      </x:c>
      <x:c r="I18" s="136" t="str">
        <x:v>Borrador sustentado</x:v>
      </x:c>
      <x:c r="J18" s="136" t="str">
        <x:v>Tres Lupas puede evaluar ideas originadas por cualquier otro método.</x:v>
      </x:c>
      <x:c r="K18" s="136" t="str">
        <x:v>IDEACIÓN - Brainstorming.pdf</x:v>
      </x:c>
      <x:c r="L18" s="136" t="str">
        <x:v>PROTOTIPADO - Tres Lupas.pdf</x:v>
      </x:c>
      <x:c r="M18" s="136" t="str">
        <x:v>Inferencia sustentada</x:v>
      </x:c>
      <x:c r="N18" s="136" t="str">
        <x:v>Alta</x:v>
      </x:c>
    </x:row>
    <x:row r="19">
      <x:c r="A19" s="136" t="str">
        <x:v>DEP-015</x:v>
      </x:c>
      <x:c r="B19" s="136" t="str">
        <x:v>IDE-007</x:v>
      </x:c>
      <x:c r="C19" s="136" t="str">
        <x:v>Antes de</x:v>
      </x:c>
      <x:c r="D19" s="136" t="str">
        <x:v>PRO-006</x:v>
      </x:c>
      <x:c r="E19" s="136" t="str">
        <x:v>Cuando las ideas provienen de Lotus Blossom y se necesita validar su potencial antes de invertir en mayor desarrollo.</x:v>
      </x:c>
      <x:c r="F19" s="136" t="str">
        <x:v>Ideas priorizadas provenientes de Lotus Blossom.</x:v>
      </x:c>
      <x:c r="G19" s="136" t="str">
        <x:v>Condicional</x:v>
      </x:c>
      <x:c r="H19" s="136" t="str">
        <x:v>Lotus Blossom expande y prioriza ideas; Tres Lupas permite revisar deseo de mercado, posibilidad técnica y viabilidad económica.</x:v>
      </x:c>
      <x:c r="I19" s="136" t="str">
        <x:v>Borrador sustentado</x:v>
      </x:c>
      <x:c r="J19" s="136" t="str">
        <x:v>No significa que todas las ideas del Lotus deban pasar por Tres Lupas.</x:v>
      </x:c>
      <x:c r="K19" s="136" t="str">
        <x:v>IDEACIÓN - Lotus Blossom.pdf</x:v>
      </x:c>
      <x:c r="L19" s="136" t="str">
        <x:v>PROTOTIPADO - Tres Lupas.pdf</x:v>
      </x:c>
      <x:c r="M19" s="136" t="str">
        <x:v>Inferencia sustentada</x:v>
      </x:c>
      <x:c r="N19" s="136" t="str">
        <x:v>Alta</x:v>
      </x:c>
    </x:row>
    <x:row r="20">
      <x:c r="A20" s="136" t="str">
        <x:v>DEP-016</x:v>
      </x:c>
      <x:c r="B20" s="136" t="str">
        <x:v>PRO-006</x:v>
      </x:c>
      <x:c r="C20" s="136" t="str">
        <x:v>Bloquea a</x:v>
      </x:c>
      <x:c r="D20" s="136" t="str">
        <x:v>PRO-004</x:v>
      </x:c>
      <x:c r="E20" s="136" t="str">
        <x:v>Si alguna de las tres perspectivas de Tres Lupas —mercado, factibilidad técnica o viabilidad económica— permanece poco clara o deficiente.</x:v>
      </x:c>
      <x:c r="F20" s="136" t="str">
        <x:v>Evaluación de Tres Lupas con la dimensión débil identificada y plan de trabajo para fortalecerla.</x:v>
      </x:c>
      <x:c r="G20" s="136" t="str">
        <x:v>Condicional</x:v>
      </x:c>
      <x:c r="H20" s="136" t="str">
        <x:v>El documento de Tres Lupas indica que, si uno de los tres aspectos no está claro o es deficiente, debe trabajarse antes de continuar con el desarrollo de la idea.</x:v>
      </x:c>
      <x:c r="I20" s="136" t="str">
        <x:v>Borrador sustentado</x:v>
      </x:c>
      <x:c r="J20" s="136" t="str">
        <x:v>Se interpreta «continuar el desarrollo» como no profundizar todavía en requisitos detallados cuando existe una debilidad crítica.</x:v>
      </x:c>
      <x:c r="K20" s="136" t="str">
        <x:v>PROTOTIPADO - Tres Lupas.pdf</x:v>
      </x:c>
      <x:c r="L20" s="136" t="str">
        <x:v>PROTOTIPADO - Requisitos de Solución.pdf</x:v>
      </x:c>
      <x:c r="M20" s="136" t="str">
        <x:v>Directo + inferencia sustentada</x:v>
      </x:c>
      <x:c r="N20" s="136" t="str">
        <x:v>Alta</x:v>
      </x:c>
    </x:row>
    <x:row r="21">
      <x:c r="A21" s="215" t="str">
        <x:v>DEP-017</x:v>
      </x:c>
      <x:c r="B21" s="215" t="str">
        <x:v>PRO-006</x:v>
      </x:c>
      <x:c r="C21" s="215" t="str">
        <x:v>Bloquea a</x:v>
      </x:c>
      <x:c r="D21" s="215" t="str">
        <x:v>PRO-005</x:v>
      </x:c>
      <x:c r="E21" s="215" t="str">
        <x:v>Si una dimensión crítica de mercado, factibilidad técnica o viabilidad económica no está suficientemente resuelta para representar una experiencia plausible.</x:v>
      </x:c>
      <x:c r="F21" s="215" t="str">
        <x:v>Evaluación Tres Lupas y decisión sobre el componente que debe fortalecerse.</x:v>
      </x:c>
      <x:c r="G21" s="215" t="str">
        <x:v>Condicional</x:v>
      </x:c>
      <x:c r="H21" s="215" t="str">
        <x:v>Tres Lupas establece la necesidad de mejorar cualquier componente deficiente antes de continuar el desarrollo; Storyboard representa una experiencia propuesta que conviene desarrollar cuando la idea tiene una base mínima.</x:v>
      </x:c>
      <x:c r="I21" s="215" t="str">
        <x:v>Borrador sustentado</x:v>
      </x:c>
      <x:c r="J21" s="215" t="str">
        <x:v>Un Storyboard exploratorio muy temprano podría utilizarse antes; por eso el bloqueo es condicional.</x:v>
      </x:c>
      <x:c r="K21" s="215" t="str">
        <x:v>PROTOTIPADO - Tres Lupas.pdf</x:v>
      </x:c>
      <x:c r="L21" s="215" t="str">
        <x:v>PROTOTIPADO - Storyboard.pdf</x:v>
      </x:c>
      <x:c r="M21" s="215" t="str">
        <x:v>Inferencia sustentada</x:v>
      </x:c>
      <x:c r="N21" s="215" t="str">
        <x:v>Media</x:v>
      </x:c>
    </x:row>
    <x:row r="22">
      <x:c r="A22" s="136" t="str">
        <x:v>DEP-018</x:v>
      </x:c>
      <x:c r="B22" s="136" t="str">
        <x:v>PRO-002</x:v>
      </x:c>
      <x:c r="C22" s="136" t="str">
        <x:v>Antes de</x:v>
      </x:c>
      <x:c r="D22" s="136" t="str">
        <x:v>MKT-001</x:v>
      </x:c>
      <x:c r="E22" s="136" t="str">
        <x:v>Cuando ya existe un segmento potencial pero todavía no se ha formalizado un perfil de cliente ideal con objetivos, retos, objeciones y mensajes.</x:v>
      </x:c>
      <x:c r="F22" s="136" t="str">
        <x:v>Mapa de Empatía o evidencia equivalente sobre motivaciones, frustraciones, entorno y comportamiento del usuario.</x:v>
      </x:c>
      <x:c r="G22" s="136" t="str">
        <x:v>Condicional</x:v>
      </x:c>
      <x:c r="H22" s="136" t="str">
        <x:v>El Mapa de Empatía profundiza la comprensión cualitativa del usuario; Buyer Persona convierte ese conocimiento en un perfil específico y accionable.</x:v>
      </x:c>
      <x:c r="I22" s="136" t="str">
        <x:v>Borrador sustentado</x:v>
      </x:c>
      <x:c r="J22" s="136" t="str">
        <x:v>No exigir Mapa de Empatía si existe investigación equivalente y suficientemente documentada.</x:v>
      </x:c>
      <x:c r="K22" s="136" t="str">
        <x:v>PROTOTIPADO - Mapa de Empatía.pdf</x:v>
      </x:c>
      <x:c r="L22" s="136" t="str">
        <x:v>MARKETING - Buyer Persona.pdf</x:v>
      </x:c>
      <x:c r="M22" s="136" t="str">
        <x:v>Directo + inferencia sustentada</x:v>
      </x:c>
      <x:c r="N22" s="136" t="str">
        <x:v>Alta</x:v>
      </x:c>
      <x:c r="O22" s="136" t="str">
        <x:v>Herramientas_TRL_CRL.docx</x:v>
      </x:c>
      <x:c r="P22" s="136" t="str">
        <x:v>El documento propone que el Mapa de Empatía genere insumos directos para Buyer Persona en la fase de comprensión del usuario.</x:v>
      </x:c>
    </x:row>
    <x:row r="23">
      <x:c r="A23" s="136" t="str">
        <x:v>DEP-019</x:v>
      </x:c>
      <x:c r="B23" s="136" t="str">
        <x:v>MKT-001</x:v>
      </x:c>
      <x:c r="C23" s="136" t="str">
        <x:v>Complementaria con</x:v>
      </x:c>
      <x:c r="D23" s="136" t="str">
        <x:v>PRO-003</x:v>
      </x:c>
      <x:c r="E23" s="136" t="str">
        <x:v>Cuando la solución necesita traducir características, objetivos, retos y necesidades del cliente ideal en atributos concretos del producto o servicio.</x:v>
      </x:c>
      <x:c r="F23" s="136" t="str">
        <x:v>Buyer Persona sustentado o perfil de cliente equivalente.</x:v>
      </x:c>
      <x:c r="G23" s="136" t="str">
        <x:v>Condicional</x:v>
      </x:c>
      <x:c r="H23" s="136" t="str">
        <x:v>Buyer Persona describe objetivos, retos y necesidades; ¿Qué debe hacer mi solución? utiliza necesidades del usuario para definir atributos y funcionalidades.</x:v>
      </x:c>
      <x:c r="I23" s="136" t="str">
        <x:v>Borrador sustentado</x:v>
      </x:c>
      <x:c r="J23" s="136" t="str">
        <x:v>Es relación de aporte, no una secuencia obligatoria.</x:v>
      </x:c>
      <x:c r="K23" s="136" t="str">
        <x:v>MARKETING - Buyer Persona.pdf</x:v>
      </x:c>
      <x:c r="L23" s="136" t="str">
        <x:v>PROTOTIPADO - Que debe hacer mi solución.docx.pdf</x:v>
      </x:c>
      <x:c r="M23" s="136" t="str">
        <x:v>Inferencia sustentada</x:v>
      </x:c>
      <x:c r="N23" s="136" t="str">
        <x:v>Alta</x:v>
      </x:c>
      <x:c r="O23" s="136" t="str">
        <x:v>Herramientas_TRL_CRL.docx</x:v>
      </x:c>
      <x:c r="P23" s="136" t="str">
        <x:v>La investigación ubica Buyer Persona antes de la definición de solución y señala que guía el diseño técnico/requisitos.</x:v>
      </x:c>
    </x:row>
    <x:row r="24">
      <x:c r="A24" s="136" t="str">
        <x:v>DEP-020</x:v>
      </x:c>
      <x:c r="B24" s="136" t="str">
        <x:v>PRO-001</x:v>
      </x:c>
      <x:c r="C24" s="136" t="str">
        <x:v>Antes de</x:v>
      </x:c>
      <x:c r="D24" s="136" t="str">
        <x:v>NEG-002</x:v>
      </x:c>
      <x:c r="E24" s="136" t="str">
        <x:v>Cuando el Lienzo de Propuesta de Valor todavía no dispone de trabajos del cliente claramente definidos.</x:v>
      </x:c>
      <x:c r="F24" s="136" t="str">
        <x:v>Jobs funcionales, emocionales y sociales identificados y priorizados.</x:v>
      </x:c>
      <x:c r="G24" s="136" t="str">
        <x:v>Condicional</x:v>
      </x:c>
      <x:c r="H24" s="136" t="str">
        <x:v>El Lienzo de Propuesta de Valor exige definir los Customer Jobs; Job To Be Done produce precisamente esa comprensión y priorización.</x:v>
      </x:c>
      <x:c r="I24" s="136" t="str">
        <x:v>Borrador sustentado</x:v>
      </x:c>
      <x:c r="J24" s="136" t="str">
        <x:v>Puede omitirse si los trabajos del cliente ya fueron validados mediante otra investigación.</x:v>
      </x:c>
      <x:c r="K24" s="136" t="str">
        <x:v>PROTOTIPADO - Job To Be Donde.pdf</x:v>
      </x:c>
      <x:c r="L24" s="136" t="str">
        <x:v>MODELO DE NEGOCIO - Lienzo de Propuesta de Valor.pdf</x:v>
      </x:c>
      <x:c r="M24" s="136" t="str">
        <x:v>Directo + inferencia sustentada</x:v>
      </x:c>
      <x:c r="N24" s="136" t="str">
        <x:v>Alta</x:v>
      </x:c>
      <x:c r="O24" s="136" t="str">
        <x:v>Herramientas_TRL_CRL.docx</x:v>
      </x:c>
      <x:c r="P24" s="136" t="str">
        <x:v>La investigación sitúa JTBD en comprensión del cliente antes del Lienzo de Propuesta de Valor.</x:v>
      </x:c>
    </x:row>
    <x:row r="25">
      <x:c r="A25" s="136" t="str">
        <x:v>DEP-021</x:v>
      </x:c>
      <x:c r="B25" s="136" t="str">
        <x:v>PRO-002</x:v>
      </x:c>
      <x:c r="C25" s="136" t="str">
        <x:v>Antes de</x:v>
      </x:c>
      <x:c r="D25" s="136" t="str">
        <x:v>NEG-002</x:v>
      </x:c>
      <x:c r="E25" s="136" t="str">
        <x:v>Cuando faltan frustraciones, motivaciones o contexto suficiente para construir el perfil del cliente del Lienzo de Propuesta de Valor.</x:v>
      </x:c>
      <x:c r="F25" s="136" t="str">
        <x:v>Mapa de Empatía o evidencia cualitativa equivalente.</x:v>
      </x:c>
      <x:c r="G25" s="136" t="str">
        <x:v>Condicional</x:v>
      </x:c>
      <x:c r="H25" s="136" t="str">
        <x:v>Mapa de Empatía identifica frustraciones y motivaciones; el Lienzo de Propuesta de Valor requiere pains y gains del cliente.</x:v>
      </x:c>
      <x:c r="I25" s="136" t="str">
        <x:v>Borrador sustentado</x:v>
      </x:c>
      <x:c r="J25" s="136" t="str">
        <x:v>No es obligatorio si pains y gains ya están respaldados por otra evidencia.</x:v>
      </x:c>
      <x:c r="K25" s="136" t="str">
        <x:v>PROTOTIPADO - Mapa de Empatía.pdf</x:v>
      </x:c>
      <x:c r="L25" s="136" t="str">
        <x:v>MODELO DE NEGOCIO - Lienzo de Propuesta de Valor.pdf</x:v>
      </x:c>
      <x:c r="M25" s="136" t="str">
        <x:v>Directo + inferencia sustentada</x:v>
      </x:c>
      <x:c r="N25" s="136" t="str">
        <x:v>Alta</x:v>
      </x:c>
      <x:c r="O25" s="136" t="str">
        <x:v>Herramientas_TRL_CRL.docx</x:v>
      </x:c>
      <x:c r="P25" s="136" t="str">
        <x:v>La investigación agrupa ambas herramientas dentro de comprensión del usuario y definición posterior de la propuesta de valor.</x:v>
      </x:c>
    </x:row>
    <x:row r="26">
      <x:c r="A26" s="136" t="str">
        <x:v>DEP-022</x:v>
      </x:c>
      <x:c r="B26" s="136" t="str">
        <x:v>MKT-001</x:v>
      </x:c>
      <x:c r="C26" s="136" t="str">
        <x:v>Antes de</x:v>
      </x:c>
      <x:c r="D26" s="136" t="str">
        <x:v>NEG-002</x:v>
      </x:c>
      <x:c r="E26" s="136" t="str">
        <x:v>Cuando se necesita construir el Lienzo de Propuesta de Valor para un segmento concreto y todavía no existe un perfil suficientemente definido.</x:v>
      </x:c>
      <x:c r="F26" s="136" t="str">
        <x:v>Buyer Persona o segmentación equivalente con objetivos, retos y características del cliente.</x:v>
      </x:c>
      <x:c r="G26" s="136" t="str">
        <x:v>Condicional</x:v>
      </x:c>
      <x:c r="H26" s="136" t="str">
        <x:v>Buyer Persona formaliza un segmento; el Lienzo de Propuesta de Valor se construye para un segmento específico.</x:v>
      </x:c>
      <x:c r="I26" s="136" t="str">
        <x:v>Borrador sustentado</x:v>
      </x:c>
      <x:c r="J26" s="136" t="str">
        <x:v>No se debe obligar a crear Buyer Persona si la segmentación ya está validada por otra vía.</x:v>
      </x:c>
      <x:c r="K26" s="136" t="str">
        <x:v>MARKETING - Buyer Persona.pdf</x:v>
      </x:c>
      <x:c r="L26" s="136" t="str">
        <x:v>MODELO DE NEGOCIO - Lienzo de Propuesta de Valor.pdf</x:v>
      </x:c>
      <x:c r="M26" s="136" t="str">
        <x:v>Directo + inferencia sustentada</x:v>
      </x:c>
      <x:c r="N26" s="136" t="str">
        <x:v>Alta</x:v>
      </x:c>
      <x:c r="O26" s="136" t="str">
        <x:v>Herramientas_TRL_CRL.docx</x:v>
      </x:c>
      <x:c r="P26" s="136" t="str">
        <x:v>La progresión propuesta lleva de comprensión del usuario a definición de propuesta de valor.</x:v>
      </x:c>
    </x:row>
    <x:row r="27">
      <x:c r="A27" s="136" t="str">
        <x:v>DEP-023</x:v>
      </x:c>
      <x:c r="B27" s="136" t="str">
        <x:v>PRO-003</x:v>
      </x:c>
      <x:c r="C27" s="136" t="str">
        <x:v>Complementaria con</x:v>
      </x:c>
      <x:c r="D27" s="136" t="str">
        <x:v>NEG-002</x:v>
      </x:c>
      <x:c r="E27" s="136" t="str">
        <x:v>Cuando la propuesta de valor necesita explicar cómo las características de la solución alivian frustraciones o generan beneficios.</x:v>
      </x:c>
      <x:c r="F27" s="136" t="str">
        <x:v>Trabajo a resolver, necesidades y atributos principales de la solución.</x:v>
      </x:c>
      <x:c r="G27" s="136" t="str">
        <x:v>Condicional</x:v>
      </x:c>
      <x:c r="H27" s="136" t="str">
        <x:v>¿Qué debe hacer mi solución? traduce necesidades en atributos; el Lienzo de Propuesta de Valor conecta productos/servicios con pains y gains.</x:v>
      </x:c>
      <x:c r="I27" s="136" t="str">
        <x:v>Borrador sustentado</x:v>
      </x:c>
      <x:c r="J27" s="136" t="str">
        <x:v>Puede iterarse en ambos sentidos durante el diseño.</x:v>
      </x:c>
      <x:c r="K27" s="136" t="str">
        <x:v>PROTOTIPADO - Que debe hacer mi solución.docx.pdf</x:v>
      </x:c>
      <x:c r="L27" s="136" t="str">
        <x:v>MODELO DE NEGOCIO - Lienzo de Propuesta de Valor.pdf</x:v>
      </x:c>
      <x:c r="M27" s="136" t="str">
        <x:v>Inferencia sustentada</x:v>
      </x:c>
      <x:c r="N27" s="136" t="str">
        <x:v>Alta</x:v>
      </x:c>
      <x:c r="O27" s="136" t="str">
        <x:v>Herramientas_TRL_CRL.docx</x:v>
      </x:c>
      <x:c r="P27" s="136" t="str">
        <x:v>La investigación sitúa ambas herramientas de forma consecutiva en la traducción de necesidades a una solución verificable.</x:v>
      </x:c>
    </x:row>
    <x:row r="28">
      <x:c r="A28" s="136" t="str">
        <x:v>DEP-024</x:v>
      </x:c>
      <x:c r="B28" s="136" t="str">
        <x:v>NEG-002</x:v>
      </x:c>
      <x:c r="C28" s="136" t="str">
        <x:v>Antes de</x:v>
      </x:c>
      <x:c r="D28" s="136" t="str">
        <x:v>NEG-001</x:v>
      </x:c>
      <x:c r="E28" s="136" t="str">
        <x:v>Cuando el Business Model Canvas todavía no tiene suficientemente definidos el segmento y la propuesta de valor.</x:v>
      </x:c>
      <x:c r="F28" s="136" t="str">
        <x:v>Perfil de cliente y mapa de valor articulados.</x:v>
      </x:c>
      <x:c r="G28" s="136" t="str">
        <x:v>Condicional</x:v>
      </x:c>
      <x:c r="H28" s="136" t="str">
        <x:v>Business Model Canvas incluye Segmento de Clientes y Propuesta de Valor como bloques centrales; el Lienzo de Propuesta de Valor profundiza ambos.</x:v>
      </x:c>
      <x:c r="I28" s="136" t="str">
        <x:v>Borrador sustentado</x:v>
      </x:c>
      <x:c r="J28" s="136" t="str">
        <x:v>El BMC puede iniciarse antes como hipótesis; esta dependencia aplica para refinarlo, no para permitir su primera versión.</x:v>
      </x:c>
      <x:c r="K28" s="136" t="str">
        <x:v>MODELO DE NEGOCIO - Lienzo de Propuesta de Valor.pdf</x:v>
      </x:c>
      <x:c r="L28" s="136" t="str">
        <x:v>MODELO DE NEGOCIO - Busines Model Canvas.pdf</x:v>
      </x:c>
      <x:c r="M28" s="136" t="str">
        <x:v>Directo + inferencia sustentada</x:v>
      </x:c>
      <x:c r="N28" s="136" t="str">
        <x:v>Alta</x:v>
      </x:c>
      <x:c r="O28" s="136" t="str">
        <x:v>Herramientas_TRL_CRL.docx</x:v>
      </x:c>
      <x:c r="P28" s="136" t="str">
        <x:v>La investigación propone VPC en TRL/CRL anteriores al BMC, como paso de definición de solución hacia modelo de negocio.</x:v>
      </x:c>
    </x:row>
    <x:row r="29">
      <x:c r="A29" s="136" t="str">
        <x:v>DEP-025</x:v>
      </x:c>
      <x:c r="B29" s="136" t="str">
        <x:v>MKT-003</x:v>
      </x:c>
      <x:c r="C29" s="136" t="str">
        <x:v>Complementaria con</x:v>
      </x:c>
      <x:c r="D29" s="136" t="str">
        <x:v>NEG-001</x:v>
      </x:c>
      <x:c r="E29" s="136" t="str">
        <x:v>Cuando el modelo de negocio necesita contrastarse con capacidades internas y condiciones externas relevantes.</x:v>
      </x:c>
      <x:c r="F29" s="136" t="str">
        <x:v>Matriz FODA con factores internos y externos sustentados.</x:v>
      </x:c>
      <x:c r="G29" s="136" t="str">
        <x:v>No</x:v>
      </x:c>
      <x:c r="H29" s="136" t="str">
        <x:v>FODA aporta fortalezas, debilidades, oportunidades y amenazas que pueden cuestionar recursos, actividades, aliados, segmentos y costos del modelo de negocio.</x:v>
      </x:c>
      <x:c r="I29" s="136" t="str">
        <x:v>Borrador sustentado</x:v>
      </x:c>
      <x:c r="J29" s="136" t="str">
        <x:v>FODA no reemplaza ningún bloque del BMC.</x:v>
      </x:c>
      <x:c r="K29" s="136" t="str">
        <x:v>MARKETING - FODA.pdf</x:v>
      </x:c>
      <x:c r="L29" s="136" t="str">
        <x:v>MODELO DE NEGOCIO - Busines Model Canvas.pdf</x:v>
      </x:c>
      <x:c r="M29" s="136" t="str">
        <x:v>Inferencia sustentada</x:v>
      </x:c>
      <x:c r="N29" s="136" t="str">
        <x:v>Media</x:v>
      </x:c>
      <x:c r="O29" s="136" t="str">
        <x:v>Herramientas_TRL_CRL.docx</x:v>
      </x:c>
      <x:c r="P29" s="136" t="str">
        <x:v>La investigación sitúa FODA y BMC en la fase de estrategia, validación de mercado y modelo de negocio; ambos se revisan de forma iterativa.</x:v>
      </x:c>
    </x:row>
    <x:row r="30">
      <x:c r="A30" s="136" t="str">
        <x:v>DEP-026</x:v>
      </x:c>
      <x:c r="B30" s="136" t="str">
        <x:v>MKT-004</x:v>
      </x:c>
      <x:c r="C30" s="136" t="str">
        <x:v>Complementaria con</x:v>
      </x:c>
      <x:c r="D30" s="136" t="str">
        <x:v>NEG-001</x:v>
      </x:c>
      <x:c r="E30" s="136" t="str">
        <x:v>Cuando la propuesta de valor y los segmentos del modelo de negocio necesitan contrastarse con la posición relativa frente a competidores.</x:v>
      </x:c>
      <x:c r="F30" s="136" t="str">
        <x:v>Mapa de Posicionamiento con atributos relevantes y competidores identificados.</x:v>
      </x:c>
      <x:c r="G30" s="136" t="str">
        <x:v>No</x:v>
      </x:c>
      <x:c r="H30" s="136" t="str">
        <x:v>Mapa de Posicionamiento aporta información sobre diferenciación competitiva que puede refinar propuesta de valor y segmentos del Business Model Canvas.</x:v>
      </x:c>
      <x:c r="I30" s="136" t="str">
        <x:v>Borrador sustentado</x:v>
      </x:c>
      <x:c r="J30" s="136" t="str">
        <x:v>No es una dependencia obligatoria del BMC.</x:v>
      </x:c>
      <x:c r="K30" s="136" t="str">
        <x:v>MARKETING - Mapa de Posicionamiento.pdf</x:v>
      </x:c>
      <x:c r="L30" s="136" t="str">
        <x:v>MODELO DE NEGOCIO - Busines Model Canvas.pdf</x:v>
      </x:c>
      <x:c r="M30" s="136" t="str">
        <x:v>Inferencia sustentada</x:v>
      </x:c>
      <x:c r="N30" s="136" t="str">
        <x:v>Media</x:v>
      </x:c>
      <x:c r="O30" s="136" t="str">
        <x:v>Herramientas_TRL_CRL.docx</x:v>
      </x:c>
      <x:c r="P30" s="136" t="str">
        <x:v>Ambas herramientas aparecen en la fase de estrategia/modelo de negocio, con posicionamiento previo o paralelo a la consolidación del modelo.</x:v>
      </x:c>
    </x:row>
    <x:row r="31">
      <x:c r="A31" s="136" t="str">
        <x:v>DEP-027</x:v>
      </x:c>
      <x:c r="B31" s="136" t="str">
        <x:v>TEN-003</x:v>
      </x:c>
      <x:c r="C31" s="136" t="str">
        <x:v>Complementaria con</x:v>
      </x:c>
      <x:c r="D31" s="136" t="str">
        <x:v>TEN-001</x:v>
      </x:c>
      <x:c r="E31" s="136" t="str">
        <x:v>Cuando se han identificado líneas o patrones de tendencia y se desea profundizar en tres tendencias alineadas y sus intersecciones.</x:v>
      </x:c>
      <x:c r="F31" s="136" t="str">
        <x:v>Mapa de tendencias con líneas, patrones o convergencias relevantes.</x:v>
      </x:c>
      <x:c r="G31" s="136" t="str">
        <x:v>No</x:v>
      </x:c>
      <x:c r="H31" s="136" t="str">
        <x:v>Mapa de Tendencias identifica tendencias y convergencias; Componentes de Tendencias profundiza tres tendencias y busca puntos comunes para generar áreas de innovación.</x:v>
      </x:c>
      <x:c r="I31" s="136" t="str">
        <x:v>Borrador sustentado</x:v>
      </x:c>
      <x:c r="J31" s="136" t="str">
        <x:v>Las dos herramientas pueden usarse en orden inverso según la información disponible.</x:v>
      </x:c>
      <x:c r="K31" s="136" t="str">
        <x:v>TENDENCIAS - Mapa de Tendencias.pdf</x:v>
      </x:c>
      <x:c r="L31" s="136" t="str">
        <x:v>TENDENCIAS - Componentes de Tendencias.pdf</x:v>
      </x:c>
      <x:c r="M31" s="136" t="str">
        <x:v>Directo + inferencia sustentada</x:v>
      </x:c>
      <x:c r="N31" s="136" t="str">
        <x:v>Media</x:v>
      </x:c>
      <x:c r="O31" s="136" t="str">
        <x:v>Herramientas_TRL_CRL.docx</x:v>
      </x:c>
      <x:c r="P31" s="136" t="str">
        <x:v>La investigación las agrupa en exploración de tendencias como herramientas complementarias de priorización y síntesis.</x:v>
      </x:c>
    </x:row>
    <x:row r="32">
      <x:c r="A32" s="136" t="str">
        <x:v>DEP-028</x:v>
      </x:c>
      <x:c r="B32" s="136" t="str">
        <x:v>TEN-003</x:v>
      </x:c>
      <x:c r="C32" s="136" t="str">
        <x:v>Antes de</x:v>
      </x:c>
      <x:c r="D32" s="136" t="str">
        <x:v>TEN-004</x:v>
      </x:c>
      <x:c r="E32" s="136" t="str">
        <x:v>Cuando todavía no se ha seleccionado una tendencia relevante para analizarla y aplicarla mediante Trend Canvas.</x:v>
      </x:c>
      <x:c r="F32" s="136" t="str">
        <x:v>Tendencia priorizada, con fuentes y relevancia para el proyecto documentadas.</x:v>
      </x:c>
      <x:c r="G32" s="136" t="str">
        <x:v>Condicional</x:v>
      </x:c>
      <x:c r="H32" s="136" t="str">
        <x:v>El propio Trend Canvas recomienda utilizar el Mapa de Tendencias para identificar tendencias que influyen en el producto o servicio.</x:v>
      </x:c>
      <x:c r="I32" s="136" t="str">
        <x:v>Borrador sustentado</x:v>
      </x:c>
      <x:c r="J32" s="136" t="str">
        <x:v>Puede omitirse si la tendencia ya fue seleccionada y sustentada por otro método.</x:v>
      </x:c>
      <x:c r="K32" s="136" t="str">
        <x:v>TENDENCIAS - Mapa de Tendencias.pdf</x:v>
      </x:c>
      <x:c r="L32" s="136" t="str">
        <x:v>TENDENCIAS - Trend Canvas.pdf</x:v>
      </x:c>
      <x:c r="M32" s="136" t="str">
        <x:v>Directo</x:v>
      </x:c>
      <x:c r="N32" s="136" t="str">
        <x:v>Alta</x:v>
      </x:c>
      <x:c r="O32" s="136" t="str">
        <x:v>Herramientas_TRL_CRL.docx</x:v>
      </x:c>
      <x:c r="P32" s="136" t="str">
        <x:v>La investigación propone Mapa de Tendencias antes de Trend Canvas dentro del cierre del análisis de tendencias.</x:v>
      </x:c>
    </x:row>
    <x:row r="33">
      <x:c r="A33" s="136" t="str">
        <x:v>DEP-029</x:v>
      </x:c>
      <x:c r="B33" s="136" t="str">
        <x:v>TEN-001</x:v>
      </x:c>
      <x:c r="C33" s="136" t="str">
        <x:v>Antes de</x:v>
      </x:c>
      <x:c r="D33" s="136" t="str">
        <x:v>TEN-004</x:v>
      </x:c>
      <x:c r="E33" s="136" t="str">
        <x:v>Cuando se requiere seleccionar y comprender mejor una tendencia antes de traducirla en necesidades, segmentos y oportunidades concretas.</x:v>
      </x:c>
      <x:c r="F33" s="136" t="str">
        <x:v>Características y patrones de una o más tendencias analizadas.</x:v>
      </x:c>
      <x:c r="G33" s="136" t="str">
        <x:v>Condicional</x:v>
      </x:c>
      <x:c r="H33" s="136" t="str">
        <x:v>Componentes de Tendencias identifica áreas potenciales de innovación; Trend Canvas profundiza una tendencia y la traduce en aplicación al proyecto.</x:v>
      </x:c>
      <x:c r="I33" s="136" t="str">
        <x:v>Borrador sustentado</x:v>
      </x:c>
      <x:c r="J33" s="136" t="str">
        <x:v>Trend Canvas puede comenzar con una tendencia obtenida desde otra fuente.</x:v>
      </x:c>
      <x:c r="K33" s="136" t="str">
        <x:v>TENDENCIAS - Componentes de Tendencias.pdf</x:v>
      </x:c>
      <x:c r="L33" s="136" t="str">
        <x:v>TENDENCIAS - Trend Canvas.pdf</x:v>
      </x:c>
      <x:c r="M33" s="136" t="str">
        <x:v>Inferencia sustentada</x:v>
      </x:c>
      <x:c r="N33" s="136" t="str">
        <x:v>Alta</x:v>
      </x:c>
      <x:c r="O33" s="136" t="str">
        <x:v>Herramientas_TRL_CRL.docx</x:v>
      </x:c>
      <x:c r="P33" s="136" t="str">
        <x:v>La investigación coloca Componentes/Mapa de Tendencias antes de Trend Canvas dentro de la exploración de oportunidades.</x:v>
      </x:c>
    </x:row>
    <x:row r="34">
      <x:c r="A34" s="136" t="str">
        <x:v>DEP-030</x:v>
      </x:c>
      <x:c r="B34" s="136" t="str">
        <x:v>TEN-002</x:v>
      </x:c>
      <x:c r="C34" s="136" t="str">
        <x:v>Complementaria con</x:v>
      </x:c>
      <x:c r="D34" s="136" t="str">
        <x:v>IDE-008</x:v>
      </x:c>
      <x:c r="E34" s="136" t="str">
        <x:v>Cuando el planteamiento del problema necesita mayor profundidad sobre causas, efectos, actores y contexto espacio-temporal.</x:v>
      </x:c>
      <x:c r="F34" s="136" t="str">
        <x:v>Future Compass con causas, efectos, contexto, actores y testimonios.</x:v>
      </x:c>
      <x:c r="G34" s="136" t="str">
        <x:v>No</x:v>
      </x:c>
      <x:c r="H34" s="136" t="str">
        <x:v>Future Compass amplía el análisis contextual del problema; Planteamiento del Problema sintetiza quién, qué, situación y valor esperado.</x:v>
      </x:c>
      <x:c r="I34" s="136" t="str">
        <x:v>Borrador sustentado</x:v>
      </x:c>
      <x:c r="J34" s="136" t="str">
        <x:v>No existe una secuencia obligatoria; puede emplearse como profundización o como insumo previo.</x:v>
      </x:c>
      <x:c r="K34" s="136" t="str">
        <x:v>TENDENCIAS - Future Compass.pdf</x:v>
      </x:c>
      <x:c r="L34" s="136" t="str">
        <x:v>IDEACIÓN - Planteamiento del Problema.pdf</x:v>
      </x:c>
      <x:c r="M34" s="136" t="str">
        <x:v>Directo + inferencia sustentada</x:v>
      </x:c>
      <x:c r="N34" s="136" t="str">
        <x:v>Media</x:v>
      </x:c>
      <x:c r="O34" s="136" t="str">
        <x:v>Herramientas_TRL_CRL.docx</x:v>
      </x:c>
      <x:c r="P34" s="136" t="str">
        <x:v>La investigación ubica Future Compass en exploración temprana y Planteamiento del Problema en definición inicial del reto.</x:v>
      </x:c>
    </x:row>
    <x:row r="35">
      <x:c r="A35" s="136" t="str">
        <x:v>DEP-031</x:v>
      </x:c>
      <x:c r="B35" s="136" t="str">
        <x:v>TEN-004</x:v>
      </x:c>
      <x:c r="C35" s="136" t="str">
        <x:v>Antes de</x:v>
      </x:c>
      <x:c r="D35" s="136" t="str">
        <x:v>PRO-006</x:v>
      </x:c>
      <x:c r="E35" s="136" t="str">
        <x:v>Cuando el proyecto genera una idea de innovación a partir de una tendencia y necesita comprobar su potencial antes de desarrollarla.</x:v>
      </x:c>
      <x:c r="F35" s="136" t="str">
        <x:v>Concepto de innovación derivado del Trend Canvas y segmento/oportunidad asociados.</x:v>
      </x:c>
      <x:c r="G35" s="136" t="str">
        <x:v>Condicional</x:v>
      </x:c>
      <x:c r="H35" s="136" t="str">
        <x:v>Trend Canvas produce conceptos y oportunidades de innovación; Tres Lupas evalúa mercado, factibilidad técnica y viabilidad económica.</x:v>
      </x:c>
      <x:c r="I35" s="136" t="str">
        <x:v>Borrador sustentado</x:v>
      </x:c>
      <x:c r="J35" s="136" t="str">
        <x:v>Tres Lupas puede recibir ideas originadas por cualquier otra herramienta.</x:v>
      </x:c>
      <x:c r="K35" s="136" t="str">
        <x:v>TENDENCIAS - Trend Canvas.pdf</x:v>
      </x:c>
      <x:c r="L35" s="136" t="str">
        <x:v>PROTOTIPADO - Tres Lupas.pdf</x:v>
      </x:c>
      <x:c r="M35" s="136" t="str">
        <x:v>Inferencia sustentada</x:v>
      </x:c>
      <x:c r="N35" s="136" t="str">
        <x:v>Alta</x:v>
      </x:c>
      <x:c r="O35" s="136" t="str">
        <x:v>Herramientas_TRL_CRL.docx</x:v>
      </x:c>
      <x:c r="P35" s="136" t="str">
        <x:v>La investigación sitúa Tendencias antes del checkpoint de deseabilidad–factibilidad–viabilidad.</x:v>
      </x:c>
    </x:row>
    <x:row r="36">
      <x:c r="A36" s="136" t="str">
        <x:v>DEP-032</x:v>
      </x:c>
      <x:c r="B36" s="136" t="str">
        <x:v>TEN-004</x:v>
      </x:c>
      <x:c r="C36" s="136" t="str">
        <x:v>Complementaria con</x:v>
      </x:c>
      <x:c r="D36" s="136" t="str">
        <x:v>NEG-002</x:v>
      </x:c>
      <x:c r="E36" s="136" t="str">
        <x:v>Cuando la tendencia analizada revela nuevas expectativas o segmentos que deben incorporarse a la propuesta de valor.</x:v>
      </x:c>
      <x:c r="F36" s="136" t="str">
        <x:v>Trend Canvas con necesidades, expectativas emergentes, segmento objetivo y concepto inicial.</x:v>
      </x:c>
      <x:c r="G36" s="136" t="str">
        <x:v>Condicional</x:v>
      </x:c>
      <x:c r="H36" s="136" t="str">
        <x:v>Trend Canvas identifica necesidades y expectativas emergentes; el Lienzo de Propuesta de Valor las traduce en jobs, pains, gains y una oferta correspondiente.</x:v>
      </x:c>
      <x:c r="I36" s="136" t="str">
        <x:v>Borrador sustentado</x:v>
      </x:c>
      <x:c r="J36" s="136" t="str">
        <x:v>No sustituye investigación directa con clientes.</x:v>
      </x:c>
      <x:c r="K36" s="136" t="str">
        <x:v>TENDENCIAS - Trend Canvas.pdf</x:v>
      </x:c>
      <x:c r="L36" s="136" t="str">
        <x:v>MODELO DE NEGOCIO - Lienzo de Propuesta de Valor.pdf</x:v>
      </x:c>
      <x:c r="M36" s="136" t="str">
        <x:v>Inferencia sustentada</x:v>
      </x:c>
      <x:c r="N36" s="136" t="str">
        <x:v>Media</x:v>
      </x:c>
      <x:c r="O36" s="136" t="str">
        <x:v>Herramientas_TRL_CRL.docx</x:v>
      </x:c>
      <x:c r="P36" s="136" t="str">
        <x:v>La investigación plantea Trend Canvas en CRL 1–2 y VPC posteriormente en CRL 3–4.</x:v>
      </x:c>
    </x:row>
    <x:row r="37">
      <x:c r="A37" s="136" t="str">
        <x:v>DEP-033</x:v>
      </x:c>
      <x:c r="B37" s="136" t="str">
        <x:v>TEN-003</x:v>
      </x:c>
      <x:c r="C37" s="136" t="str">
        <x:v>Complementaria con</x:v>
      </x:c>
      <x:c r="D37" s="136" t="str">
        <x:v>MKT-003</x:v>
      </x:c>
      <x:c r="E37" s="136" t="str">
        <x:v>Cuando el FODA requiere evidencia más estructurada sobre tendencias y cambios del entorno para formular oportunidades y amenazas.</x:v>
      </x:c>
      <x:c r="F37" s="136" t="str">
        <x:v>Tendencias, patrones, riesgos u oportunidades externas documentadas.</x:v>
      </x:c>
      <x:c r="G37" s="136" t="str">
        <x:v>Condicional</x:v>
      </x:c>
      <x:c r="H37" s="136" t="str">
        <x:v>Mapa de Tendencias analiza fuerzas externas y posibles impactos; FODA utiliza condiciones externas para construir oportunidades y amenazas.</x:v>
      </x:c>
      <x:c r="I37" s="136" t="str">
        <x:v>Borrador sustentado</x:v>
      </x:c>
      <x:c r="J37" s="136" t="str">
        <x:v>Las otras fuentes externas del FODA siguen siendo necesarias.</x:v>
      </x:c>
      <x:c r="K37" s="136" t="str">
        <x:v>TENDENCIAS - Mapa de Tendencias.pdf</x:v>
      </x:c>
      <x:c r="L37" s="136" t="str">
        <x:v>MARKETING - FODA.pdf</x:v>
      </x:c>
      <x:c r="M37" s="136" t="str">
        <x:v>Directo + inferencia sustentada</x:v>
      </x:c>
      <x:c r="N37" s="136" t="str">
        <x:v>Media</x:v>
      </x:c>
      <x:c r="O37" s="136" t="str">
        <x:v>Herramientas_TRL_CRL.docx</x:v>
      </x:c>
      <x:c r="P37" s="136" t="str">
        <x:v>La progresión propuesta lleva de exploración del entorno hacia estrategia y validación de mercado.</x:v>
      </x:c>
    </x:row>
    <x:row r="38">
      <x:c r="A38" s="136" t="str">
        <x:v>DEP-034</x:v>
      </x:c>
      <x:c r="B38" s="136" t="str">
        <x:v>MKT-001</x:v>
      </x:c>
      <x:c r="C38" s="136" t="str">
        <x:v>Antes de</x:v>
      </x:c>
      <x:c r="D38" s="136" t="str">
        <x:v>MKT-004</x:v>
      </x:c>
      <x:c r="E38" s="136" t="str">
        <x:v>Cuando todavía no están claros los atributos que el cliente considera importantes para comparar alternativas.</x:v>
      </x:c>
      <x:c r="F38" s="136" t="str">
        <x:v>Perfil de cliente o evidencia equivalente sobre necesidades, preferencias y criterios de elección.</x:v>
      </x:c>
      <x:c r="G38" s="136" t="str">
        <x:v>Condicional</x:v>
      </x:c>
      <x:c r="H38" s="136" t="str">
        <x:v>Buyer Persona profundiza necesidades y características del cliente; Mapa de Posicionamiento exige seleccionar atributos relevantes o deseados por los clientes.</x:v>
      </x:c>
      <x:c r="I38" s="136" t="str">
        <x:v>Borrador sustentado</x:v>
      </x:c>
      <x:c r="J38" s="136" t="str">
        <x:v>No es obligatorio crear una persona si los atributos ya están sustentados por investigación de mercado.</x:v>
      </x:c>
      <x:c r="K38" s="136" t="str">
        <x:v>MARKETING - Buyer Persona.pdf</x:v>
      </x:c>
      <x:c r="L38" s="136" t="str">
        <x:v>MARKETING - Mapa de Posicionamiento.pdf</x:v>
      </x:c>
      <x:c r="M38" s="136" t="str">
        <x:v>Directo + inferencia sustentada</x:v>
      </x:c>
      <x:c r="N38" s="136" t="str">
        <x:v>Alta</x:v>
      </x:c>
      <x:c r="O38" s="136" t="str">
        <x:v>Herramientas_TRL_CRL.docx</x:v>
      </x:c>
      <x:c r="P38" s="136" t="str">
        <x:v>La investigación sitúa Buyer Persona antes del posicionamiento competitivo dentro de la progresión hacia mercado.</x:v>
      </x:c>
    </x:row>
    <x:row r="39">
      <x:c r="A39" s="136" t="str">
        <x:v>DEP-035</x:v>
      </x:c>
      <x:c r="B39" s="136" t="str">
        <x:v>NEG-002</x:v>
      </x:c>
      <x:c r="C39" s="136" t="str">
        <x:v>Complementaria con</x:v>
      </x:c>
      <x:c r="D39" s="136" t="str">
        <x:v>MKT-004</x:v>
      </x:c>
      <x:c r="E39" s="136" t="str">
        <x:v>Cuando se necesita comprobar si los atributos centrales de la propuesta de valor generan una posición diferenciada frente a alternativas.</x:v>
      </x:c>
      <x:c r="F39" s="136" t="str">
        <x:v>Propuesta de valor y atributos relevantes definidos.</x:v>
      </x:c>
      <x:c r="G39" s="136" t="str">
        <x:v>Condicional</x:v>
      </x:c>
      <x:c r="H39" s="136" t="str">
        <x:v>El Lienzo de Propuesta de Valor define cómo la oferta crea valor; el Mapa de Posicionamiento contrasta atributos frente a competidores según percepción del cliente.</x:v>
      </x:c>
      <x:c r="I39" s="136" t="str">
        <x:v>Borrador sustentado</x:v>
      </x:c>
      <x:c r="J39" s="136" t="str">
        <x:v>Se recomienda iterar ambos si la posición deseada no coincide con la propuesta.</x:v>
      </x:c>
      <x:c r="K39" s="136" t="str">
        <x:v>MODELO DE NEGOCIO - Lienzo de Propuesta de Valor.pdf</x:v>
      </x:c>
      <x:c r="L39" s="136" t="str">
        <x:v>MARKETING - Mapa de Posicionamiento.pdf</x:v>
      </x:c>
      <x:c r="M39" s="136" t="str">
        <x:v>Inferencia sustentada</x:v>
      </x:c>
      <x:c r="N39" s="136" t="str">
        <x:v>Media</x:v>
      </x:c>
      <x:c r="O39" s="136" t="str">
        <x:v>Herramientas_TRL_CRL.docx</x:v>
      </x:c>
      <x:c r="P39" s="136" t="str">
        <x:v>La investigación sitúa VPC antes de la estrategia de posicionamiento y validación de mercado.</x:v>
      </x:c>
    </x:row>
    <x:row r="40">
      <x:c r="A40" s="136" t="str">
        <x:v>DEP-036</x:v>
      </x:c>
      <x:c r="B40" s="136" t="str">
        <x:v>MKT-002</x:v>
      </x:c>
      <x:c r="C40" s="136" t="str">
        <x:v>Antes de</x:v>
      </x:c>
      <x:c r="D40" s="136" t="str">
        <x:v>MKT-005</x:v>
      </x:c>
      <x:c r="E40" s="136" t="str">
        <x:v>Cuando el pitch todavía no tiene claramente articulados propósito, cambio buscado o razón por la que el proyecto existe.</x:v>
      </x:c>
      <x:c r="F40" s="136" t="str">
        <x:v>Círculo de Oro con qué, cómo y por qué definidos.</x:v>
      </x:c>
      <x:c r="G40" s="136" t="str">
        <x:v>Condicional</x:v>
      </x:c>
      <x:c r="H40" s="136" t="str">
        <x:v>Círculo de Oro estructura propósito; Pitch Canvas incluye cambio generado y «¿Por qué usted?», por lo que puede aprovechar esa narrativa.</x:v>
      </x:c>
      <x:c r="I40" s="136" t="str">
        <x:v>Borrador sustentado</x:v>
      </x:c>
      <x:c r="J40" s="136" t="str">
        <x:v>No hace falta ejecutar Círculo de Oro si el propósito ya está claramente documentado.</x:v>
      </x:c>
      <x:c r="K40" s="136" t="str">
        <x:v>MARKETING - Circulo de Oro.pdf</x:v>
      </x:c>
      <x:c r="L40" s="136" t="str">
        <x:v>MARKETING - Pitch Canvas.pdf</x:v>
      </x:c>
      <x:c r="M40" s="136" t="str">
        <x:v>Directo + inferencia sustentada</x:v>
      </x:c>
      <x:c r="N40" s="136" t="str">
        <x:v>Alta</x:v>
      </x:c>
      <x:c r="O40" s="136" t="str">
        <x:v>Herramientas_TRL_CRL.docx</x:v>
      </x:c>
      <x:c r="P40" s="136" t="str">
        <x:v>La investigación ubica Círculo de Oro en etapas tempranas y Pitch Canvas cuando ya existe evidencia suficiente para comunicar el proyecto.</x:v>
      </x:c>
    </x:row>
    <x:row r="41">
      <x:c r="A41" s="136" t="str">
        <x:v>DEP-037</x:v>
      </x:c>
      <x:c r="B41" s="136" t="str">
        <x:v>MKT-004</x:v>
      </x:c>
      <x:c r="C41" s="136" t="str">
        <x:v>Antes de</x:v>
      </x:c>
      <x:c r="D41" s="136" t="str">
        <x:v>MKT-005</x:v>
      </x:c>
      <x:c r="E41" s="136" t="str">
        <x:v>Cuando el pitch necesita demostrar unicidad o diferenciación frente a alternativas y esa posición todavía no está sustentada.</x:v>
      </x:c>
      <x:c r="F41" s="136" t="str">
        <x:v>Mapa de Posicionamiento o evidencia competitiva equivalente.</x:v>
      </x:c>
      <x:c r="G41" s="136" t="str">
        <x:v>Condicional</x:v>
      </x:c>
      <x:c r="H41" s="136" t="str">
        <x:v>Mapa de Posicionamiento compara la oferta con competidores; Pitch Canvas exige explicar la unicidad y diferenciadores clave.</x:v>
      </x:c>
      <x:c r="I41" s="136" t="str">
        <x:v>Borrador sustentado</x:v>
      </x:c>
      <x:c r="J41" s="136" t="str">
        <x:v>Puede sustituirse por otro análisis competitivo verificable.</x:v>
      </x:c>
      <x:c r="K41" s="136" t="str">
        <x:v>MARKETING - Mapa de Posicionamiento.pdf</x:v>
      </x:c>
      <x:c r="L41" s="136" t="str">
        <x:v>MARKETING - Pitch Canvas.pdf</x:v>
      </x:c>
      <x:c r="M41" s="136" t="str">
        <x:v>Directo + inferencia sustentada</x:v>
      </x:c>
      <x:c r="N41" s="136" t="str">
        <x:v>Alta</x:v>
      </x:c>
      <x:c r="O41" s="136" t="str">
        <x:v>Herramientas_TRL_CRL.docx</x:v>
      </x:c>
      <x:c r="P41" s="136" t="str">
        <x:v>La investigación coloca posicionamiento antes de Pitch dentro de la fase comercial.</x:v>
      </x:c>
    </x:row>
    <x:row r="42">
      <x:c r="A42" s="136" t="str">
        <x:v>DEP-038</x:v>
      </x:c>
      <x:c r="B42" s="136" t="str">
        <x:v>NEG-001</x:v>
      </x:c>
      <x:c r="C42" s="136" t="str">
        <x:v>Antes de</x:v>
      </x:c>
      <x:c r="D42" s="136" t="str">
        <x:v>MKT-005</x:v>
      </x:c>
      <x:c r="E42" s="136" t="str">
        <x:v>Cuando el Pitch Canvas debe presentar modelo de negocio, escalabilidad, recursos o inversión y esa información aún no está estructurada.</x:v>
      </x:c>
      <x:c r="F42" s="136" t="str">
        <x:v>Business Model Canvas o evidencia equivalente del modelo de negocio.</x:v>
      </x:c>
      <x:c r="G42" s="136" t="str">
        <x:v>Condicional</x:v>
      </x:c>
      <x:c r="H42" s="136" t="str">
        <x:v>Pitch Canvas incluye un bloque de modelo de negocio e inversión; Business Model Canvas estructura creación, entrega y captura de valor en nueve bloques.</x:v>
      </x:c>
      <x:c r="I42" s="136" t="str">
        <x:v>Borrador sustentado</x:v>
      </x:c>
      <x:c r="J42" s="136" t="str">
        <x:v>Para un pitch muy temprano puede existir una versión hipotética del modelo.</x:v>
      </x:c>
      <x:c r="K42" s="136" t="str">
        <x:v>MODELO DE NEGOCIO - Busines Model Canvas.pdf</x:v>
      </x:c>
      <x:c r="L42" s="136" t="str">
        <x:v>MARKETING - Pitch Canvas.pdf</x:v>
      </x:c>
      <x:c r="M42" s="136" t="str">
        <x:v>Directo + inferencia sustentada</x:v>
      </x:c>
      <x:c r="N42" s="136" t="str">
        <x:v>Alta</x:v>
      </x:c>
      <x:c r="O42" s="136" t="str">
        <x:v>Herramientas_TRL_CRL.docx</x:v>
      </x:c>
      <x:c r="P42" s="136" t="str">
        <x:v>La investigación sitúa BMC y Pitch en la fase avanzada de modelo de negocio/comunicación.</x:v>
      </x:c>
    </x:row>
    <x:row r="43">
      <x:c r="A43" s="136" t="str">
        <x:v>DEP-039</x:v>
      </x:c>
      <x:c r="B43" s="136" t="str">
        <x:v>NEG-002</x:v>
      </x:c>
      <x:c r="C43" s="136" t="str">
        <x:v>Complementaria con</x:v>
      </x:c>
      <x:c r="D43" s="136" t="str">
        <x:v>MKT-005</x:v>
      </x:c>
      <x:c r="E43" s="136" t="str">
        <x:v>Cuando el pitch necesita explicar con precisión qué valor recibe el cliente y cómo la solución resuelve sus problemas.</x:v>
      </x:c>
      <x:c r="F43" s="136" t="str">
        <x:v>Lienzo de Propuesta de Valor o evidencia equivalente sobre ajuste problema–solución.</x:v>
      </x:c>
      <x:c r="G43" s="136" t="str">
        <x:v>Condicional</x:v>
      </x:c>
      <x:c r="H43" s="136" t="str">
        <x:v>Lienzo de Propuesta de Valor articula jobs, pains, gains y respuesta de la oferta; Pitch Canvas necesita comunicar problema, solución y valor.</x:v>
      </x:c>
      <x:c r="I43" s="136" t="str">
        <x:v>Borrador sustentado</x:v>
      </x:c>
      <x:c r="J43" s="136" t="str">
        <x:v>No es un prerrequisito absoluto si esos elementos ya están sustentados en el expediente.</x:v>
      </x:c>
      <x:c r="K43" s="136" t="str">
        <x:v>MODELO DE NEGOCIO - Lienzo de Propuesta de Valor.pdf</x:v>
      </x:c>
      <x:c r="L43" s="136" t="str">
        <x:v>MARKETING - Pitch Canvas.pdf</x:v>
      </x:c>
      <x:c r="M43" s="136" t="str">
        <x:v>Inferencia sustentada</x:v>
      </x:c>
      <x:c r="N43" s="136" t="str">
        <x:v>Media</x:v>
      </x:c>
      <x:c r="O43" s="136" t="str">
        <x:v>Herramientas_TRL_CRL.docx</x:v>
      </x:c>
      <x:c r="P43" s="136" t="str">
        <x:v>La progresión propuesta ubica VPC antes de Pitch y de la comunicación a terceros.</x:v>
      </x:c>
    </x:row>
    <x:row r="44">
      <x:c r="A44" s="136" t="str">
        <x:v>DEP-040</x:v>
      </x:c>
      <x:c r="B44" s="136" t="str">
        <x:v>PRO-002</x:v>
      </x:c>
      <x:c r="C44" s="136" t="str">
        <x:v>Antes de</x:v>
      </x:c>
      <x:c r="D44" s="136" t="str">
        <x:v>SER-001</x:v>
      </x:c>
      <x:c r="E44" s="136" t="str">
        <x:v>Cuando la innovación incluye un servicio y todavía no se comprenden suficientemente las motivaciones, frustraciones y expectativas del usuario que vivirá la experiencia.</x:v>
      </x:c>
      <x:c r="F44" s="136" t="str">
        <x:v>Mapa de Empatía o evidencia equivalente del usuario.</x:v>
      </x:c>
      <x:c r="G44" s="136" t="str">
        <x:v>Condicional</x:v>
      </x:c>
      <x:c r="H44" s="136" t="str">
        <x:v>Mapa de Empatía profundiza la perspectiva del cliente; Servucción busca adaptar la calidad y experiencia del servicio a las necesidades del cliente.</x:v>
      </x:c>
      <x:c r="I44" s="136" t="str">
        <x:v>Borrador sustentado</x:v>
      </x:c>
      <x:c r="J44" s="136" t="str">
        <x:v>Puede omitirse si ya existe investigación de usuario equivalente.</x:v>
      </x:c>
      <x:c r="K44" s="136" t="str">
        <x:v>PROTOTIPADO - Mapa de Empatía.pdf</x:v>
      </x:c>
      <x:c r="L44" s="136" t="str">
        <x:v>SERVUCCIÓN - servucción.pdf</x:v>
      </x:c>
      <x:c r="M44" s="136" t="str">
        <x:v>Directo + inferencia sustentada</x:v>
      </x:c>
      <x:c r="N44" s="136" t="str">
        <x:v>Media</x:v>
      </x:c>
      <x:c r="O44" s="136" t="str">
        <x:v>Herramientas_TRL_CRL.docx</x:v>
      </x:c>
      <x:c r="P44" s="136" t="str">
        <x:v>La investigación ubica comprensión del usuario antes del diseño del sistema de entrega del servicio.</x:v>
      </x:c>
    </x:row>
    <x:row r="45">
      <x:c r="A45" s="136" t="str">
        <x:v>DEP-041</x:v>
      </x:c>
      <x:c r="B45" s="136" t="str">
        <x:v>NEG-002</x:v>
      </x:c>
      <x:c r="C45" s="136" t="str">
        <x:v>Antes de</x:v>
      </x:c>
      <x:c r="D45" s="136" t="str">
        <x:v>SER-001</x:v>
      </x:c>
      <x:c r="E45" s="136" t="str">
        <x:v>Cuando se necesita diseñar la producción del servicio y todavía no está claro qué valor, trabajos, frustraciones y beneficios debe entregar al cliente.</x:v>
      </x:c>
      <x:c r="F45" s="136" t="str">
        <x:v>Propuesta de valor suficientemente definida para el segmento objetivo.</x:v>
      </x:c>
      <x:c r="G45" s="136" t="str">
        <x:v>Condicional</x:v>
      </x:c>
      <x:c r="H45" s="136" t="str">
        <x:v>El Lienzo de Propuesta de Valor define qué valor debe producirse; Servucción estructura cómo se organiza y entrega la experiencia de servicio.</x:v>
      </x:c>
      <x:c r="I45" s="136" t="str">
        <x:v>Borrador sustentado</x:v>
      </x:c>
      <x:c r="J45" s="136" t="str">
        <x:v>Especialmente relevante cuando la innovación es principalmente un servicio.</x:v>
      </x:c>
      <x:c r="K45" s="136" t="str">
        <x:v>MODELO DE NEGOCIO - Lienzo de Propuesta de Valor.pdf</x:v>
      </x:c>
      <x:c r="L45" s="136" t="str">
        <x:v>SERVUCCIÓN - servucción.pdf</x:v>
      </x:c>
      <x:c r="M45" s="136" t="str">
        <x:v>Inferencia sustentada</x:v>
      </x:c>
      <x:c r="N45" s="136" t="str">
        <x:v>Alta</x:v>
      </x:c>
      <x:c r="O45" s="136" t="str">
        <x:v>Herramientas_TRL_CRL.docx</x:v>
      </x:c>
      <x:c r="P45" s="136" t="str">
        <x:v>La investigación ubica Servucción como diseño del sistema de entrega después de comprender usuario y solución.</x:v>
      </x:c>
    </x:row>
    <x:row r="46">
      <x:c r="A46" s="136" t="str">
        <x:v>DEP-042</x:v>
      </x:c>
      <x:c r="B46" s="136" t="str">
        <x:v>PRO-005</x:v>
      </x:c>
      <x:c r="C46" s="136" t="str">
        <x:v>Complementaria con</x:v>
      </x:c>
      <x:c r="D46" s="136" t="str">
        <x:v>SER-001</x:v>
      </x:c>
      <x:c r="E46" s="136" t="str">
        <x:v>Cuando se desea conectar la experiencia del usuario representada visualmente con los momentos de verdad y componentes internos que permiten entregar el servicio.</x:v>
      </x:c>
      <x:c r="F46" s="136" t="str">
        <x:v>Storyboard de la interacción o recorrido del usuario.</x:v>
      </x:c>
      <x:c r="G46" s="136" t="str">
        <x:v>No</x:v>
      </x:c>
      <x:c r="H46" s="136" t="str">
        <x:v>Storyboard representa antes, durante y después de la experiencia; Servucción analiza momentos de verdad y los elementos que producen esa experiencia.</x:v>
      </x:c>
      <x:c r="I46" s="136" t="str">
        <x:v>Borrador sustentado</x:v>
      </x:c>
      <x:c r="J46" s="136" t="str">
        <x:v>Las herramientas pueden iterarse entre sí.</x:v>
      </x:c>
      <x:c r="K46" s="136" t="str">
        <x:v>PROTOTIPADO - Storyboard.pdf</x:v>
      </x:c>
      <x:c r="L46" s="136" t="str">
        <x:v>SERVUCCIÓN - servucción.pdf</x:v>
      </x:c>
      <x:c r="M46" s="136" t="str">
        <x:v>Directo + inferencia sustentada</x:v>
      </x:c>
      <x:c r="N46" s="136" t="str">
        <x:v>Alta</x:v>
      </x:c>
      <x:c r="O46" s="136" t="str">
        <x:v>Herramientas_TRL_CRL.docx</x:v>
      </x:c>
      <x:c r="P46" s="136" t="str">
        <x:v>La investigación agrupa Storyboard y Servucción en la transición entre comprensión/prototipado y diseño del sistema de entrega.</x:v>
      </x:c>
    </x:row>
    <x:row r="47">
      <x:c r="A47" s="136" t="str">
        <x:v>DEP-043</x:v>
      </x:c>
      <x:c r="B47" s="136" t="str">
        <x:v>SER-001</x:v>
      </x:c>
      <x:c r="C47" s="136" t="str">
        <x:v>Complementaria con</x:v>
      </x:c>
      <x:c r="D47" s="136" t="str">
        <x:v>NEG-001</x:v>
      </x:c>
      <x:c r="E47" s="136" t="str">
        <x:v>Cuando un modelo de negocio de servicios necesita concretar recursos, actividades, canales o relaciones a partir del sistema real de prestación.</x:v>
      </x:c>
      <x:c r="F47" s="136" t="str">
        <x:v>Modelo de Servucción con servicios, momentos de verdad, prestadores, estructura y sistema.</x:v>
      </x:c>
      <x:c r="G47" s="136" t="str">
        <x:v>Condicional</x:v>
      </x:c>
      <x:c r="H47" s="136" t="str">
        <x:v>Servucción describe cómo se produce y entrega el servicio; esa información puede refinar recursos, actividades, relaciones y canales del Business Model Canvas.</x:v>
      </x:c>
      <x:c r="I47" s="136" t="str">
        <x:v>Borrador sustentado</x:v>
      </x:c>
      <x:c r="J47" s="136" t="str">
        <x:v>Aplica principalmente a proyectos donde el servicio es central o relevante.</x:v>
      </x:c>
      <x:c r="K47" s="136" t="str">
        <x:v>SERVUCCIÓN - servucción.pdf</x:v>
      </x:c>
      <x:c r="L47" s="136" t="str">
        <x:v>MODELO DE NEGOCIO - Busines Model Canvas.pdf</x:v>
      </x:c>
      <x:c r="M47" s="136" t="str">
        <x:v>Inferencia sustentada</x:v>
      </x:c>
      <x:c r="N47" s="136" t="str">
        <x:v>Media</x:v>
      </x:c>
      <x:c r="O47" s="136" t="str">
        <x:v>Herramientas_TRL_CRL.docx</x:v>
      </x:c>
      <x:c r="P47" s="136" t="str">
        <x:v>La investigación ubica Servucción antes de la consolidación avanzada del modelo de negocio.</x:v>
      </x:c>
    </x:row>
    <x:row r="48">
      <x:c r="A48" s="136" t="str">
        <x:v>DEP-044</x:v>
      </x:c>
      <x:c r="B48" s="136" t="str">
        <x:v>TEN-004</x:v>
      </x:c>
      <x:c r="C48" s="136" t="str">
        <x:v>Complementaria con</x:v>
      </x:c>
      <x:c r="D48" s="136" t="str">
        <x:v>NEG-001</x:v>
      </x:c>
      <x:c r="E48" s="136" t="str">
        <x:v>Cuando la tendencia analizada sugiere un nuevo segmento, canal, propuesta, unidad de negocio o forma de captura de valor que debe incorporarse al modelo.</x:v>
      </x:c>
      <x:c r="F48" s="136" t="str">
        <x:v>Trend Canvas con oportunidad, segmento y concepto de innovación.</x:v>
      </x:c>
      <x:c r="G48" s="136" t="str">
        <x:v>Condicional</x:v>
      </x:c>
      <x:c r="H48" s="136" t="str">
        <x:v>Trend Canvas explora expansión, diversificación y nuevos productos/servicios; Business Model Canvas permite traducir esos cambios al modelo de negocio completo.</x:v>
      </x:c>
      <x:c r="I48" s="136" t="str">
        <x:v>Borrador sustentado</x:v>
      </x:c>
      <x:c r="J48" s="136" t="str">
        <x:v>La relación es iterativa y no obliga a rehacer todo el BMC.</x:v>
      </x:c>
      <x:c r="K48" s="136" t="str">
        <x:v>TENDENCIAS - Trend Canvas.pdf</x:v>
      </x:c>
      <x:c r="L48" s="136" t="str">
        <x:v>MODELO DE NEGOCIO - Busines Model Canvas.pdf</x:v>
      </x:c>
      <x:c r="M48" s="136" t="str">
        <x:v>Directo + inferencia sustentada</x:v>
      </x:c>
      <x:c r="N48" s="136" t="str">
        <x:v>Media</x:v>
      </x:c>
      <x:c r="O48" s="136" t="str">
        <x:v>Herramientas_TRL_CRL.docx</x:v>
      </x:c>
      <x:c r="P48" s="136" t="str">
        <x:v>La investigación ubica tendencias en fases tempranas y el BMC en madurez comercial posterior.</x:v>
      </x:c>
    </x:row>
    <x:row r="49">
      <x:c r="A49" s="229" t="str">
        <x:v>DEP-045</x:v>
      </x:c>
      <x:c r="B49" s="229" t="str">
        <x:v>PRO-006</x:v>
      </x:c>
      <x:c r="C49" s="229" t="str">
        <x:v>Complementaria con</x:v>
      </x:c>
      <x:c r="D49" s="229" t="str">
        <x:v>NEG-001</x:v>
      </x:c>
      <x:c r="E49" s="229" t="str">
        <x:v>Cuando se necesita comprobar que el modelo de negocio propuesto es coherente con la viabilidad económica y el atractivo de mercado de la idea.</x:v>
      </x:c>
      <x:c r="F49" s="229" t="str">
        <x:v>Evaluación Tres Lupas con deseabilidad, factibilidad y viabilidad documentadas.</x:v>
      </x:c>
      <x:c r="G49" s="229" t="str">
        <x:v>Condicional</x:v>
      </x:c>
      <x:c r="H49" s="229" t="str">
        <x:v>Tres Lupas evalúa deseabilidad, factibilidad y viabilidad económica; Business Model Canvas desarrolla la lógica de creación, entrega y captura de valor.</x:v>
      </x:c>
      <x:c r="I49" s="229" t="str">
        <x:v>Borrador sustentado</x:v>
      </x:c>
      <x:c r="J49" s="229" t="str">
        <x:v>BMC puede existir como hipótesis antes de Tres Lupas; esta relación sirve para revisarlo y fortalecerlo.</x:v>
      </x:c>
      <x:c r="K49" s="229" t="str">
        <x:v>PROTOTIPADO - Tres Lupas.pdf</x:v>
      </x:c>
      <x:c r="L49" s="229" t="str">
        <x:v>MODELO DE NEGOCIO - Busines Model Canvas.pdf</x:v>
      </x:c>
      <x:c r="M49" s="229" t="str">
        <x:v>Inferencia sustentada</x:v>
      </x:c>
      <x:c r="N49" s="229" t="str">
        <x:v>Media</x:v>
      </x:c>
      <x:c r="O49" s="229" t="str">
        <x:v>Herramientas_TRL_CRL.docx</x:v>
      </x:c>
      <x:c r="P49" s="229" t="str">
        <x:v>La investigación usa Tres Lupas como checkpoint previo a etapas de modelo de negocio más maduras.</x:v>
      </x:c>
    </x:row>
    <x:row r="50">
      <x:c r="A50" s="408" t="str">
        <x:v>DEP-046</x:v>
      </x:c>
      <x:c r="B50" s="408" t="str">
        <x:v>NEG-001</x:v>
      </x:c>
      <x:c r="C50" s="408" t="str">
        <x:v>Complementaria con</x:v>
      </x:c>
      <x:c r="D50" s="408" t="str">
        <x:v>VAL-001</x:v>
      </x:c>
      <x:c r="E50" s="408" t="str">
        <x:v>Cuando el Business Model Canvas contiene bloques todavía hipotéticos y se necesita decidir qué incertidumbres validar primero.</x:v>
      </x:c>
      <x:c r="F50" s="408" t="str">
        <x:v>BMC con hipótesis o bloques de baja evidencia.</x:v>
      </x:c>
      <x:c r="G50" s="408" t="str">
        <x:v>No</x:v>
      </x:c>
      <x:c r="H50" s="408" t="str">
        <x:v>BMC explicita el modelo; Assumptions Mapping permite priorizar qué hipótesis del modelo representan mayor riesgo.</x:v>
      </x:c>
      <x:c r="I50" s="408" t="str">
        <x:v>Propuesta sustentada</x:v>
      </x:c>
      <x:c r="J50" s="408" t="str">
        <x:v>No convierte BMC en requisito obligatorio.</x:v>
      </x:c>
      <x:c r="K50" s="416" t="str">
        <x:v>MODELO DE NEGOCIO - Busines Model Canvas.pdf</x:v>
      </x:c>
      <x:c r="L50" s="416" t="str">
        <x:v>Strategyzer — Assumptions Mapping</x:v>
      </x:c>
      <x:c r="M50" s="416" t="str">
        <x:v>Inferencia sustentada</x:v>
      </x:c>
      <x:c r="N50" s="416" t="str">
        <x:v>Media</x:v>
      </x:c>
      <x:c r="O50" s="416" t="str">
        <x:v>https://www.strategyzer.com/programs/assumptions-mapping-prepare-to-test-your-business-idea-part-1</x:v>
      </x:c>
      <x:c r="P50" s="416"/>
      <x:c r="Q50" s="416"/>
      <x:c r="R50" s="416"/>
    </x:row>
    <x:row r="51">
      <x:c r="A51" s="408" t="str">
        <x:v>DEP-047</x:v>
      </x:c>
      <x:c r="B51" s="408" t="str">
        <x:v>NEG-002</x:v>
      </x:c>
      <x:c r="C51" s="408" t="str">
        <x:v>Complementaria con</x:v>
      </x:c>
      <x:c r="D51" s="408" t="str">
        <x:v>VAL-001</x:v>
      </x:c>
      <x:c r="E51" s="408" t="str">
        <x:v>Cuando el encaje entre perfil del cliente y mapa de valor aún contiene supuestos no validados.</x:v>
      </x:c>
      <x:c r="F51" s="408" t="str">
        <x:v>VPC o evidencia equivalente con hipótesis de cliente/valor.</x:v>
      </x:c>
      <x:c r="G51" s="408" t="str">
        <x:v>No</x:v>
      </x:c>
      <x:c r="H51" s="408" t="str">
        <x:v>El VPC contiene hipótesis de desirability que pueden priorizarse para prueba.</x:v>
      </x:c>
      <x:c r="I51" s="408" t="str">
        <x:v>Propuesta sustentada</x:v>
      </x:c>
      <x:c r="J51" s="408" t="str">
        <x:v>Puede omitirse si las hipótesis provienen de otra fuente.</x:v>
      </x:c>
      <x:c r="K51" s="416" t="str">
        <x:v>MODELO DE NEGOCIO - Lienzo de Propuesta de Valor.pdf</x:v>
      </x:c>
      <x:c r="L51" s="416" t="str">
        <x:v>Strategyzer — Assumptions Mapping</x:v>
      </x:c>
      <x:c r="M51" s="416" t="str">
        <x:v>Inferencia sustentada</x:v>
      </x:c>
      <x:c r="N51" s="416" t="str">
        <x:v>Media</x:v>
      </x:c>
      <x:c r="O51" s="416" t="str">
        <x:v>https://www.strategyzer.com/programs/assumptions-mapping-prepare-to-test-your-business-idea-part-1</x:v>
      </x:c>
      <x:c r="P51" s="416"/>
      <x:c r="Q51" s="416"/>
      <x:c r="R51" s="416"/>
    </x:row>
    <x:row r="52">
      <x:c r="A52" s="408" t="str">
        <x:v>DEP-048</x:v>
      </x:c>
      <x:c r="B52" s="408" t="str">
        <x:v>PRO-006</x:v>
      </x:c>
      <x:c r="C52" s="408" t="str">
        <x:v>Complementaria con</x:v>
      </x:c>
      <x:c r="D52" s="408" t="str">
        <x:v>VAL-001</x:v>
      </x:c>
      <x:c r="E52" s="408" t="str">
        <x:v>Cuando Tres Lupas identifica una dimensión débil o incierta y se necesita convertirla en hipótesis priorizadas.</x:v>
      </x:c>
      <x:c r="F52" s="408" t="str">
        <x:v>Resultado de Tres Lupas o evidencia equivalente de incertidumbre.</x:v>
      </x:c>
      <x:c r="G52" s="408" t="str">
        <x:v>No</x:v>
      </x:c>
      <x:c r="H52" s="408" t="str">
        <x:v>Tres Lupas señala dónde hay incertidumbre; el mapa de supuestos ayuda a formular y priorizar qué probar.</x:v>
      </x:c>
      <x:c r="I52" s="408" t="str">
        <x:v>Propuesta sustentada</x:v>
      </x:c>
      <x:c r="J52" s="408" t="str">
        <x:v>Relación iterativa, no secuencial obligatoria.</x:v>
      </x:c>
      <x:c r="K52" s="416" t="str">
        <x:v>PROTOTIPADO - Tres Lupas.pdf</x:v>
      </x:c>
      <x:c r="L52" s="416" t="str">
        <x:v>Strategyzer — Assumptions Mapping</x:v>
      </x:c>
      <x:c r="M52" s="416" t="str">
        <x:v>Inferencia sustentada</x:v>
      </x:c>
      <x:c r="N52" s="416" t="str">
        <x:v>Media</x:v>
      </x:c>
      <x:c r="O52" s="416" t="str">
        <x:v>https://www.strategyzer.com/programs/assumptions-mapping-prepare-to-test-your-business-idea-part-1</x:v>
      </x:c>
      <x:c r="P52" s="416"/>
      <x:c r="Q52" s="416"/>
      <x:c r="R52" s="416"/>
    </x:row>
    <x:row r="53">
      <x:c r="A53" s="408" t="str">
        <x:v>DEP-049</x:v>
      </x:c>
      <x:c r="B53" s="408" t="str">
        <x:v>VAL-001</x:v>
      </x:c>
      <x:c r="C53" s="408" t="str">
        <x:v>Antes de</x:v>
      </x:c>
      <x:c r="D53" s="408" t="str">
        <x:v>VAL-002</x:v>
      </x:c>
      <x:c r="E53" s="408" t="str">
        <x:v>Cuando existe una o más hipótesis críticas y se necesita diseñar una prueba para la prioritaria.</x:v>
      </x:c>
      <x:c r="F53" s="408" t="str">
        <x:v>Hipótesis prioritaria testable.</x:v>
      </x:c>
      <x:c r="G53" s="408" t="str">
        <x:v>Condicional</x:v>
      </x:c>
      <x:c r="H53" s="408" t="str">
        <x:v>La Test Card necesita una hipótesis clara; Assumptions Mapping es una fuente natural de esa hipótesis.</x:v>
      </x:c>
      <x:c r="I53" s="408" t="str">
        <x:v>Propuesta sustentada</x:v>
      </x:c>
      <x:c r="J53" s="408" t="str">
        <x:v>Puede omitirse VAL-001 si la hipótesis ya existe con calidad suficiente.</x:v>
      </x:c>
      <x:c r="K53" s="416" t="str">
        <x:v>Strategyzer — Assumptions Mapping</x:v>
      </x:c>
      <x:c r="L53" s="416" t="str">
        <x:v>Strategyzer — Test Card</x:v>
      </x:c>
      <x:c r="M53" s="416" t="str">
        <x:v>Directo + adaptación</x:v>
      </x:c>
      <x:c r="N53" s="416" t="str">
        <x:v>Alta</x:v>
      </x:c>
      <x:c r="O53" s="416" t="str">
        <x:v>https://www.strategyzer.com/library/validate-your-ideas-with-the-test-card</x:v>
      </x:c>
      <x:c r="P53" s="416"/>
      <x:c r="Q53" s="416"/>
      <x:c r="R53" s="416"/>
    </x:row>
    <x:row r="54">
      <x:c r="A54" s="408" t="str">
        <x:v>DEP-050</x:v>
      </x:c>
      <x:c r="B54" s="408" t="str">
        <x:v>VAL-002</x:v>
      </x:c>
      <x:c r="C54" s="408" t="str">
        <x:v>Antes de</x:v>
      </x:c>
      <x:c r="D54" s="408" t="str">
        <x:v>VAL-003</x:v>
      </x:c>
      <x:c r="E54" s="408" t="str">
        <x:v>Cuando el experimento diseñado ya fue ejecutado y existen resultados que deben convertirse en aprendizaje.</x:v>
      </x:c>
      <x:c r="F54" s="408" t="str">
        <x:v>Resultados del experimento + hipótesis/umbral original.</x:v>
      </x:c>
      <x:c r="G54" s="408" t="str">
        <x:v>Condicional</x:v>
      </x:c>
      <x:c r="H54" s="408" t="str">
        <x:v>Strategyzer presenta Learning Card como complemento posterior a Test Card para convertir resultados en aprendizaje/acción.</x:v>
      </x:c>
      <x:c r="I54" s="408" t="str">
        <x:v>Propuesta sustentada</x:v>
      </x:c>
      <x:c r="J54" s="408" t="str">
        <x:v>Puede usarse Learning Card con un experimento equivalente no diseñado en Test Card si es trazable.</x:v>
      </x:c>
      <x:c r="K54" s="416" t="str">
        <x:v>Strategyzer — Test Card</x:v>
      </x:c>
      <x:c r="L54" s="416" t="str">
        <x:v>Strategyzer — Learning Card</x:v>
      </x:c>
      <x:c r="M54" s="416" t="str">
        <x:v>Directo</x:v>
      </x:c>
      <x:c r="N54" s="416" t="str">
        <x:v>Alta</x:v>
      </x:c>
      <x:c r="O54" s="416" t="str">
        <x:v>https://www.strategyzer.com/library/capture-customer-insights-and-actions-with-the-learning-card</x:v>
      </x:c>
      <x:c r="P54" s="416"/>
      <x:c r="Q54" s="416"/>
      <x:c r="R54" s="416"/>
    </x:row>
    <x:row r="55">
      <x:c r="A55" s="408" t="str">
        <x:v>DEP-051</x:v>
      </x:c>
      <x:c r="B55" s="408" t="str">
        <x:v>VAL-003</x:v>
      </x:c>
      <x:c r="C55" s="408" t="str">
        <x:v>Complementaria con</x:v>
      </x:c>
      <x:c r="D55" s="408" t="str">
        <x:v>VAL-001</x:v>
      </x:c>
      <x:c r="E55" s="408" t="str">
        <x:v>Cuando el aprendizaje obtenido modifica, invalida o crea nuevos supuestos del proyecto.</x:v>
      </x:c>
      <x:c r="F55" s="408" t="str">
        <x:v>Learning Card con decisión/evidencia.</x:v>
      </x:c>
      <x:c r="G55" s="408" t="str">
        <x:v>No</x:v>
      </x:c>
      <x:c r="H55" s="408" t="str">
        <x:v>El aprendizaje puede cambiar el mapa de hipótesis y la prioridad de nuevos experimentos.</x:v>
      </x:c>
      <x:c r="I55" s="408" t="str">
        <x:v>Propuesta sustentada</x:v>
      </x:c>
      <x:c r="J55" s="408" t="str">
        <x:v>Ciclo iterativo controlado; no es relación «Antes de».</x:v>
      </x:c>
      <x:c r="K55" s="416" t="str">
        <x:v>Strategyzer — Learning Card</x:v>
      </x:c>
      <x:c r="L55" s="416" t="str">
        <x:v>Strategyzer — Assumptions Mapping</x:v>
      </x:c>
      <x:c r="M55" s="416" t="str">
        <x:v>Inferencia sustentada</x:v>
      </x:c>
      <x:c r="N55" s="416" t="str">
        <x:v>Alta</x:v>
      </x:c>
      <x:c r="O55" s="416" t="str">
        <x:v>https://www.strategyzer.com/programs/assumptions-mapping-prepare-to-test-your-business-idea-part-1</x:v>
      </x:c>
      <x:c r="P55" s="416"/>
      <x:c r="Q55" s="416"/>
      <x:c r="R55" s="416"/>
    </x:row>
    <x:row r="56">
      <x:c r="A56" s="408" t="str">
        <x:v>DEP-052</x:v>
      </x:c>
      <x:c r="B56" s="408" t="str">
        <x:v>PRO-004</x:v>
      </x:c>
      <x:c r="C56" s="408" t="str">
        <x:v>Complementaria con</x:v>
      </x:c>
      <x:c r="D56" s="408" t="str">
        <x:v>MAD-001</x:v>
      </x:c>
      <x:c r="E56" s="408" t="str">
        <x:v>Cuando los requisitos de solución revelan prestaciones o verificaciones técnicas que todavía no alcanzan el nivel de madurez requerido.</x:v>
      </x:c>
      <x:c r="F56" s="408" t="str">
        <x:v>Requisitos técnicos + TRL actual/objetivo.</x:v>
      </x:c>
      <x:c r="G56" s="408" t="str">
        <x:v>Condicional</x:v>
      </x:c>
      <x:c r="H56" s="408" t="str">
        <x:v>Los requisitos ayudan a definir qué debe demostrarse; el Plan de Maduración organiza actividades y evidencia para cerrar la brecha.</x:v>
      </x:c>
      <x:c r="I56" s="408" t="str">
        <x:v>Propuesta sustentada</x:v>
      </x:c>
      <x:c r="J56" s="408" t="str">
        <x:v>No exige PRO-004 si los requisitos ya están definidos por otra fuente.</x:v>
      </x:c>
      <x:c r="K56" s="416" t="str">
        <x:v>PROTOTIPADO - Requisitos de Solución.pdf</x:v>
      </x:c>
      <x:c r="L56" s="416" t="str">
        <x:v>U.S. DOE — Technology Maturation Plan</x:v>
      </x:c>
      <x:c r="M56" s="416" t="str">
        <x:v>Inferencia sustentada</x:v>
      </x:c>
      <x:c r="N56" s="416" t="str">
        <x:v>Media</x:v>
      </x:c>
      <x:c r="O56" s="416" t="str">
        <x:v>https://www.energy.gov/documents/archivedoe-g-413-3-4doe-technology-readiness-assessment-guide2009-10-12pdf</x:v>
      </x:c>
      <x:c r="P56" s="416"/>
      <x:c r="Q56" s="416"/>
      <x:c r="R56" s="416"/>
    </x:row>
    <x:row r="57">
      <x:c r="A57" s="408" t="str">
        <x:v>DEP-053</x:v>
      </x:c>
      <x:c r="B57" s="408" t="str">
        <x:v>PRO-006</x:v>
      </x:c>
      <x:c r="C57" s="408" t="str">
        <x:v>Complementaria con</x:v>
      </x:c>
      <x:c r="D57" s="408" t="str">
        <x:v>MAD-001</x:v>
      </x:c>
      <x:c r="E57" s="408" t="str">
        <x:v>Cuando Tres Lupas identifica factibilidad técnica débil y existe una brecha TRL que debe planificarse.</x:v>
      </x:c>
      <x:c r="F57" s="408" t="str">
        <x:v>Resultado de factibilidad + evaluación TRL.</x:v>
      </x:c>
      <x:c r="G57" s="408" t="str">
        <x:v>Condicional</x:v>
      </x:c>
      <x:c r="H57" s="408" t="str">
        <x:v>Tres Lupas funciona como checkpoint; TMP convierte la brecha técnica en roadmap de maduración.</x:v>
      </x:c>
      <x:c r="I57" s="408" t="str">
        <x:v>Propuesta sustentada</x:v>
      </x:c>
      <x:c r="J57" s="408" t="str">
        <x:v>No toda brecha de Tres Lupas requiere TMP; aplica cuando existe tecnología crítica/madurez definida.</x:v>
      </x:c>
      <x:c r="K57" s="416" t="str">
        <x:v>PROTOTIPADO - Tres Lupas.pdf</x:v>
      </x:c>
      <x:c r="L57" s="416" t="str">
        <x:v>U.S. DOE — Technology Maturation Plan</x:v>
      </x:c>
      <x:c r="M57" s="416" t="str">
        <x:v>Inferencia sustentada</x:v>
      </x:c>
      <x:c r="N57" s="416" t="str">
        <x:v>Media</x:v>
      </x:c>
      <x:c r="O57" s="416" t="str">
        <x:v>https://www.energy.gov/documents/archivedoe-g-413-3-4doe-technology-readiness-assessment-guide2009-10-12pdf</x:v>
      </x:c>
      <x:c r="P57" s="416"/>
      <x:c r="Q57" s="416"/>
      <x:c r="R57" s="416"/>
    </x:row>
    <x:row r="58">
      <x:c r="A58" s="408" t="str">
        <x:v>DEP-054</x:v>
      </x:c>
      <x:c r="B58" s="408" t="str">
        <x:v>NEG-001</x:v>
      </x:c>
      <x:c r="C58" s="408" t="str">
        <x:v>Complementaria con</x:v>
      </x:c>
      <x:c r="D58" s="408" t="str">
        <x:v>TRA-002</x:v>
      </x:c>
      <x:c r="E58" s="408" t="str">
        <x:v>Cuando el modelo de negocio necesita traducirse a actividades, actores, socios y capacidades reales de la cadena de valor.</x:v>
      </x:c>
      <x:c r="F58" s="408" t="str">
        <x:v>BMC o información equivalente de propuesta, actividades, socios, canales y recursos.</x:v>
      </x:c>
      <x:c r="G58" s="408" t="str">
        <x:v>Condicional</x:v>
      </x:c>
      <x:c r="H58" s="408" t="str">
        <x:v>Value Chain profundiza la capacidad real de desarrollar, comercializar y soportar la oferta.</x:v>
      </x:c>
      <x:c r="I58" s="408" t="str">
        <x:v>Propuesta sustentada</x:v>
      </x:c>
      <x:c r="J58" s="408" t="str">
        <x:v>No exigir BMC si ya existe información equivalente.</x:v>
      </x:c>
      <x:c r="K58" s="416" t="str">
        <x:v>MODELO DE NEGOCIO - Busines Model Canvas.pdf</x:v>
      </x:c>
      <x:c r="L58" s="416" t="str">
        <x:v>WIPO — Value Chain</x:v>
      </x:c>
      <x:c r="M58" s="416" t="str">
        <x:v>Inferencia sustentada</x:v>
      </x:c>
      <x:c r="N58" s="416" t="str">
        <x:v>Alta</x:v>
      </x:c>
      <x:c r="O58" s="416" t="str">
        <x:v>https://www.wipo.int/en/web/tisc/inventions-public-domain</x:v>
      </x:c>
      <x:c r="P58" s="416"/>
      <x:c r="Q58" s="416"/>
      <x:c r="R58" s="416"/>
    </x:row>
    <x:row r="59">
      <x:c r="A59" s="408" t="str">
        <x:v>DEP-055</x:v>
      </x:c>
      <x:c r="B59" s="408" t="str">
        <x:v>TRA-003</x:v>
      </x:c>
      <x:c r="C59" s="408" t="str">
        <x:v>Complementaria con</x:v>
      </x:c>
      <x:c r="D59" s="408" t="str">
        <x:v>TRA-001</x:v>
      </x:c>
      <x:c r="E59" s="408" t="str">
        <x:v>Cuando un resultado inventivo está siendo evaluado para protección/transferencia y se requiere revisar riesgos de derechos de terceros.</x:v>
      </x:c>
      <x:c r="F59" s="408" t="str">
        <x:v>Ficha de divulgación y descripción técnica suficientemente definida.</x:v>
      </x:c>
      <x:c r="G59" s="408" t="str">
        <x:v>Condicional</x:v>
      </x:c>
      <x:c r="H59" s="408" t="str">
        <x:v>Divulgación inicia evaluación institucional; FTO aborda derechos de terceros asociados a la explotación prevista.</x:v>
      </x:c>
      <x:c r="I59" s="408" t="str">
        <x:v>Propuesta sustentada</x:v>
      </x:c>
      <x:c r="J59" s="408" t="str">
        <x:v>No toda divulgación requiere FTO inmediato; depende de estrategia y madurez.</x:v>
      </x:c>
      <x:c r="K59" s="416" t="str">
        <x:v>WIPO — Technology Transfer</x:v>
      </x:c>
      <x:c r="L59" s="416" t="str">
        <x:v>WIPO — Freedom to Operate</x:v>
      </x:c>
      <x:c r="M59" s="416" t="str">
        <x:v>Inferencia sustentada</x:v>
      </x:c>
      <x:c r="N59" s="416" t="str">
        <x:v>Media</x:v>
      </x:c>
      <x:c r="O59" s="416" t="str">
        <x:v>https://www.wipo.int/en/web/tisc/inventions-public-domain</x:v>
      </x:c>
      <x:c r="P59" s="416"/>
      <x:c r="Q59" s="416"/>
      <x:c r="R59" s="416"/>
    </x:row>
    <x:row r="60">
      <x:c r="A60" s="408" t="str">
        <x:v>DEP-056</x:v>
      </x:c>
      <x:c r="B60" s="408" t="str">
        <x:v>TRA-001</x:v>
      </x:c>
      <x:c r="C60" s="408" t="str">
        <x:v>Complementaria con</x:v>
      </x:c>
      <x:c r="D60" s="408" t="str">
        <x:v>ADO-001</x:v>
      </x:c>
      <x:c r="E60" s="408" t="str">
        <x:v>Cuando los riesgos de PI de terceros forman parte de la licencia para operar o condicionan adopción/comercialización.</x:v>
      </x:c>
      <x:c r="F60" s="408" t="str">
        <x:v>Matriz FTO o evidencia equivalente de riesgos PI.</x:v>
      </x:c>
      <x:c r="G60" s="408" t="str">
        <x:v>No</x:v>
      </x:c>
      <x:c r="H60" s="408" t="str">
        <x:v>DOE ARL incluye License to Operate como área de riesgo no técnico; FTO aporta evidencia específica de PI.</x:v>
      </x:c>
      <x:c r="I60" s="408" t="str">
        <x:v>Propuesta sustentada</x:v>
      </x:c>
      <x:c r="J60" s="408" t="str">
        <x:v>FTO es solo una parte de license to operate.</x:v>
      </x:c>
      <x:c r="K60" s="416" t="str">
        <x:v>WIPO — Freedom to Operate</x:v>
      </x:c>
      <x:c r="L60" s="416" t="str">
        <x:v>U.S. DOE — ARL Framework</x:v>
      </x:c>
      <x:c r="M60" s="416" t="str">
        <x:v>Inferencia sustentada</x:v>
      </x:c>
      <x:c r="N60" s="416" t="str">
        <x:v>Alta</x:v>
      </x:c>
      <x:c r="O60" s="416" t="str">
        <x:v>https://www.energy.gov/technologycommercialization/adoption-readiness-levels-arl-framework</x:v>
      </x:c>
      <x:c r="P60" s="416"/>
      <x:c r="Q60" s="416"/>
      <x:c r="R60" s="416"/>
    </x:row>
    <x:row r="61">
      <x:c r="A61" s="408" t="str">
        <x:v>DEP-057</x:v>
      </x:c>
      <x:c r="B61" s="408" t="str">
        <x:v>TRA-002</x:v>
      </x:c>
      <x:c r="C61" s="408" t="str">
        <x:v>Complementaria con</x:v>
      </x:c>
      <x:c r="D61" s="408" t="str">
        <x:v>ADO-001</x:v>
      </x:c>
      <x:c r="E61" s="408" t="str">
        <x:v>Cuando la adopción depende de actores/capacidades de la cadena de valor y recursos aún inmaduros.</x:v>
      </x:c>
      <x:c r="F61" s="408" t="str">
        <x:v>Mapa de cadena de valor o evidencia equivalente.</x:v>
      </x:c>
      <x:c r="G61" s="408" t="str">
        <x:v>No</x:v>
      </x:c>
      <x:c r="H61" s="408" t="str">
        <x:v>ARL evalúa aceptación de mercado y madurez de recursos; Value Chain revela actores y capacidades concretas.</x:v>
      </x:c>
      <x:c r="I61" s="408" t="str">
        <x:v>Propuesta sustentada</x:v>
      </x:c>
      <x:c r="J61" s="408" t="str">
        <x:v>No exige completar TRA-002 si la información ya existe.</x:v>
      </x:c>
      <x:c r="K61" s="416" t="str">
        <x:v>WIPO — Value Chain</x:v>
      </x:c>
      <x:c r="L61" s="416" t="str">
        <x:v>U.S. DOE — ARL Framework</x:v>
      </x:c>
      <x:c r="M61" s="416" t="str">
        <x:v>Inferencia sustentada</x:v>
      </x:c>
      <x:c r="N61" s="416" t="str">
        <x:v>Alta</x:v>
      </x:c>
      <x:c r="O61" s="416" t="str">
        <x:v>https://www.energy.gov/technologycommercialization/adoption-readiness-levels-arl-framework</x:v>
      </x:c>
      <x:c r="P61" s="416"/>
      <x:c r="Q61" s="416"/>
      <x:c r="R61" s="416"/>
    </x:row>
    <x:row r="62">
      <x:c r="A62" s="408" t="str">
        <x:v>DEP-058</x:v>
      </x:c>
      <x:c r="B62" s="408" t="str">
        <x:v>NEG-002</x:v>
      </x:c>
      <x:c r="C62" s="408" t="str">
        <x:v>Complementaria con</x:v>
      </x:c>
      <x:c r="D62" s="408" t="str">
        <x:v>ADO-001</x:v>
      </x:c>
      <x:c r="E62" s="408" t="str">
        <x:v>Cuando se necesita contrastar el valor prometido con riesgos de adopción, disposición a pagar o requerimientos del mercado.</x:v>
      </x:c>
      <x:c r="F62" s="408" t="str">
        <x:v>VPC o evidencia equivalente de propuesta de valor y cliente.</x:v>
      </x:c>
      <x:c r="G62" s="408" t="str">
        <x:v>No</x:v>
      </x:c>
      <x:c r="H62" s="408" t="str">
        <x:v>ARL incluye Value Proposition como área central de riesgo de adopción.</x:v>
      </x:c>
      <x:c r="I62" s="408" t="str">
        <x:v>Propuesta sustentada</x:v>
      </x:c>
      <x:c r="J62" s="408" t="str">
        <x:v>El VPC no sustituye evidencia de adopción.</x:v>
      </x:c>
      <x:c r="K62" s="416" t="str">
        <x:v>MODELO DE NEGOCIO - Lienzo de Propuesta de Valor.pdf</x:v>
      </x:c>
      <x:c r="L62" s="416" t="str">
        <x:v>U.S. DOE — ARL Framework</x:v>
      </x:c>
      <x:c r="M62" s="416" t="str">
        <x:v>Inferencia sustentada</x:v>
      </x:c>
      <x:c r="N62" s="416" t="str">
        <x:v>Media</x:v>
      </x:c>
      <x:c r="O62" s="416" t="str">
        <x:v>https://www.energy.gov/technologycommercialization/adoption-readiness-levels-arl-framework</x:v>
      </x:c>
      <x:c r="P62" s="416"/>
      <x:c r="Q62" s="416"/>
      <x:c r="R62" s="416"/>
    </x:row>
    <x:row r="63">
      <x:c r="A63" s="408" t="str">
        <x:v>DEP-059</x:v>
      </x:c>
      <x:c r="B63" s="408" t="str">
        <x:v>MKT-004</x:v>
      </x:c>
      <x:c r="C63" s="408" t="str">
        <x:v>Complementaria con</x:v>
      </x:c>
      <x:c r="D63" s="408" t="str">
        <x:v>ADO-001</x:v>
      </x:c>
      <x:c r="E63" s="408" t="str">
        <x:v>Cuando competidores/alternativas y percepción de mercado constituyen barreras relevantes para adopción.</x:v>
      </x:c>
      <x:c r="F63" s="408" t="str">
        <x:v>Mapa de posicionamiento o evidencia competitiva equivalente.</x:v>
      </x:c>
      <x:c r="G63" s="408" t="str">
        <x:v>No</x:v>
      </x:c>
      <x:c r="H63" s="408" t="str">
        <x:v>ARL Market Acceptance considera riesgos de mercado y jugadores existentes, incluidos competidores y clientes.</x:v>
      </x:c>
      <x:c r="I63" s="408" t="str">
        <x:v>Propuesta sustentada</x:v>
      </x:c>
      <x:c r="J63" s="408" t="str">
        <x:v>Posicionamiento es una fuente de evidencia, no un requisito.</x:v>
      </x:c>
      <x:c r="K63" s="416" t="str">
        <x:v>MARKETING - Mapa de Posicionamiento.pdf</x:v>
      </x:c>
      <x:c r="L63" s="416" t="str">
        <x:v>U.S. DOE — ARL Framework</x:v>
      </x:c>
      <x:c r="M63" s="416" t="str">
        <x:v>Inferencia sustentada</x:v>
      </x:c>
      <x:c r="N63" s="416" t="str">
        <x:v>Media</x:v>
      </x:c>
      <x:c r="O63" s="416" t="str">
        <x:v>https://www.energy.gov/technologycommercialization/adoption-readiness-levels-arl-framework</x:v>
      </x:c>
      <x:c r="P63" s="416"/>
      <x:c r="Q63" s="416"/>
      <x:c r="R63" s="416"/>
    </x:row>
    <x:row r="64">
      <x:c r="A64" s="44"/>
      <x:c r="B64" s="44"/>
      <x:c r="C64" s="44"/>
      <x:c r="D64" s="44"/>
      <x:c r="E64" s="44"/>
      <x:c r="F64" s="44"/>
      <x:c r="G64" s="44"/>
      <x:c r="H64" s="44"/>
      <x:c r="I64" s="44"/>
      <x:c r="J64" s="44"/>
    </x:row>
    <x:row r="65">
      <x:c r="A65" s="44"/>
      <x:c r="B65" s="44"/>
      <x:c r="C65" s="44"/>
      <x:c r="D65" s="44"/>
      <x:c r="E65" s="44"/>
      <x:c r="F65" s="44"/>
      <x:c r="G65" s="44"/>
      <x:c r="H65" s="44"/>
      <x:c r="I65" s="44"/>
      <x:c r="J65" s="44"/>
    </x:row>
    <x:row r="66">
      <x:c r="A66" s="44"/>
      <x:c r="B66" s="44"/>
      <x:c r="C66" s="44"/>
      <x:c r="D66" s="44"/>
      <x:c r="E66" s="44"/>
      <x:c r="F66" s="44"/>
      <x:c r="G66" s="44"/>
      <x:c r="H66" s="44"/>
      <x:c r="I66" s="44"/>
      <x:c r="J66" s="44"/>
    </x:row>
    <x:row r="67">
      <x:c r="A67" s="44"/>
      <x:c r="B67" s="44"/>
      <x:c r="C67" s="44"/>
      <x:c r="D67" s="44"/>
      <x:c r="E67" s="44"/>
      <x:c r="F67" s="44"/>
      <x:c r="G67" s="44"/>
      <x:c r="H67" s="44"/>
      <x:c r="I67" s="44"/>
      <x:c r="J67" s="44"/>
    </x:row>
    <x:row r="68">
      <x:c r="A68" s="44"/>
      <x:c r="B68" s="44"/>
      <x:c r="C68" s="44"/>
      <x:c r="D68" s="44"/>
      <x:c r="E68" s="44"/>
      <x:c r="F68" s="44"/>
      <x:c r="G68" s="44"/>
      <x:c r="H68" s="44"/>
      <x:c r="I68" s="44"/>
      <x:c r="J68" s="44"/>
    </x:row>
    <x:row r="69">
      <x:c r="A69" s="44"/>
      <x:c r="B69" s="44"/>
      <x:c r="C69" s="44"/>
      <x:c r="D69" s="44"/>
      <x:c r="E69" s="44"/>
      <x:c r="F69" s="44"/>
      <x:c r="G69" s="44"/>
      <x:c r="H69" s="44"/>
      <x:c r="I69" s="44"/>
      <x:c r="J69" s="44"/>
    </x:row>
    <x:row r="70">
      <x:c r="A70" s="44"/>
      <x:c r="B70" s="44"/>
      <x:c r="C70" s="44"/>
      <x:c r="D70" s="44"/>
      <x:c r="E70" s="44"/>
      <x:c r="F70" s="44"/>
      <x:c r="G70" s="44"/>
      <x:c r="H70" s="44"/>
      <x:c r="I70" s="44"/>
      <x:c r="J70" s="44"/>
    </x:row>
    <x:row r="71">
      <x:c r="A71" s="44"/>
      <x:c r="B71" s="44"/>
      <x:c r="C71" s="44"/>
      <x:c r="D71" s="44"/>
      <x:c r="E71" s="44"/>
      <x:c r="F71" s="44"/>
      <x:c r="G71" s="44"/>
      <x:c r="H71" s="44"/>
      <x:c r="I71" s="44"/>
      <x:c r="J71" s="44"/>
    </x:row>
    <x:row r="72">
      <x:c r="A72" s="44"/>
      <x:c r="B72" s="44"/>
      <x:c r="C72" s="44"/>
      <x:c r="D72" s="44"/>
      <x:c r="E72" s="44"/>
      <x:c r="F72" s="44"/>
      <x:c r="G72" s="44"/>
      <x:c r="H72" s="44"/>
      <x:c r="I72" s="44"/>
      <x:c r="J72" s="44"/>
    </x:row>
    <x:row r="73">
      <x:c r="A73" s="44"/>
      <x:c r="B73" s="44"/>
      <x:c r="C73" s="44"/>
      <x:c r="D73" s="44"/>
      <x:c r="E73" s="44"/>
      <x:c r="F73" s="44"/>
      <x:c r="G73" s="44"/>
      <x:c r="H73" s="44"/>
      <x:c r="I73" s="44"/>
      <x:c r="J73" s="44"/>
    </x:row>
    <x:row r="74">
      <x:c r="A74" s="44"/>
      <x:c r="B74" s="44"/>
      <x:c r="C74" s="44"/>
      <x:c r="D74" s="44"/>
      <x:c r="E74" s="44"/>
      <x:c r="F74" s="44"/>
      <x:c r="G74" s="44"/>
      <x:c r="H74" s="44"/>
      <x:c r="I74" s="44"/>
      <x:c r="J74" s="44"/>
    </x:row>
    <x:row r="75">
      <x:c r="A75" s="44"/>
      <x:c r="B75" s="44"/>
      <x:c r="C75" s="44"/>
      <x:c r="D75" s="44"/>
      <x:c r="E75" s="44"/>
      <x:c r="F75" s="44"/>
      <x:c r="G75" s="44"/>
      <x:c r="H75" s="44"/>
      <x:c r="I75" s="44"/>
      <x:c r="J75" s="44"/>
    </x:row>
    <x:row r="76">
      <x:c r="A76" s="44"/>
      <x:c r="B76" s="44"/>
      <x:c r="C76" s="44"/>
      <x:c r="D76" s="44"/>
      <x:c r="E76" s="44"/>
      <x:c r="F76" s="44"/>
      <x:c r="G76" s="44"/>
      <x:c r="H76" s="44"/>
      <x:c r="I76" s="44"/>
      <x:c r="J76" s="44"/>
    </x:row>
    <x:row r="77">
      <x:c r="A77" s="44"/>
      <x:c r="B77" s="44"/>
      <x:c r="C77" s="44"/>
      <x:c r="D77" s="44"/>
      <x:c r="E77" s="44"/>
      <x:c r="F77" s="44"/>
      <x:c r="G77" s="44"/>
      <x:c r="H77" s="44"/>
      <x:c r="I77" s="44"/>
      <x:c r="J77" s="44"/>
    </x:row>
    <x:row r="78">
      <x:c r="A78" s="44"/>
      <x:c r="B78" s="44"/>
      <x:c r="C78" s="44"/>
      <x:c r="D78" s="44"/>
      <x:c r="E78" s="44"/>
      <x:c r="F78" s="44"/>
      <x:c r="G78" s="44"/>
      <x:c r="H78" s="44"/>
      <x:c r="I78" s="44"/>
      <x:c r="J78" s="44"/>
    </x:row>
    <x:row r="79">
      <x:c r="A79" s="44"/>
      <x:c r="B79" s="44"/>
      <x:c r="C79" s="44"/>
      <x:c r="D79" s="44"/>
      <x:c r="E79" s="44"/>
      <x:c r="F79" s="44"/>
      <x:c r="G79" s="44"/>
      <x:c r="H79" s="44"/>
      <x:c r="I79" s="44"/>
      <x:c r="J79" s="44"/>
    </x:row>
    <x:row r="80">
      <x:c r="A80" s="44"/>
      <x:c r="B80" s="44"/>
      <x:c r="C80" s="44"/>
      <x:c r="D80" s="44"/>
      <x:c r="E80" s="44"/>
      <x:c r="F80" s="44"/>
      <x:c r="G80" s="44"/>
      <x:c r="H80" s="44"/>
      <x:c r="I80" s="44"/>
      <x:c r="J80" s="44"/>
    </x:row>
    <x:row r="81">
      <x:c r="A81" s="44"/>
      <x:c r="B81" s="44"/>
      <x:c r="C81" s="44"/>
      <x:c r="D81" s="44"/>
      <x:c r="E81" s="44"/>
      <x:c r="F81" s="44"/>
      <x:c r="G81" s="44"/>
      <x:c r="H81" s="44"/>
      <x:c r="I81" s="44"/>
      <x:c r="J81" s="44"/>
    </x:row>
    <x:row r="82">
      <x:c r="A82" s="44"/>
      <x:c r="B82" s="44"/>
      <x:c r="C82" s="44"/>
      <x:c r="D82" s="44"/>
      <x:c r="E82" s="44"/>
      <x:c r="F82" s="44"/>
      <x:c r="G82" s="44"/>
      <x:c r="H82" s="44"/>
      <x:c r="I82" s="44"/>
      <x:c r="J82" s="44"/>
    </x:row>
    <x:row r="83">
      <x:c r="A83" s="44"/>
      <x:c r="B83" s="44"/>
      <x:c r="C83" s="44"/>
      <x:c r="D83" s="44"/>
      <x:c r="E83" s="44"/>
      <x:c r="F83" s="44"/>
      <x:c r="G83" s="44"/>
      <x:c r="H83" s="44"/>
      <x:c r="I83" s="44"/>
      <x:c r="J83" s="44"/>
    </x:row>
    <x:row r="84">
      <x:c r="A84" s="44"/>
      <x:c r="B84" s="44"/>
      <x:c r="C84" s="44"/>
      <x:c r="D84" s="44"/>
      <x:c r="E84" s="44"/>
      <x:c r="F84" s="44"/>
      <x:c r="G84" s="44"/>
      <x:c r="H84" s="44"/>
      <x:c r="I84" s="44"/>
      <x:c r="J84" s="44"/>
    </x:row>
    <x:row r="85">
      <x:c r="A85" s="44"/>
      <x:c r="B85" s="44"/>
      <x:c r="C85" s="44"/>
      <x:c r="D85" s="44"/>
      <x:c r="E85" s="44"/>
      <x:c r="F85" s="44"/>
      <x:c r="G85" s="44"/>
      <x:c r="H85" s="44"/>
      <x:c r="I85" s="44"/>
      <x:c r="J85" s="44"/>
    </x:row>
    <x:row r="86">
      <x:c r="A86" s="44"/>
      <x:c r="B86" s="44"/>
      <x:c r="C86" s="44"/>
      <x:c r="D86" s="44"/>
      <x:c r="E86" s="44"/>
      <x:c r="F86" s="44"/>
      <x:c r="G86" s="44"/>
      <x:c r="H86" s="44"/>
      <x:c r="I86" s="44"/>
      <x:c r="J86" s="44"/>
    </x:row>
    <x:row r="87">
      <x:c r="A87" s="44"/>
      <x:c r="B87" s="44"/>
      <x:c r="C87" s="44"/>
      <x:c r="D87" s="44"/>
      <x:c r="E87" s="44"/>
      <x:c r="F87" s="44"/>
      <x:c r="G87" s="44"/>
      <x:c r="H87" s="44"/>
      <x:c r="I87" s="44"/>
      <x:c r="J87" s="44"/>
    </x:row>
    <x:row r="88">
      <x:c r="A88" s="44"/>
      <x:c r="B88" s="44"/>
      <x:c r="C88" s="44"/>
      <x:c r="D88" s="44"/>
      <x:c r="E88" s="44"/>
      <x:c r="F88" s="44"/>
      <x:c r="G88" s="44"/>
      <x:c r="H88" s="44"/>
      <x:c r="I88" s="44"/>
      <x:c r="J88" s="44"/>
    </x:row>
    <x:row r="89">
      <x:c r="A89" s="44"/>
      <x:c r="B89" s="44"/>
      <x:c r="C89" s="44"/>
      <x:c r="D89" s="44"/>
      <x:c r="E89" s="44"/>
      <x:c r="F89" s="44"/>
      <x:c r="G89" s="44"/>
      <x:c r="H89" s="44"/>
      <x:c r="I89" s="44"/>
      <x:c r="J89" s="44"/>
    </x:row>
    <x:row r="90">
      <x:c r="A90" s="44"/>
      <x:c r="B90" s="44"/>
      <x:c r="C90" s="44"/>
      <x:c r="D90" s="44"/>
      <x:c r="E90" s="44"/>
      <x:c r="F90" s="44"/>
      <x:c r="G90" s="44"/>
      <x:c r="H90" s="44"/>
      <x:c r="I90" s="44"/>
      <x:c r="J90" s="44"/>
    </x:row>
    <x:row r="91">
      <x:c r="A91" s="44"/>
      <x:c r="B91" s="44"/>
      <x:c r="C91" s="44"/>
      <x:c r="D91" s="44"/>
      <x:c r="E91" s="44"/>
      <x:c r="F91" s="44"/>
      <x:c r="G91" s="44"/>
      <x:c r="H91" s="44"/>
      <x:c r="I91" s="44"/>
      <x:c r="J91" s="44"/>
    </x:row>
    <x:row r="92">
      <x:c r="A92" s="44"/>
      <x:c r="B92" s="44"/>
      <x:c r="C92" s="44"/>
      <x:c r="D92" s="44"/>
      <x:c r="E92" s="44"/>
      <x:c r="F92" s="44"/>
      <x:c r="G92" s="44"/>
      <x:c r="H92" s="44"/>
      <x:c r="I92" s="44"/>
      <x:c r="J92" s="44"/>
    </x:row>
    <x:row r="93">
      <x:c r="A93" s="44"/>
      <x:c r="B93" s="44"/>
      <x:c r="C93" s="44"/>
      <x:c r="D93" s="44"/>
      <x:c r="E93" s="44"/>
      <x:c r="F93" s="44"/>
      <x:c r="G93" s="44"/>
      <x:c r="H93" s="44"/>
      <x:c r="I93" s="44"/>
      <x:c r="J93" s="44"/>
    </x:row>
    <x:row r="94">
      <x:c r="A94" s="44"/>
      <x:c r="B94" s="44"/>
      <x:c r="C94" s="44"/>
      <x:c r="D94" s="44"/>
      <x:c r="E94" s="44"/>
      <x:c r="F94" s="44"/>
      <x:c r="G94" s="44"/>
      <x:c r="H94" s="44"/>
      <x:c r="I94" s="44"/>
      <x:c r="J94" s="44"/>
    </x:row>
    <x:row r="95">
      <x:c r="A95" s="44"/>
      <x:c r="B95" s="44"/>
      <x:c r="C95" s="44"/>
      <x:c r="D95" s="44"/>
      <x:c r="E95" s="44"/>
      <x:c r="F95" s="44"/>
      <x:c r="G95" s="44"/>
      <x:c r="H95" s="44"/>
      <x:c r="I95" s="44"/>
      <x:c r="J95" s="44"/>
    </x:row>
    <x:row r="96">
      <x:c r="A96" s="44"/>
      <x:c r="B96" s="44"/>
      <x:c r="C96" s="44"/>
      <x:c r="D96" s="44"/>
      <x:c r="E96" s="44"/>
      <x:c r="F96" s="44"/>
      <x:c r="G96" s="44"/>
      <x:c r="H96" s="44"/>
      <x:c r="I96" s="44"/>
      <x:c r="J96" s="44"/>
    </x:row>
    <x:row r="97">
      <x:c r="A97" s="44"/>
      <x:c r="B97" s="44"/>
      <x:c r="C97" s="44"/>
      <x:c r="D97" s="44"/>
      <x:c r="E97" s="44"/>
      <x:c r="F97" s="44"/>
      <x:c r="G97" s="44"/>
      <x:c r="H97" s="44"/>
      <x:c r="I97" s="44"/>
      <x:c r="J97" s="44"/>
    </x:row>
    <x:row r="98">
      <x:c r="A98" s="44"/>
      <x:c r="B98" s="44"/>
      <x:c r="C98" s="44"/>
      <x:c r="D98" s="44"/>
      <x:c r="E98" s="44"/>
      <x:c r="F98" s="44"/>
      <x:c r="G98" s="44"/>
      <x:c r="H98" s="44"/>
      <x:c r="I98" s="44"/>
      <x:c r="J98" s="44"/>
    </x:row>
    <x:row r="99">
      <x:c r="A99" s="44"/>
      <x:c r="B99" s="44"/>
      <x:c r="C99" s="44"/>
      <x:c r="D99" s="44"/>
      <x:c r="E99" s="44"/>
      <x:c r="F99" s="44"/>
      <x:c r="G99" s="44"/>
      <x:c r="H99" s="44"/>
      <x:c r="I99" s="44"/>
      <x:c r="J99" s="44"/>
    </x:row>
    <x:row r="100">
      <x:c r="A100" s="44"/>
      <x:c r="B100" s="44"/>
      <x:c r="C100" s="44"/>
      <x:c r="D100" s="44"/>
      <x:c r="E100" s="44"/>
      <x:c r="F100" s="44"/>
      <x:c r="G100" s="44"/>
      <x:c r="H100" s="44"/>
      <x:c r="I100" s="44"/>
      <x:c r="J100" s="44"/>
    </x:row>
    <x:row r="101">
      <x:c r="A101" s="44"/>
      <x:c r="B101" s="44"/>
      <x:c r="C101" s="44"/>
      <x:c r="D101" s="44"/>
      <x:c r="E101" s="44"/>
      <x:c r="F101" s="44"/>
      <x:c r="G101" s="44"/>
      <x:c r="H101" s="44"/>
      <x:c r="I101" s="44"/>
      <x:c r="J101" s="44"/>
    </x:row>
    <x:row r="102">
      <x:c r="A102" s="44"/>
      <x:c r="B102" s="44"/>
      <x:c r="C102" s="44"/>
      <x:c r="D102" s="44"/>
      <x:c r="E102" s="44"/>
      <x:c r="F102" s="44"/>
      <x:c r="G102" s="44"/>
      <x:c r="H102" s="44"/>
      <x:c r="I102" s="44"/>
      <x:c r="J102" s="44"/>
    </x:row>
    <x:row r="103">
      <x:c r="A103" s="44"/>
      <x:c r="B103" s="44"/>
      <x:c r="C103" s="44"/>
      <x:c r="D103" s="44"/>
      <x:c r="E103" s="44"/>
      <x:c r="F103" s="44"/>
      <x:c r="G103" s="44"/>
      <x:c r="H103" s="44"/>
      <x:c r="I103" s="44"/>
      <x:c r="J103" s="44"/>
    </x:row>
    <x:row r="104">
      <x:c r="A104" s="44"/>
      <x:c r="B104" s="44"/>
      <x:c r="C104" s="44"/>
      <x:c r="D104" s="44"/>
      <x:c r="E104" s="44"/>
      <x:c r="F104" s="44"/>
      <x:c r="G104" s="44"/>
      <x:c r="H104" s="44"/>
      <x:c r="I104" s="44"/>
      <x:c r="J104" s="44"/>
    </x:row>
    <x:row r="105">
      <x:c r="A105" s="44"/>
      <x:c r="B105" s="44"/>
      <x:c r="C105" s="44"/>
      <x:c r="D105" s="44"/>
      <x:c r="E105" s="44"/>
      <x:c r="F105" s="44"/>
      <x:c r="G105" s="44"/>
      <x:c r="H105" s="44"/>
      <x:c r="I105" s="44"/>
      <x:c r="J105" s="44"/>
    </x:row>
    <x:row r="106">
      <x:c r="A106" s="44"/>
      <x:c r="B106" s="44"/>
      <x:c r="C106" s="44"/>
      <x:c r="D106" s="44"/>
      <x:c r="E106" s="44"/>
      <x:c r="F106" s="44"/>
      <x:c r="G106" s="44"/>
      <x:c r="H106" s="44"/>
      <x:c r="I106" s="44"/>
      <x:c r="J106" s="44"/>
    </x:row>
    <x:row r="107">
      <x:c r="A107" s="44"/>
      <x:c r="B107" s="44"/>
      <x:c r="C107" s="44"/>
      <x:c r="D107" s="44"/>
      <x:c r="E107" s="44"/>
      <x:c r="F107" s="44"/>
      <x:c r="G107" s="44"/>
      <x:c r="H107" s="44"/>
      <x:c r="I107" s="44"/>
      <x:c r="J107" s="44"/>
    </x:row>
    <x:row r="108">
      <x:c r="A108" s="44"/>
      <x:c r="B108" s="44"/>
      <x:c r="C108" s="44"/>
      <x:c r="D108" s="44"/>
      <x:c r="E108" s="44"/>
      <x:c r="F108" s="44"/>
      <x:c r="G108" s="44"/>
      <x:c r="H108" s="44"/>
      <x:c r="I108" s="44"/>
      <x:c r="J108" s="44"/>
    </x:row>
    <x:row r="109">
      <x:c r="A109" s="44"/>
      <x:c r="B109" s="44"/>
      <x:c r="C109" s="44"/>
      <x:c r="D109" s="44"/>
      <x:c r="E109" s="44"/>
      <x:c r="F109" s="44"/>
      <x:c r="G109" s="44"/>
      <x:c r="H109" s="44"/>
      <x:c r="I109" s="44"/>
      <x:c r="J109" s="44"/>
    </x:row>
    <x:row r="110">
      <x:c r="A110" s="44"/>
      <x:c r="B110" s="44"/>
      <x:c r="C110" s="44"/>
      <x:c r="D110" s="44"/>
      <x:c r="E110" s="44"/>
      <x:c r="F110" s="44"/>
      <x:c r="G110" s="44"/>
      <x:c r="H110" s="44"/>
      <x:c r="I110" s="44"/>
      <x:c r="J110" s="44"/>
    </x:row>
    <x:row r="111">
      <x:c r="A111" s="44"/>
      <x:c r="B111" s="44"/>
      <x:c r="C111" s="44"/>
      <x:c r="D111" s="44"/>
      <x:c r="E111" s="44"/>
      <x:c r="F111" s="44"/>
      <x:c r="G111" s="44"/>
      <x:c r="H111" s="44"/>
      <x:c r="I111" s="44"/>
      <x:c r="J111" s="44"/>
    </x:row>
    <x:row r="112">
      <x:c r="A112" s="44"/>
      <x:c r="B112" s="44"/>
      <x:c r="C112" s="44"/>
      <x:c r="D112" s="44"/>
      <x:c r="E112" s="44"/>
      <x:c r="F112" s="44"/>
      <x:c r="G112" s="44"/>
      <x:c r="H112" s="44"/>
      <x:c r="I112" s="44"/>
      <x:c r="J112" s="44"/>
    </x:row>
    <x:row r="113">
      <x:c r="A113" s="44"/>
      <x:c r="B113" s="44"/>
      <x:c r="C113" s="44"/>
      <x:c r="D113" s="44"/>
      <x:c r="E113" s="44"/>
      <x:c r="F113" s="44"/>
      <x:c r="G113" s="44"/>
      <x:c r="H113" s="44"/>
      <x:c r="I113" s="44"/>
      <x:c r="J113" s="44"/>
    </x:row>
    <x:row r="114">
      <x:c r="A114" s="44"/>
      <x:c r="B114" s="44"/>
      <x:c r="C114" s="44"/>
      <x:c r="D114" s="44"/>
      <x:c r="E114" s="44"/>
      <x:c r="F114" s="44"/>
      <x:c r="G114" s="44"/>
      <x:c r="H114" s="44"/>
      <x:c r="I114" s="44"/>
      <x:c r="J114" s="44"/>
    </x:row>
    <x:row r="115">
      <x:c r="A115" s="44"/>
      <x:c r="B115" s="44"/>
      <x:c r="C115" s="44"/>
      <x:c r="D115" s="44"/>
      <x:c r="E115" s="44"/>
      <x:c r="F115" s="44"/>
      <x:c r="G115" s="44"/>
      <x:c r="H115" s="44"/>
      <x:c r="I115" s="44"/>
      <x:c r="J115" s="44"/>
    </x:row>
    <x:row r="116">
      <x:c r="A116" s="44"/>
      <x:c r="B116" s="44"/>
      <x:c r="C116" s="44"/>
      <x:c r="D116" s="44"/>
      <x:c r="E116" s="44"/>
      <x:c r="F116" s="44"/>
      <x:c r="G116" s="44"/>
      <x:c r="H116" s="44"/>
      <x:c r="I116" s="44"/>
      <x:c r="J116" s="44"/>
    </x:row>
    <x:row r="117">
      <x:c r="A117" s="44"/>
      <x:c r="B117" s="44"/>
      <x:c r="C117" s="44"/>
      <x:c r="D117" s="44"/>
      <x:c r="E117" s="44"/>
      <x:c r="F117" s="44"/>
      <x:c r="G117" s="44"/>
      <x:c r="H117" s="44"/>
      <x:c r="I117" s="44"/>
      <x:c r="J117" s="44"/>
    </x:row>
    <x:row r="118">
      <x:c r="A118" s="44"/>
      <x:c r="B118" s="44"/>
      <x:c r="C118" s="44"/>
      <x:c r="D118" s="44"/>
      <x:c r="E118" s="44"/>
      <x:c r="F118" s="44"/>
      <x:c r="G118" s="44"/>
      <x:c r="H118" s="44"/>
      <x:c r="I118" s="44"/>
      <x:c r="J118" s="44"/>
    </x:row>
    <x:row r="119">
      <x:c r="A119" s="44"/>
      <x:c r="B119" s="44"/>
      <x:c r="C119" s="44"/>
      <x:c r="D119" s="44"/>
      <x:c r="E119" s="44"/>
      <x:c r="F119" s="44"/>
      <x:c r="G119" s="44"/>
      <x:c r="H119" s="44"/>
      <x:c r="I119" s="44"/>
      <x:c r="J119" s="44"/>
    </x:row>
    <x:row r="120">
      <x:c r="A120" s="44"/>
      <x:c r="B120" s="44"/>
      <x:c r="C120" s="44"/>
      <x:c r="D120" s="44"/>
      <x:c r="E120" s="44"/>
      <x:c r="F120" s="44"/>
      <x:c r="G120" s="44"/>
      <x:c r="H120" s="44"/>
      <x:c r="I120" s="44"/>
      <x:c r="J120" s="44"/>
    </x:row>
    <x:row r="121">
      <x:c r="A121" s="44"/>
      <x:c r="B121" s="44"/>
      <x:c r="C121" s="44"/>
      <x:c r="D121" s="44"/>
      <x:c r="E121" s="44"/>
      <x:c r="F121" s="44"/>
      <x:c r="G121" s="44"/>
      <x:c r="H121" s="44"/>
      <x:c r="I121" s="44"/>
      <x:c r="J121" s="44"/>
    </x:row>
    <x:row r="122">
      <x:c r="A122" s="44"/>
      <x:c r="B122" s="44"/>
      <x:c r="C122" s="44"/>
      <x:c r="D122" s="44"/>
      <x:c r="E122" s="44"/>
      <x:c r="F122" s="44"/>
      <x:c r="G122" s="44"/>
      <x:c r="H122" s="44"/>
      <x:c r="I122" s="44"/>
      <x:c r="J122" s="44"/>
    </x:row>
    <x:row r="123">
      <x:c r="A123" s="44"/>
      <x:c r="B123" s="44"/>
      <x:c r="C123" s="44"/>
      <x:c r="D123" s="44"/>
      <x:c r="E123" s="44"/>
      <x:c r="F123" s="44"/>
      <x:c r="G123" s="44"/>
      <x:c r="H123" s="44"/>
      <x:c r="I123" s="44"/>
      <x:c r="J123" s="44"/>
    </x:row>
    <x:row r="124">
      <x:c r="A124" s="44"/>
      <x:c r="B124" s="44"/>
      <x:c r="C124" s="44"/>
      <x:c r="D124" s="44"/>
      <x:c r="E124" s="44"/>
      <x:c r="F124" s="44"/>
      <x:c r="G124" s="44"/>
      <x:c r="H124" s="44"/>
      <x:c r="I124" s="44"/>
      <x:c r="J124" s="44"/>
    </x:row>
    <x:row r="125">
      <x:c r="A125" s="44"/>
      <x:c r="B125" s="44"/>
      <x:c r="C125" s="44"/>
      <x:c r="D125" s="44"/>
      <x:c r="E125" s="44"/>
      <x:c r="F125" s="44"/>
      <x:c r="G125" s="44"/>
      <x:c r="H125" s="44"/>
      <x:c r="I125" s="44"/>
      <x:c r="J125" s="44"/>
    </x:row>
    <x:row r="126">
      <x:c r="A126" s="44"/>
      <x:c r="B126" s="44"/>
      <x:c r="C126" s="44"/>
      <x:c r="D126" s="44"/>
      <x:c r="E126" s="44"/>
      <x:c r="F126" s="44"/>
      <x:c r="G126" s="44"/>
      <x:c r="H126" s="44"/>
      <x:c r="I126" s="44"/>
      <x:c r="J126" s="44"/>
    </x:row>
    <x:row r="127">
      <x:c r="A127" s="44"/>
      <x:c r="B127" s="44"/>
      <x:c r="C127" s="44"/>
      <x:c r="D127" s="44"/>
      <x:c r="E127" s="44"/>
      <x:c r="F127" s="44"/>
      <x:c r="G127" s="44"/>
      <x:c r="H127" s="44"/>
      <x:c r="I127" s="44"/>
      <x:c r="J127" s="44"/>
    </x:row>
    <x:row r="128">
      <x:c r="A128" s="44"/>
      <x:c r="B128" s="44"/>
      <x:c r="C128" s="44"/>
      <x:c r="D128" s="44"/>
      <x:c r="E128" s="44"/>
      <x:c r="F128" s="44"/>
      <x:c r="G128" s="44"/>
      <x:c r="H128" s="44"/>
      <x:c r="I128" s="44"/>
      <x:c r="J128" s="44"/>
    </x:row>
    <x:row r="129">
      <x:c r="A129" s="44"/>
      <x:c r="B129" s="44"/>
      <x:c r="C129" s="44"/>
      <x:c r="D129" s="44"/>
      <x:c r="E129" s="44"/>
      <x:c r="F129" s="44"/>
      <x:c r="G129" s="44"/>
      <x:c r="H129" s="44"/>
      <x:c r="I129" s="44"/>
      <x:c r="J129" s="44"/>
    </x:row>
    <x:row r="130">
      <x:c r="A130" s="44"/>
      <x:c r="B130" s="44"/>
      <x:c r="C130" s="44"/>
      <x:c r="D130" s="44"/>
      <x:c r="E130" s="44"/>
      <x:c r="F130" s="44"/>
      <x:c r="G130" s="44"/>
      <x:c r="H130" s="44"/>
      <x:c r="I130" s="44"/>
      <x:c r="J130" s="44"/>
    </x:row>
    <x:row r="131">
      <x:c r="A131" s="44"/>
      <x:c r="B131" s="44"/>
      <x:c r="C131" s="44"/>
      <x:c r="D131" s="44"/>
      <x:c r="E131" s="44"/>
      <x:c r="F131" s="44"/>
      <x:c r="G131" s="44"/>
      <x:c r="H131" s="44"/>
      <x:c r="I131" s="44"/>
      <x:c r="J131" s="44"/>
    </x:row>
    <x:row r="132">
      <x:c r="A132" s="44"/>
      <x:c r="B132" s="44"/>
      <x:c r="C132" s="44"/>
      <x:c r="D132" s="44"/>
      <x:c r="E132" s="44"/>
      <x:c r="F132" s="44"/>
      <x:c r="G132" s="44"/>
      <x:c r="H132" s="44"/>
      <x:c r="I132" s="44"/>
      <x:c r="J132" s="44"/>
    </x:row>
    <x:row r="133">
      <x:c r="A133" s="44"/>
      <x:c r="B133" s="44"/>
      <x:c r="C133" s="44"/>
      <x:c r="D133" s="44"/>
      <x:c r="E133" s="44"/>
      <x:c r="F133" s="44"/>
      <x:c r="G133" s="44"/>
      <x:c r="H133" s="44"/>
      <x:c r="I133" s="44"/>
      <x:c r="J133" s="44"/>
    </x:row>
    <x:row r="134">
      <x:c r="A134" s="44"/>
      <x:c r="B134" s="44"/>
      <x:c r="C134" s="44"/>
      <x:c r="D134" s="44"/>
      <x:c r="E134" s="44"/>
      <x:c r="F134" s="44"/>
      <x:c r="G134" s="44"/>
      <x:c r="H134" s="44"/>
      <x:c r="I134" s="44"/>
      <x:c r="J134" s="44"/>
    </x:row>
    <x:row r="135">
      <x:c r="A135" s="44"/>
      <x:c r="B135" s="44"/>
      <x:c r="C135" s="44"/>
      <x:c r="D135" s="44"/>
      <x:c r="E135" s="44"/>
      <x:c r="F135" s="44"/>
      <x:c r="G135" s="44"/>
      <x:c r="H135" s="44"/>
      <x:c r="I135" s="44"/>
      <x:c r="J135" s="44"/>
    </x:row>
    <x:row r="136">
      <x:c r="A136" s="44"/>
      <x:c r="B136" s="44"/>
      <x:c r="C136" s="44"/>
      <x:c r="D136" s="44"/>
      <x:c r="E136" s="44"/>
      <x:c r="F136" s="44"/>
      <x:c r="G136" s="44"/>
      <x:c r="H136" s="44"/>
      <x:c r="I136" s="44"/>
      <x:c r="J136" s="44"/>
    </x:row>
    <x:row r="137">
      <x:c r="A137" s="44"/>
      <x:c r="B137" s="44"/>
      <x:c r="C137" s="44"/>
      <x:c r="D137" s="44"/>
      <x:c r="E137" s="44"/>
      <x:c r="F137" s="44"/>
      <x:c r="G137" s="44"/>
      <x:c r="H137" s="44"/>
      <x:c r="I137" s="44"/>
      <x:c r="J137" s="44"/>
    </x:row>
    <x:row r="138">
      <x:c r="A138" s="44"/>
      <x:c r="B138" s="44"/>
      <x:c r="C138" s="44"/>
      <x:c r="D138" s="44"/>
      <x:c r="E138" s="44"/>
      <x:c r="F138" s="44"/>
      <x:c r="G138" s="44"/>
      <x:c r="H138" s="44"/>
      <x:c r="I138" s="44"/>
      <x:c r="J138" s="44"/>
    </x:row>
    <x:row r="139">
      <x:c r="A139" s="44"/>
      <x:c r="B139" s="44"/>
      <x:c r="C139" s="44"/>
      <x:c r="D139" s="44"/>
      <x:c r="E139" s="44"/>
      <x:c r="F139" s="44"/>
      <x:c r="G139" s="44"/>
      <x:c r="H139" s="44"/>
      <x:c r="I139" s="44"/>
      <x:c r="J139" s="44"/>
    </x:row>
    <x:row r="140">
      <x:c r="A140" s="44"/>
      <x:c r="B140" s="44"/>
      <x:c r="C140" s="44"/>
      <x:c r="D140" s="44"/>
      <x:c r="E140" s="44"/>
      <x:c r="F140" s="44"/>
      <x:c r="G140" s="44"/>
      <x:c r="H140" s="44"/>
      <x:c r="I140" s="44"/>
      <x:c r="J140" s="44"/>
    </x:row>
    <x:row r="141">
      <x:c r="A141" s="44"/>
      <x:c r="B141" s="44"/>
      <x:c r="C141" s="44"/>
      <x:c r="D141" s="44"/>
      <x:c r="E141" s="44"/>
      <x:c r="F141" s="44"/>
      <x:c r="G141" s="44"/>
      <x:c r="H141" s="44"/>
      <x:c r="I141" s="44"/>
      <x:c r="J141" s="44"/>
    </x:row>
    <x:row r="142">
      <x:c r="A142" s="44"/>
      <x:c r="B142" s="44"/>
      <x:c r="C142" s="44"/>
      <x:c r="D142" s="44"/>
      <x:c r="E142" s="44"/>
      <x:c r="F142" s="44"/>
      <x:c r="G142" s="44"/>
      <x:c r="H142" s="44"/>
      <x:c r="I142" s="44"/>
      <x:c r="J142" s="44"/>
    </x:row>
    <x:row r="143">
      <x:c r="A143" s="44"/>
      <x:c r="B143" s="44"/>
      <x:c r="C143" s="44"/>
      <x:c r="D143" s="44"/>
      <x:c r="E143" s="44"/>
      <x:c r="F143" s="44"/>
      <x:c r="G143" s="44"/>
      <x:c r="H143" s="44"/>
      <x:c r="I143" s="44"/>
      <x:c r="J143" s="44"/>
    </x:row>
    <x:row r="144">
      <x:c r="A144" s="44"/>
      <x:c r="B144" s="44"/>
      <x:c r="C144" s="44"/>
      <x:c r="D144" s="44"/>
      <x:c r="E144" s="44"/>
      <x:c r="F144" s="44"/>
      <x:c r="G144" s="44"/>
      <x:c r="H144" s="44"/>
      <x:c r="I144" s="44"/>
      <x:c r="J144" s="44"/>
    </x:row>
    <x:row r="145">
      <x:c r="A145" s="44"/>
      <x:c r="B145" s="44"/>
      <x:c r="C145" s="44"/>
      <x:c r="D145" s="44"/>
      <x:c r="E145" s="44"/>
      <x:c r="F145" s="44"/>
      <x:c r="G145" s="44"/>
      <x:c r="H145" s="44"/>
      <x:c r="I145" s="44"/>
      <x:c r="J145" s="44"/>
    </x:row>
    <x:row r="146">
      <x:c r="A146" s="44"/>
      <x:c r="B146" s="44"/>
      <x:c r="C146" s="44"/>
      <x:c r="D146" s="44"/>
      <x:c r="E146" s="44"/>
      <x:c r="F146" s="44"/>
      <x:c r="G146" s="44"/>
      <x:c r="H146" s="44"/>
      <x:c r="I146" s="44"/>
      <x:c r="J146" s="44"/>
    </x:row>
    <x:row r="147">
      <x:c r="A147" s="44"/>
      <x:c r="B147" s="44"/>
      <x:c r="C147" s="44"/>
      <x:c r="D147" s="44"/>
      <x:c r="E147" s="44"/>
      <x:c r="F147" s="44"/>
      <x:c r="G147" s="44"/>
      <x:c r="H147" s="44"/>
      <x:c r="I147" s="44"/>
      <x:c r="J147" s="44"/>
    </x:row>
    <x:row r="148">
      <x:c r="A148" s="44"/>
      <x:c r="B148" s="44"/>
      <x:c r="C148" s="44"/>
      <x:c r="D148" s="44"/>
      <x:c r="E148" s="44"/>
      <x:c r="F148" s="44"/>
      <x:c r="G148" s="44"/>
      <x:c r="H148" s="44"/>
      <x:c r="I148" s="44"/>
      <x:c r="J148" s="44"/>
    </x:row>
    <x:row r="149">
      <x:c r="A149" s="44"/>
      <x:c r="B149" s="44"/>
      <x:c r="C149" s="44"/>
      <x:c r="D149" s="44"/>
      <x:c r="E149" s="44"/>
      <x:c r="F149" s="44"/>
      <x:c r="G149" s="44"/>
      <x:c r="H149" s="44"/>
      <x:c r="I149" s="44"/>
      <x:c r="J149" s="44"/>
    </x:row>
    <x:row r="150">
      <x:c r="A150" s="44"/>
      <x:c r="B150" s="44"/>
      <x:c r="C150" s="44"/>
      <x:c r="D150" s="44"/>
      <x:c r="E150" s="44"/>
      <x:c r="F150" s="44"/>
      <x:c r="G150" s="44"/>
      <x:c r="H150" s="44"/>
      <x:c r="I150" s="44"/>
      <x:c r="J150" s="44"/>
    </x:row>
    <x:row r="151">
      <x:c r="A151" s="44"/>
      <x:c r="B151" s="44"/>
      <x:c r="C151" s="44"/>
      <x:c r="D151" s="44"/>
      <x:c r="E151" s="44"/>
      <x:c r="F151" s="44"/>
      <x:c r="G151" s="44"/>
      <x:c r="H151" s="44"/>
      <x:c r="I151" s="44"/>
      <x:c r="J151" s="44"/>
    </x:row>
    <x:row r="152">
      <x:c r="A152" s="44"/>
      <x:c r="B152" s="44"/>
      <x:c r="C152" s="44"/>
      <x:c r="D152" s="44"/>
      <x:c r="E152" s="44"/>
      <x:c r="F152" s="44"/>
      <x:c r="G152" s="44"/>
      <x:c r="H152" s="44"/>
      <x:c r="I152" s="44"/>
      <x:c r="J152" s="44"/>
    </x:row>
    <x:row r="153">
      <x:c r="A153" s="44"/>
      <x:c r="B153" s="44"/>
      <x:c r="C153" s="44"/>
      <x:c r="D153" s="44"/>
      <x:c r="E153" s="44"/>
      <x:c r="F153" s="44"/>
      <x:c r="G153" s="44"/>
      <x:c r="H153" s="44"/>
      <x:c r="I153" s="44"/>
      <x:c r="J153" s="44"/>
    </x:row>
    <x:row r="154">
      <x:c r="A154" s="44"/>
      <x:c r="B154" s="44"/>
      <x:c r="C154" s="44"/>
      <x:c r="D154" s="44"/>
      <x:c r="E154" s="44"/>
      <x:c r="F154" s="44"/>
      <x:c r="G154" s="44"/>
      <x:c r="H154" s="44"/>
      <x:c r="I154" s="44"/>
      <x:c r="J154" s="44"/>
    </x:row>
    <x:row r="155">
      <x:c r="A155" s="44"/>
      <x:c r="B155" s="44"/>
      <x:c r="C155" s="44"/>
      <x:c r="D155" s="44"/>
      <x:c r="E155" s="44"/>
      <x:c r="F155" s="44"/>
      <x:c r="G155" s="44"/>
      <x:c r="H155" s="44"/>
      <x:c r="I155" s="44"/>
      <x:c r="J155" s="44"/>
    </x:row>
    <x:row r="156">
      <x:c r="A156" s="44"/>
      <x:c r="B156" s="44"/>
      <x:c r="C156" s="44"/>
      <x:c r="D156" s="44"/>
      <x:c r="E156" s="44"/>
      <x:c r="F156" s="44"/>
      <x:c r="G156" s="44"/>
      <x:c r="H156" s="44"/>
      <x:c r="I156" s="44"/>
      <x:c r="J156" s="44"/>
    </x:row>
    <x:row r="157">
      <x:c r="A157" s="44"/>
      <x:c r="B157" s="44"/>
      <x:c r="C157" s="44"/>
      <x:c r="D157" s="44"/>
      <x:c r="E157" s="44"/>
      <x:c r="F157" s="44"/>
      <x:c r="G157" s="44"/>
      <x:c r="H157" s="44"/>
      <x:c r="I157" s="44"/>
      <x:c r="J157" s="44"/>
    </x:row>
    <x:row r="158">
      <x:c r="A158" s="44"/>
      <x:c r="B158" s="44"/>
      <x:c r="C158" s="44"/>
      <x:c r="D158" s="44"/>
      <x:c r="E158" s="44"/>
      <x:c r="F158" s="44"/>
      <x:c r="G158" s="44"/>
      <x:c r="H158" s="44"/>
      <x:c r="I158" s="44"/>
      <x:c r="J158" s="44"/>
    </x:row>
    <x:row r="159">
      <x:c r="A159" s="44"/>
      <x:c r="B159" s="44"/>
      <x:c r="C159" s="44"/>
      <x:c r="D159" s="44"/>
      <x:c r="E159" s="44"/>
      <x:c r="F159" s="44"/>
      <x:c r="G159" s="44"/>
      <x:c r="H159" s="44"/>
      <x:c r="I159" s="44"/>
      <x:c r="J159" s="44"/>
    </x:row>
    <x:row r="160">
      <x:c r="A160" s="44"/>
      <x:c r="B160" s="44"/>
      <x:c r="C160" s="44"/>
      <x:c r="D160" s="44"/>
      <x:c r="E160" s="44"/>
      <x:c r="F160" s="44"/>
      <x:c r="G160" s="44"/>
      <x:c r="H160" s="44"/>
      <x:c r="I160" s="44"/>
      <x:c r="J160" s="44"/>
    </x:row>
    <x:row r="161">
      <x:c r="A161" s="44"/>
      <x:c r="B161" s="44"/>
      <x:c r="C161" s="44"/>
      <x:c r="D161" s="44"/>
      <x:c r="E161" s="44"/>
      <x:c r="F161" s="44"/>
      <x:c r="G161" s="44"/>
      <x:c r="H161" s="44"/>
      <x:c r="I161" s="44"/>
      <x:c r="J161" s="44"/>
    </x:row>
    <x:row r="162">
      <x:c r="A162" s="44"/>
      <x:c r="B162" s="44"/>
      <x:c r="C162" s="44"/>
      <x:c r="D162" s="44"/>
      <x:c r="E162" s="44"/>
      <x:c r="F162" s="44"/>
      <x:c r="G162" s="44"/>
      <x:c r="H162" s="44"/>
      <x:c r="I162" s="44"/>
      <x:c r="J162" s="44"/>
    </x:row>
    <x:row r="163">
      <x:c r="A163" s="44"/>
      <x:c r="B163" s="44"/>
      <x:c r="C163" s="44"/>
      <x:c r="D163" s="44"/>
      <x:c r="E163" s="44"/>
      <x:c r="F163" s="44"/>
      <x:c r="G163" s="44"/>
      <x:c r="H163" s="44"/>
      <x:c r="I163" s="44"/>
      <x:c r="J163" s="44"/>
    </x:row>
    <x:row r="164">
      <x:c r="A164" s="44"/>
      <x:c r="B164" s="44"/>
      <x:c r="C164" s="44"/>
      <x:c r="D164" s="44"/>
      <x:c r="E164" s="44"/>
      <x:c r="F164" s="44"/>
      <x:c r="G164" s="44"/>
      <x:c r="H164" s="44"/>
      <x:c r="I164" s="44"/>
      <x:c r="J164" s="44"/>
    </x:row>
    <x:row r="165">
      <x:c r="A165" s="44"/>
      <x:c r="B165" s="44"/>
      <x:c r="C165" s="44"/>
      <x:c r="D165" s="44"/>
      <x:c r="E165" s="44"/>
      <x:c r="F165" s="44"/>
      <x:c r="G165" s="44"/>
      <x:c r="H165" s="44"/>
      <x:c r="I165" s="44"/>
      <x:c r="J165" s="44"/>
    </x:row>
    <x:row r="166">
      <x:c r="A166" s="44"/>
      <x:c r="B166" s="44"/>
      <x:c r="C166" s="44"/>
      <x:c r="D166" s="44"/>
      <x:c r="E166" s="44"/>
      <x:c r="F166" s="44"/>
      <x:c r="G166" s="44"/>
      <x:c r="H166" s="44"/>
      <x:c r="I166" s="44"/>
      <x:c r="J166" s="44"/>
    </x:row>
    <x:row r="167">
      <x:c r="A167" s="44"/>
      <x:c r="B167" s="44"/>
      <x:c r="C167" s="44"/>
      <x:c r="D167" s="44"/>
      <x:c r="E167" s="44"/>
      <x:c r="F167" s="44"/>
      <x:c r="G167" s="44"/>
      <x:c r="H167" s="44"/>
      <x:c r="I167" s="44"/>
      <x:c r="J167" s="44"/>
    </x:row>
    <x:row r="168">
      <x:c r="A168" s="44"/>
      <x:c r="B168" s="44"/>
      <x:c r="C168" s="44"/>
      <x:c r="D168" s="44"/>
      <x:c r="E168" s="44"/>
      <x:c r="F168" s="44"/>
      <x:c r="G168" s="44"/>
      <x:c r="H168" s="44"/>
      <x:c r="I168" s="44"/>
      <x:c r="J168" s="44"/>
    </x:row>
    <x:row r="169">
      <x:c r="A169" s="44"/>
      <x:c r="B169" s="44"/>
      <x:c r="C169" s="44"/>
      <x:c r="D169" s="44"/>
      <x:c r="E169" s="44"/>
      <x:c r="F169" s="44"/>
      <x:c r="G169" s="44"/>
      <x:c r="H169" s="44"/>
      <x:c r="I169" s="44"/>
      <x:c r="J169" s="44"/>
    </x:row>
    <x:row r="170">
      <x:c r="A170" s="44"/>
      <x:c r="B170" s="44"/>
      <x:c r="C170" s="44"/>
      <x:c r="D170" s="44"/>
      <x:c r="E170" s="44"/>
      <x:c r="F170" s="44"/>
      <x:c r="G170" s="44"/>
      <x:c r="H170" s="44"/>
      <x:c r="I170" s="44"/>
      <x:c r="J170" s="44"/>
    </x:row>
    <x:row r="171">
      <x:c r="A171" s="44"/>
      <x:c r="B171" s="44"/>
      <x:c r="C171" s="44"/>
      <x:c r="D171" s="44"/>
      <x:c r="E171" s="44"/>
      <x:c r="F171" s="44"/>
      <x:c r="G171" s="44"/>
      <x:c r="H171" s="44"/>
      <x:c r="I171" s="44"/>
      <x:c r="J171" s="44"/>
    </x:row>
    <x:row r="172">
      <x:c r="A172" s="44"/>
      <x:c r="B172" s="44"/>
      <x:c r="C172" s="44"/>
      <x:c r="D172" s="44"/>
      <x:c r="E172" s="44"/>
      <x:c r="F172" s="44"/>
      <x:c r="G172" s="44"/>
      <x:c r="H172" s="44"/>
      <x:c r="I172" s="44"/>
      <x:c r="J172" s="44"/>
    </x:row>
    <x:row r="173">
      <x:c r="A173" s="44"/>
      <x:c r="B173" s="44"/>
      <x:c r="C173" s="44"/>
      <x:c r="D173" s="44"/>
      <x:c r="E173" s="44"/>
      <x:c r="F173" s="44"/>
      <x:c r="G173" s="44"/>
      <x:c r="H173" s="44"/>
      <x:c r="I173" s="44"/>
      <x:c r="J173" s="44"/>
    </x:row>
    <x:row r="174">
      <x:c r="A174" s="44"/>
      <x:c r="B174" s="44"/>
      <x:c r="C174" s="44"/>
      <x:c r="D174" s="44"/>
      <x:c r="E174" s="44"/>
      <x:c r="F174" s="44"/>
      <x:c r="G174" s="44"/>
      <x:c r="H174" s="44"/>
      <x:c r="I174" s="44"/>
      <x:c r="J174" s="44"/>
    </x:row>
    <x:row r="175">
      <x:c r="A175" s="44"/>
      <x:c r="B175" s="44"/>
      <x:c r="C175" s="44"/>
      <x:c r="D175" s="44"/>
      <x:c r="E175" s="44"/>
      <x:c r="F175" s="44"/>
      <x:c r="G175" s="44"/>
      <x:c r="H175" s="44"/>
      <x:c r="I175" s="44"/>
      <x:c r="J175" s="44"/>
    </x:row>
    <x:row r="176">
      <x:c r="A176" s="44"/>
      <x:c r="B176" s="44"/>
      <x:c r="C176" s="44"/>
      <x:c r="D176" s="44"/>
      <x:c r="E176" s="44"/>
      <x:c r="F176" s="44"/>
      <x:c r="G176" s="44"/>
      <x:c r="H176" s="44"/>
      <x:c r="I176" s="44"/>
      <x:c r="J176" s="44"/>
    </x:row>
    <x:row r="177">
      <x:c r="A177" s="44"/>
      <x:c r="B177" s="44"/>
      <x:c r="C177" s="44"/>
      <x:c r="D177" s="44"/>
      <x:c r="E177" s="44"/>
      <x:c r="F177" s="44"/>
      <x:c r="G177" s="44"/>
      <x:c r="H177" s="44"/>
      <x:c r="I177" s="44"/>
      <x:c r="J177" s="44"/>
    </x:row>
    <x:row r="178">
      <x:c r="A178" s="44"/>
      <x:c r="B178" s="44"/>
      <x:c r="C178" s="44"/>
      <x:c r="D178" s="44"/>
      <x:c r="E178" s="44"/>
      <x:c r="F178" s="44"/>
      <x:c r="G178" s="44"/>
      <x:c r="H178" s="44"/>
      <x:c r="I178" s="44"/>
      <x:c r="J178" s="44"/>
    </x:row>
    <x:row r="179">
      <x:c r="A179" s="44"/>
      <x:c r="B179" s="44"/>
      <x:c r="C179" s="44"/>
      <x:c r="D179" s="44"/>
      <x:c r="E179" s="44"/>
      <x:c r="F179" s="44"/>
      <x:c r="G179" s="44"/>
      <x:c r="H179" s="44"/>
      <x:c r="I179" s="44"/>
      <x:c r="J179" s="44"/>
    </x:row>
    <x:row r="180">
      <x:c r="A180" s="44"/>
      <x:c r="B180" s="44"/>
      <x:c r="C180" s="44"/>
      <x:c r="D180" s="44"/>
      <x:c r="E180" s="44"/>
      <x:c r="F180" s="44"/>
      <x:c r="G180" s="44"/>
      <x:c r="H180" s="44"/>
      <x:c r="I180" s="44"/>
      <x:c r="J180" s="44"/>
    </x:row>
    <x:row r="181">
      <x:c r="A181" s="44"/>
      <x:c r="B181" s="44"/>
      <x:c r="C181" s="44"/>
      <x:c r="D181" s="44"/>
      <x:c r="E181" s="44"/>
      <x:c r="F181" s="44"/>
      <x:c r="G181" s="44"/>
      <x:c r="H181" s="44"/>
      <x:c r="I181" s="44"/>
      <x:c r="J181" s="44"/>
    </x:row>
    <x:row r="182">
      <x:c r="A182" s="44"/>
      <x:c r="B182" s="44"/>
      <x:c r="C182" s="44"/>
      <x:c r="D182" s="44"/>
      <x:c r="E182" s="44"/>
      <x:c r="F182" s="44"/>
      <x:c r="G182" s="44"/>
      <x:c r="H182" s="44"/>
      <x:c r="I182" s="44"/>
      <x:c r="J182" s="44"/>
    </x:row>
    <x:row r="183">
      <x:c r="A183" s="44"/>
      <x:c r="B183" s="44"/>
      <x:c r="C183" s="44"/>
      <x:c r="D183" s="44"/>
      <x:c r="E183" s="44"/>
      <x:c r="F183" s="44"/>
      <x:c r="G183" s="44"/>
      <x:c r="H183" s="44"/>
      <x:c r="I183" s="44"/>
      <x:c r="J183" s="44"/>
    </x:row>
    <x:row r="184">
      <x:c r="A184" s="44"/>
      <x:c r="B184" s="44"/>
      <x:c r="C184" s="44"/>
      <x:c r="D184" s="44"/>
      <x:c r="E184" s="44"/>
      <x:c r="F184" s="44"/>
      <x:c r="G184" s="44"/>
      <x:c r="H184" s="44"/>
      <x:c r="I184" s="44"/>
      <x:c r="J184" s="44"/>
    </x:row>
    <x:row r="185">
      <x:c r="A185" s="44"/>
      <x:c r="B185" s="44"/>
      <x:c r="C185" s="44"/>
      <x:c r="D185" s="44"/>
      <x:c r="E185" s="44"/>
      <x:c r="F185" s="44"/>
      <x:c r="G185" s="44"/>
      <x:c r="H185" s="44"/>
      <x:c r="I185" s="44"/>
      <x:c r="J185" s="44"/>
    </x:row>
    <x:row r="186">
      <x:c r="A186" s="44"/>
      <x:c r="B186" s="44"/>
      <x:c r="C186" s="44"/>
      <x:c r="D186" s="44"/>
      <x:c r="E186" s="44"/>
      <x:c r="F186" s="44"/>
      <x:c r="G186" s="44"/>
      <x:c r="H186" s="44"/>
      <x:c r="I186" s="44"/>
      <x:c r="J186" s="44"/>
    </x:row>
    <x:row r="187">
      <x:c r="A187" s="44"/>
      <x:c r="B187" s="44"/>
      <x:c r="C187" s="44"/>
      <x:c r="D187" s="44"/>
      <x:c r="E187" s="44"/>
      <x:c r="F187" s="44"/>
      <x:c r="G187" s="44"/>
      <x:c r="H187" s="44"/>
      <x:c r="I187" s="44"/>
      <x:c r="J187" s="44"/>
    </x:row>
    <x:row r="188">
      <x:c r="A188" s="44"/>
      <x:c r="B188" s="44"/>
      <x:c r="C188" s="44"/>
      <x:c r="D188" s="44"/>
      <x:c r="E188" s="44"/>
      <x:c r="F188" s="44"/>
      <x:c r="G188" s="44"/>
      <x:c r="H188" s="44"/>
      <x:c r="I188" s="44"/>
      <x:c r="J188" s="44"/>
    </x:row>
    <x:row r="189">
      <x:c r="A189" s="44"/>
      <x:c r="B189" s="44"/>
      <x:c r="C189" s="44"/>
      <x:c r="D189" s="44"/>
      <x:c r="E189" s="44"/>
      <x:c r="F189" s="44"/>
      <x:c r="G189" s="44"/>
      <x:c r="H189" s="44"/>
      <x:c r="I189" s="44"/>
      <x:c r="J189" s="44"/>
    </x:row>
    <x:row r="190">
      <x:c r="A190" s="44"/>
      <x:c r="B190" s="44"/>
      <x:c r="C190" s="44"/>
      <x:c r="D190" s="44"/>
      <x:c r="E190" s="44"/>
      <x:c r="F190" s="44"/>
      <x:c r="G190" s="44"/>
      <x:c r="H190" s="44"/>
      <x:c r="I190" s="44"/>
      <x:c r="J190" s="44"/>
    </x:row>
    <x:row r="191">
      <x:c r="A191" s="44"/>
      <x:c r="B191" s="44"/>
      <x:c r="C191" s="44"/>
      <x:c r="D191" s="44"/>
      <x:c r="E191" s="44"/>
      <x:c r="F191" s="44"/>
      <x:c r="G191" s="44"/>
      <x:c r="H191" s="44"/>
      <x:c r="I191" s="44"/>
      <x:c r="J191" s="44"/>
    </x:row>
    <x:row r="192">
      <x:c r="A192" s="44"/>
      <x:c r="B192" s="44"/>
      <x:c r="C192" s="44"/>
      <x:c r="D192" s="44"/>
      <x:c r="E192" s="44"/>
      <x:c r="F192" s="44"/>
      <x:c r="G192" s="44"/>
      <x:c r="H192" s="44"/>
      <x:c r="I192" s="44"/>
      <x:c r="J192" s="44"/>
    </x:row>
    <x:row r="193">
      <x:c r="A193" s="44"/>
      <x:c r="B193" s="44"/>
      <x:c r="C193" s="44"/>
      <x:c r="D193" s="44"/>
      <x:c r="E193" s="44"/>
      <x:c r="F193" s="44"/>
      <x:c r="G193" s="44"/>
      <x:c r="H193" s="44"/>
      <x:c r="I193" s="44"/>
      <x:c r="J193" s="44"/>
    </x:row>
    <x:row r="194">
      <x:c r="A194" s="44"/>
      <x:c r="B194" s="44"/>
      <x:c r="C194" s="44"/>
      <x:c r="D194" s="44"/>
      <x:c r="E194" s="44"/>
      <x:c r="F194" s="44"/>
      <x:c r="G194" s="44"/>
      <x:c r="H194" s="44"/>
      <x:c r="I194" s="44"/>
      <x:c r="J194" s="44"/>
    </x:row>
    <x:row r="195">
      <x:c r="A195" s="44"/>
      <x:c r="B195" s="44"/>
      <x:c r="C195" s="44"/>
      <x:c r="D195" s="44"/>
      <x:c r="E195" s="44"/>
      <x:c r="F195" s="44"/>
      <x:c r="G195" s="44"/>
      <x:c r="H195" s="44"/>
      <x:c r="I195" s="44"/>
      <x:c r="J195" s="44"/>
    </x:row>
    <x:row r="196">
      <x:c r="A196" s="44"/>
      <x:c r="B196" s="44"/>
      <x:c r="C196" s="44"/>
      <x:c r="D196" s="44"/>
      <x:c r="E196" s="44"/>
      <x:c r="F196" s="44"/>
      <x:c r="G196" s="44"/>
      <x:c r="H196" s="44"/>
      <x:c r="I196" s="44"/>
      <x:c r="J196" s="44"/>
    </x:row>
    <x:row r="197">
      <x:c r="A197" s="44"/>
      <x:c r="B197" s="44"/>
      <x:c r="C197" s="44"/>
      <x:c r="D197" s="44"/>
      <x:c r="E197" s="44"/>
      <x:c r="F197" s="44"/>
      <x:c r="G197" s="44"/>
      <x:c r="H197" s="44"/>
      <x:c r="I197" s="44"/>
      <x:c r="J197" s="44"/>
    </x:row>
    <x:row r="198">
      <x:c r="A198" s="44"/>
      <x:c r="B198" s="44"/>
      <x:c r="C198" s="44"/>
      <x:c r="D198" s="44"/>
      <x:c r="E198" s="44"/>
      <x:c r="F198" s="44"/>
      <x:c r="G198" s="44"/>
      <x:c r="H198" s="44"/>
      <x:c r="I198" s="44"/>
      <x:c r="J198" s="44"/>
    </x:row>
    <x:row r="199">
      <x:c r="A199" s="44"/>
      <x:c r="B199" s="44"/>
      <x:c r="C199" s="44"/>
      <x:c r="D199" s="44"/>
      <x:c r="E199" s="44"/>
      <x:c r="F199" s="44"/>
      <x:c r="G199" s="44"/>
      <x:c r="H199" s="44"/>
      <x:c r="I199" s="44"/>
      <x:c r="J199" s="44"/>
    </x:row>
    <x:row r="200">
      <x:c r="A200" s="44"/>
      <x:c r="B200" s="44"/>
      <x:c r="C200" s="44"/>
      <x:c r="D200" s="44"/>
      <x:c r="E200" s="44"/>
      <x:c r="F200" s="44"/>
      <x:c r="G200" s="44"/>
      <x:c r="H200" s="44"/>
      <x:c r="I200" s="44"/>
      <x:c r="J200" s="44"/>
    </x:row>
    <x:row r="201">
      <x:c r="A201" s="44"/>
      <x:c r="B201" s="44"/>
      <x:c r="C201" s="44"/>
      <x:c r="D201" s="44"/>
      <x:c r="E201" s="44"/>
      <x:c r="F201" s="44"/>
      <x:c r="G201" s="44"/>
      <x:c r="H201" s="44"/>
      <x:c r="I201" s="44"/>
      <x:c r="J201" s="44"/>
    </x:row>
    <x:row r="202">
      <x:c r="A202" s="44"/>
      <x:c r="B202" s="44"/>
      <x:c r="C202" s="44"/>
      <x:c r="D202" s="44"/>
      <x:c r="E202" s="44"/>
      <x:c r="F202" s="44"/>
      <x:c r="G202" s="44"/>
      <x:c r="H202" s="44"/>
      <x:c r="I202" s="44"/>
      <x:c r="J202" s="44"/>
    </x:row>
    <x:row r="203">
      <x:c r="A203" s="44"/>
      <x:c r="B203" s="44"/>
      <x:c r="C203" s="44"/>
      <x:c r="D203" s="44"/>
      <x:c r="E203" s="44"/>
      <x:c r="F203" s="44"/>
      <x:c r="G203" s="44"/>
      <x:c r="H203" s="44"/>
      <x:c r="I203" s="44"/>
      <x:c r="J203" s="44"/>
    </x:row>
    <x:row r="204">
      <x:c r="A204" s="44"/>
      <x:c r="B204" s="44"/>
      <x:c r="C204" s="44"/>
      <x:c r="D204" s="44"/>
      <x:c r="E204" s="44"/>
      <x:c r="F204" s="44"/>
      <x:c r="G204" s="44"/>
      <x:c r="H204" s="44"/>
      <x:c r="I204" s="44"/>
      <x:c r="J204" s="44"/>
    </x:row>
    <x:row r="205">
      <x:c r="A205" s="44"/>
      <x:c r="B205" s="44"/>
      <x:c r="C205" s="44"/>
      <x:c r="D205" s="44"/>
      <x:c r="E205" s="44"/>
      <x:c r="F205" s="44"/>
      <x:c r="G205" s="44"/>
      <x:c r="H205" s="44"/>
      <x:c r="I205" s="44"/>
      <x:c r="J205" s="44"/>
    </x:row>
    <x:row r="206">
      <x:c r="A206" s="44"/>
      <x:c r="B206" s="44"/>
      <x:c r="C206" s="44"/>
      <x:c r="D206" s="44"/>
      <x:c r="E206" s="44"/>
      <x:c r="F206" s="44"/>
      <x:c r="G206" s="44"/>
      <x:c r="H206" s="44"/>
      <x:c r="I206" s="44"/>
      <x:c r="J206" s="44"/>
    </x:row>
    <x:row r="207">
      <x:c r="A207" s="44"/>
      <x:c r="B207" s="44"/>
      <x:c r="C207" s="44"/>
      <x:c r="D207" s="44"/>
      <x:c r="E207" s="44"/>
      <x:c r="F207" s="44"/>
      <x:c r="G207" s="44"/>
      <x:c r="H207" s="44"/>
      <x:c r="I207" s="44"/>
      <x:c r="J207" s="44"/>
    </x:row>
    <x:row r="208">
      <x:c r="A208" s="44"/>
      <x:c r="B208" s="44"/>
      <x:c r="C208" s="44"/>
      <x:c r="D208" s="44"/>
      <x:c r="E208" s="44"/>
      <x:c r="F208" s="44"/>
      <x:c r="G208" s="44"/>
      <x:c r="H208" s="44"/>
      <x:c r="I208" s="44"/>
      <x:c r="J208" s="44"/>
    </x:row>
    <x:row r="209">
      <x:c r="A209" s="44"/>
      <x:c r="B209" s="44"/>
      <x:c r="C209" s="44"/>
      <x:c r="D209" s="44"/>
      <x:c r="E209" s="44"/>
      <x:c r="F209" s="44"/>
      <x:c r="G209" s="44"/>
      <x:c r="H209" s="44"/>
      <x:c r="I209" s="44"/>
      <x:c r="J209" s="44"/>
    </x:row>
    <x:row r="210">
      <x:c r="A210" s="44"/>
      <x:c r="B210" s="44"/>
      <x:c r="C210" s="44"/>
      <x:c r="D210" s="44"/>
      <x:c r="E210" s="44"/>
      <x:c r="F210" s="44"/>
      <x:c r="G210" s="44"/>
      <x:c r="H210" s="44"/>
      <x:c r="I210" s="44"/>
      <x:c r="J210" s="44"/>
    </x:row>
    <x:row r="211">
      <x:c r="A211" s="44"/>
      <x:c r="B211" s="44"/>
      <x:c r="C211" s="44"/>
      <x:c r="D211" s="44"/>
      <x:c r="E211" s="44"/>
      <x:c r="F211" s="44"/>
      <x:c r="G211" s="44"/>
      <x:c r="H211" s="44"/>
      <x:c r="I211" s="44"/>
      <x:c r="J211" s="44"/>
    </x:row>
    <x:row r="212">
      <x:c r="A212" s="44"/>
      <x:c r="B212" s="44"/>
      <x:c r="C212" s="44"/>
      <x:c r="D212" s="44"/>
      <x:c r="E212" s="44"/>
      <x:c r="F212" s="44"/>
      <x:c r="G212" s="44"/>
      <x:c r="H212" s="44"/>
      <x:c r="I212" s="44"/>
      <x:c r="J212" s="44"/>
    </x:row>
    <x:row r="213">
      <x:c r="A213" s="44"/>
      <x:c r="B213" s="44"/>
      <x:c r="C213" s="44"/>
      <x:c r="D213" s="44"/>
      <x:c r="E213" s="44"/>
      <x:c r="F213" s="44"/>
      <x:c r="G213" s="44"/>
      <x:c r="H213" s="44"/>
      <x:c r="I213" s="44"/>
      <x:c r="J213" s="44"/>
    </x:row>
    <x:row r="214">
      <x:c r="A214" s="44"/>
      <x:c r="B214" s="44"/>
      <x:c r="C214" s="44"/>
      <x:c r="D214" s="44"/>
      <x:c r="E214" s="44"/>
      <x:c r="F214" s="44"/>
      <x:c r="G214" s="44"/>
      <x:c r="H214" s="44"/>
      <x:c r="I214" s="44"/>
      <x:c r="J214" s="44"/>
    </x:row>
    <x:row r="215">
      <x:c r="A215" s="44"/>
      <x:c r="B215" s="44"/>
      <x:c r="C215" s="44"/>
      <x:c r="D215" s="44"/>
      <x:c r="E215" s="44"/>
      <x:c r="F215" s="44"/>
      <x:c r="G215" s="44"/>
      <x:c r="H215" s="44"/>
      <x:c r="I215" s="44"/>
      <x:c r="J215" s="44"/>
    </x:row>
    <x:row r="216">
      <x:c r="A216" s="44"/>
      <x:c r="B216" s="44"/>
      <x:c r="C216" s="44"/>
      <x:c r="D216" s="44"/>
      <x:c r="E216" s="44"/>
      <x:c r="F216" s="44"/>
      <x:c r="G216" s="44"/>
      <x:c r="H216" s="44"/>
      <x:c r="I216" s="44"/>
      <x:c r="J216" s="44"/>
    </x:row>
    <x:row r="217">
      <x:c r="A217" s="44"/>
      <x:c r="B217" s="44"/>
      <x:c r="C217" s="44"/>
      <x:c r="D217" s="44"/>
      <x:c r="E217" s="44"/>
      <x:c r="F217" s="44"/>
      <x:c r="G217" s="44"/>
      <x:c r="H217" s="44"/>
      <x:c r="I217" s="44"/>
      <x:c r="J217" s="44"/>
    </x:row>
    <x:row r="218">
      <x:c r="A218" s="44"/>
      <x:c r="B218" s="44"/>
      <x:c r="C218" s="44"/>
      <x:c r="D218" s="44"/>
      <x:c r="E218" s="44"/>
      <x:c r="F218" s="44"/>
      <x:c r="G218" s="44"/>
      <x:c r="H218" s="44"/>
      <x:c r="I218" s="44"/>
      <x:c r="J218" s="44"/>
    </x:row>
    <x:row r="219">
      <x:c r="A219" s="44"/>
      <x:c r="B219" s="44"/>
      <x:c r="C219" s="44"/>
      <x:c r="D219" s="44"/>
      <x:c r="E219" s="44"/>
      <x:c r="F219" s="44"/>
      <x:c r="G219" s="44"/>
      <x:c r="H219" s="44"/>
      <x:c r="I219" s="44"/>
      <x:c r="J219" s="44"/>
    </x:row>
    <x:row r="220">
      <x:c r="A220" s="44"/>
      <x:c r="B220" s="44"/>
      <x:c r="C220" s="44"/>
      <x:c r="D220" s="44"/>
      <x:c r="E220" s="44"/>
      <x:c r="F220" s="44"/>
      <x:c r="G220" s="44"/>
      <x:c r="H220" s="44"/>
      <x:c r="I220" s="44"/>
      <x:c r="J220" s="44"/>
    </x:row>
    <x:row r="221">
      <x:c r="A221" s="44"/>
      <x:c r="B221" s="44"/>
      <x:c r="C221" s="44"/>
      <x:c r="D221" s="44"/>
      <x:c r="E221" s="44"/>
      <x:c r="F221" s="44"/>
      <x:c r="G221" s="44"/>
      <x:c r="H221" s="44"/>
      <x:c r="I221" s="44"/>
      <x:c r="J221" s="44"/>
    </x:row>
    <x:row r="222">
      <x:c r="A222" s="44"/>
      <x:c r="B222" s="44"/>
      <x:c r="C222" s="44"/>
      <x:c r="D222" s="44"/>
      <x:c r="E222" s="44"/>
      <x:c r="F222" s="44"/>
      <x:c r="G222" s="44"/>
      <x:c r="H222" s="44"/>
      <x:c r="I222" s="44"/>
      <x:c r="J222" s="44"/>
    </x:row>
    <x:row r="223">
      <x:c r="A223" s="44"/>
      <x:c r="B223" s="44"/>
      <x:c r="C223" s="44"/>
      <x:c r="D223" s="44"/>
      <x:c r="E223" s="44"/>
      <x:c r="F223" s="44"/>
      <x:c r="G223" s="44"/>
      <x:c r="H223" s="44"/>
      <x:c r="I223" s="44"/>
      <x:c r="J223" s="44"/>
    </x:row>
    <x:row r="224">
      <x:c r="A224" s="44"/>
      <x:c r="B224" s="44"/>
      <x:c r="C224" s="44"/>
      <x:c r="D224" s="44"/>
      <x:c r="E224" s="44"/>
      <x:c r="F224" s="44"/>
      <x:c r="G224" s="44"/>
      <x:c r="H224" s="44"/>
      <x:c r="I224" s="44"/>
      <x:c r="J224" s="44"/>
    </x:row>
    <x:row r="225">
      <x:c r="A225" s="44"/>
      <x:c r="B225" s="44"/>
      <x:c r="C225" s="44"/>
      <x:c r="D225" s="44"/>
      <x:c r="E225" s="44"/>
      <x:c r="F225" s="44"/>
      <x:c r="G225" s="44"/>
      <x:c r="H225" s="44"/>
      <x:c r="I225" s="44"/>
      <x:c r="J225" s="44"/>
    </x:row>
    <x:row r="226">
      <x:c r="A226" s="44"/>
      <x:c r="B226" s="44"/>
      <x:c r="C226" s="44"/>
      <x:c r="D226" s="44"/>
      <x:c r="E226" s="44"/>
      <x:c r="F226" s="44"/>
      <x:c r="G226" s="44"/>
      <x:c r="H226" s="44"/>
      <x:c r="I226" s="44"/>
      <x:c r="J226" s="44"/>
    </x:row>
    <x:row r="227">
      <x:c r="A227" s="44"/>
      <x:c r="B227" s="44"/>
      <x:c r="C227" s="44"/>
      <x:c r="D227" s="44"/>
      <x:c r="E227" s="44"/>
      <x:c r="F227" s="44"/>
      <x:c r="G227" s="44"/>
      <x:c r="H227" s="44"/>
      <x:c r="I227" s="44"/>
      <x:c r="J227" s="44"/>
    </x:row>
    <x:row r="228">
      <x:c r="A228" s="44"/>
      <x:c r="B228" s="44"/>
      <x:c r="C228" s="44"/>
      <x:c r="D228" s="44"/>
      <x:c r="E228" s="44"/>
      <x:c r="F228" s="44"/>
      <x:c r="G228" s="44"/>
      <x:c r="H228" s="44"/>
      <x:c r="I228" s="44"/>
      <x:c r="J228" s="44"/>
    </x:row>
    <x:row r="229">
      <x:c r="A229" s="44"/>
      <x:c r="B229" s="44"/>
      <x:c r="C229" s="44"/>
      <x:c r="D229" s="44"/>
      <x:c r="E229" s="44"/>
      <x:c r="F229" s="44"/>
      <x:c r="G229" s="44"/>
      <x:c r="H229" s="44"/>
      <x:c r="I229" s="44"/>
      <x:c r="J229" s="44"/>
    </x:row>
    <x:row r="230">
      <x:c r="A230" s="44"/>
      <x:c r="B230" s="44"/>
      <x:c r="C230" s="44"/>
      <x:c r="D230" s="44"/>
      <x:c r="E230" s="44"/>
      <x:c r="F230" s="44"/>
      <x:c r="G230" s="44"/>
      <x:c r="H230" s="44"/>
      <x:c r="I230" s="44"/>
      <x:c r="J230" s="44"/>
    </x:row>
    <x:row r="231">
      <x:c r="A231" s="44"/>
      <x:c r="B231" s="44"/>
      <x:c r="C231" s="44"/>
      <x:c r="D231" s="44"/>
      <x:c r="E231" s="44"/>
      <x:c r="F231" s="44"/>
      <x:c r="G231" s="44"/>
      <x:c r="H231" s="44"/>
      <x:c r="I231" s="44"/>
      <x:c r="J231" s="44"/>
    </x:row>
    <x:row r="232">
      <x:c r="A232" s="44"/>
      <x:c r="B232" s="44"/>
      <x:c r="C232" s="44"/>
      <x:c r="D232" s="44"/>
      <x:c r="E232" s="44"/>
      <x:c r="F232" s="44"/>
      <x:c r="G232" s="44"/>
      <x:c r="H232" s="44"/>
      <x:c r="I232" s="44"/>
      <x:c r="J232" s="44"/>
    </x:row>
    <x:row r="233">
      <x:c r="A233" s="44"/>
      <x:c r="B233" s="44"/>
      <x:c r="C233" s="44"/>
      <x:c r="D233" s="44"/>
      <x:c r="E233" s="44"/>
      <x:c r="F233" s="44"/>
      <x:c r="G233" s="44"/>
      <x:c r="H233" s="44"/>
      <x:c r="I233" s="44"/>
      <x:c r="J233" s="44"/>
    </x:row>
    <x:row r="234">
      <x:c r="A234" s="44"/>
      <x:c r="B234" s="44"/>
      <x:c r="C234" s="44"/>
      <x:c r="D234" s="44"/>
      <x:c r="E234" s="44"/>
      <x:c r="F234" s="44"/>
      <x:c r="G234" s="44"/>
      <x:c r="H234" s="44"/>
      <x:c r="I234" s="44"/>
      <x:c r="J234" s="44"/>
    </x:row>
    <x:row r="235">
      <x:c r="A235" s="44"/>
      <x:c r="B235" s="44"/>
      <x:c r="C235" s="44"/>
      <x:c r="D235" s="44"/>
      <x:c r="E235" s="44"/>
      <x:c r="F235" s="44"/>
      <x:c r="G235" s="44"/>
      <x:c r="H235" s="44"/>
      <x:c r="I235" s="44"/>
      <x:c r="J235" s="44"/>
    </x:row>
    <x:row r="236">
      <x:c r="A236" s="44"/>
      <x:c r="B236" s="44"/>
      <x:c r="C236" s="44"/>
      <x:c r="D236" s="44"/>
      <x:c r="E236" s="44"/>
      <x:c r="F236" s="44"/>
      <x:c r="G236" s="44"/>
      <x:c r="H236" s="44"/>
      <x:c r="I236" s="44"/>
      <x:c r="J236" s="44"/>
    </x:row>
    <x:row r="237">
      <x:c r="A237" s="44"/>
      <x:c r="B237" s="44"/>
      <x:c r="C237" s="44"/>
      <x:c r="D237" s="44"/>
      <x:c r="E237" s="44"/>
      <x:c r="F237" s="44"/>
      <x:c r="G237" s="44"/>
      <x:c r="H237" s="44"/>
      <x:c r="I237" s="44"/>
      <x:c r="J237" s="44"/>
    </x:row>
    <x:row r="238">
      <x:c r="A238" s="44"/>
      <x:c r="B238" s="44"/>
      <x:c r="C238" s="44"/>
      <x:c r="D238" s="44"/>
      <x:c r="E238" s="44"/>
      <x:c r="F238" s="44"/>
      <x:c r="G238" s="44"/>
      <x:c r="H238" s="44"/>
      <x:c r="I238" s="44"/>
      <x:c r="J238" s="44"/>
    </x:row>
    <x:row r="239">
      <x:c r="A239" s="44"/>
      <x:c r="B239" s="44"/>
      <x:c r="C239" s="44"/>
      <x:c r="D239" s="44"/>
      <x:c r="E239" s="44"/>
      <x:c r="F239" s="44"/>
      <x:c r="G239" s="44"/>
      <x:c r="H239" s="44"/>
      <x:c r="I239" s="44"/>
      <x:c r="J239" s="44"/>
    </x:row>
    <x:row r="240">
      <x:c r="A240" s="44"/>
      <x:c r="B240" s="44"/>
      <x:c r="C240" s="44"/>
      <x:c r="D240" s="44"/>
      <x:c r="E240" s="44"/>
      <x:c r="F240" s="44"/>
      <x:c r="G240" s="44"/>
      <x:c r="H240" s="44"/>
      <x:c r="I240" s="44"/>
      <x:c r="J240" s="44"/>
    </x:row>
    <x:row r="241">
      <x:c r="A241" s="44"/>
      <x:c r="B241" s="44"/>
      <x:c r="C241" s="44"/>
      <x:c r="D241" s="44"/>
      <x:c r="E241" s="44"/>
      <x:c r="F241" s="44"/>
      <x:c r="G241" s="44"/>
      <x:c r="H241" s="44"/>
      <x:c r="I241" s="44"/>
      <x:c r="J241" s="44"/>
    </x:row>
    <x:row r="242">
      <x:c r="A242" s="44"/>
      <x:c r="B242" s="44"/>
      <x:c r="C242" s="44"/>
      <x:c r="D242" s="44"/>
      <x:c r="E242" s="44"/>
      <x:c r="F242" s="44"/>
      <x:c r="G242" s="44"/>
      <x:c r="H242" s="44"/>
      <x:c r="I242" s="44"/>
      <x:c r="J242" s="44"/>
    </x:row>
    <x:row r="243">
      <x:c r="A243" s="44"/>
      <x:c r="B243" s="44"/>
      <x:c r="C243" s="44"/>
      <x:c r="D243" s="44"/>
      <x:c r="E243" s="44"/>
      <x:c r="F243" s="44"/>
      <x:c r="G243" s="44"/>
      <x:c r="H243" s="44"/>
      <x:c r="I243" s="44"/>
      <x:c r="J243" s="44"/>
    </x:row>
    <x:row r="244">
      <x:c r="A244" s="44"/>
      <x:c r="B244" s="44"/>
      <x:c r="C244" s="44"/>
      <x:c r="D244" s="44"/>
      <x:c r="E244" s="44"/>
      <x:c r="F244" s="44"/>
      <x:c r="G244" s="44"/>
      <x:c r="H244" s="44"/>
      <x:c r="I244" s="44"/>
      <x:c r="J244" s="44"/>
    </x:row>
    <x:row r="245">
      <x:c r="A245" s="44"/>
      <x:c r="B245" s="44"/>
      <x:c r="C245" s="44"/>
      <x:c r="D245" s="44"/>
      <x:c r="E245" s="44"/>
      <x:c r="F245" s="44"/>
      <x:c r="G245" s="44"/>
      <x:c r="H245" s="44"/>
      <x:c r="I245" s="44"/>
      <x:c r="J245" s="44"/>
    </x:row>
    <x:row r="246">
      <x:c r="A246" s="44"/>
      <x:c r="B246" s="44"/>
      <x:c r="C246" s="44"/>
      <x:c r="D246" s="44"/>
      <x:c r="E246" s="44"/>
      <x:c r="F246" s="44"/>
      <x:c r="G246" s="44"/>
      <x:c r="H246" s="44"/>
      <x:c r="I246" s="44"/>
      <x:c r="J246" s="44"/>
    </x:row>
    <x:row r="247">
      <x:c r="A247" s="44"/>
      <x:c r="B247" s="44"/>
      <x:c r="C247" s="44"/>
      <x:c r="D247" s="44"/>
      <x:c r="E247" s="44"/>
      <x:c r="F247" s="44"/>
      <x:c r="G247" s="44"/>
      <x:c r="H247" s="44"/>
      <x:c r="I247" s="44"/>
      <x:c r="J247" s="44"/>
    </x:row>
    <x:row r="248">
      <x:c r="A248" s="44"/>
      <x:c r="B248" s="44"/>
      <x:c r="C248" s="44"/>
      <x:c r="D248" s="44"/>
      <x:c r="E248" s="44"/>
      <x:c r="F248" s="44"/>
      <x:c r="G248" s="44"/>
      <x:c r="H248" s="44"/>
      <x:c r="I248" s="44"/>
      <x:c r="J248" s="44"/>
    </x:row>
    <x:row r="249">
      <x:c r="A249" s="44"/>
      <x:c r="B249" s="44"/>
      <x:c r="C249" s="44"/>
      <x:c r="D249" s="44"/>
      <x:c r="E249" s="44"/>
      <x:c r="F249" s="44"/>
      <x:c r="G249" s="44"/>
      <x:c r="H249" s="44"/>
      <x:c r="I249" s="44"/>
      <x:c r="J249" s="44"/>
    </x:row>
    <x:row r="250">
      <x:c r="A250" s="44"/>
      <x:c r="B250" s="44"/>
      <x:c r="C250" s="44"/>
      <x:c r="D250" s="44"/>
      <x:c r="E250" s="44"/>
      <x:c r="F250" s="44"/>
      <x:c r="G250" s="44"/>
      <x:c r="H250" s="44"/>
      <x:c r="I250" s="44"/>
      <x:c r="J250" s="44"/>
    </x:row>
    <x:row r="251">
      <x:c r="A251" s="44"/>
      <x:c r="B251" s="44"/>
      <x:c r="C251" s="44"/>
      <x:c r="D251" s="44"/>
      <x:c r="E251" s="44"/>
      <x:c r="F251" s="44"/>
      <x:c r="G251" s="44"/>
      <x:c r="H251" s="44"/>
      <x:c r="I251" s="44"/>
      <x:c r="J251" s="44"/>
    </x:row>
    <x:row r="252">
      <x:c r="A252" s="44"/>
      <x:c r="B252" s="44"/>
      <x:c r="C252" s="44"/>
      <x:c r="D252" s="44"/>
      <x:c r="E252" s="44"/>
      <x:c r="F252" s="44"/>
      <x:c r="G252" s="44"/>
      <x:c r="H252" s="44"/>
      <x:c r="I252" s="44"/>
      <x:c r="J252" s="44"/>
    </x:row>
    <x:row r="253">
      <x:c r="A253" s="44"/>
      <x:c r="B253" s="44"/>
      <x:c r="C253" s="44"/>
      <x:c r="D253" s="44"/>
      <x:c r="E253" s="44"/>
      <x:c r="F253" s="44"/>
      <x:c r="G253" s="44"/>
      <x:c r="H253" s="44"/>
      <x:c r="I253" s="44"/>
      <x:c r="J253" s="44"/>
    </x:row>
    <x:row r="254">
      <x:c r="A254" s="44"/>
      <x:c r="B254" s="44"/>
      <x:c r="C254" s="44"/>
      <x:c r="D254" s="44"/>
      <x:c r="E254" s="44"/>
      <x:c r="F254" s="44"/>
      <x:c r="G254" s="44"/>
      <x:c r="H254" s="44"/>
      <x:c r="I254" s="44"/>
      <x:c r="J254" s="44"/>
    </x:row>
    <x:row r="255">
      <x:c r="A255" s="44"/>
      <x:c r="B255" s="44"/>
      <x:c r="C255" s="44"/>
      <x:c r="D255" s="44"/>
      <x:c r="E255" s="44"/>
      <x:c r="F255" s="44"/>
      <x:c r="G255" s="44"/>
      <x:c r="H255" s="44"/>
      <x:c r="I255" s="44"/>
      <x:c r="J255" s="44"/>
    </x:row>
    <x:row r="256">
      <x:c r="A256" s="44"/>
      <x:c r="B256" s="44"/>
      <x:c r="C256" s="44"/>
      <x:c r="D256" s="44"/>
      <x:c r="E256" s="44"/>
      <x:c r="F256" s="44"/>
      <x:c r="G256" s="44"/>
      <x:c r="H256" s="44"/>
      <x:c r="I256" s="44"/>
      <x:c r="J256" s="44"/>
    </x:row>
    <x:row r="257">
      <x:c r="A257" s="44"/>
      <x:c r="B257" s="44"/>
      <x:c r="C257" s="44"/>
      <x:c r="D257" s="44"/>
      <x:c r="E257" s="44"/>
      <x:c r="F257" s="44"/>
      <x:c r="G257" s="44"/>
      <x:c r="H257" s="44"/>
      <x:c r="I257" s="44"/>
      <x:c r="J257" s="44"/>
    </x:row>
    <x:row r="258">
      <x:c r="A258" s="44"/>
      <x:c r="B258" s="44"/>
      <x:c r="C258" s="44"/>
      <x:c r="D258" s="44"/>
      <x:c r="E258" s="44"/>
      <x:c r="F258" s="44"/>
      <x:c r="G258" s="44"/>
      <x:c r="H258" s="44"/>
      <x:c r="I258" s="44"/>
      <x:c r="J258" s="44"/>
    </x:row>
    <x:row r="259">
      <x:c r="A259" s="44"/>
      <x:c r="B259" s="44"/>
      <x:c r="C259" s="44"/>
      <x:c r="D259" s="44"/>
      <x:c r="E259" s="44"/>
      <x:c r="F259" s="44"/>
      <x:c r="G259" s="44"/>
      <x:c r="H259" s="44"/>
      <x:c r="I259" s="44"/>
      <x:c r="J259" s="44"/>
    </x:row>
    <x:row r="260">
      <x:c r="A260" s="44"/>
      <x:c r="B260" s="44"/>
      <x:c r="C260" s="44"/>
      <x:c r="D260" s="44"/>
      <x:c r="E260" s="44"/>
      <x:c r="F260" s="44"/>
      <x:c r="G260" s="44"/>
      <x:c r="H260" s="44"/>
      <x:c r="I260" s="44"/>
      <x:c r="J260" s="44"/>
    </x:row>
    <x:row r="261">
      <x:c r="A261" s="44"/>
      <x:c r="B261" s="44"/>
      <x:c r="C261" s="44"/>
      <x:c r="D261" s="44"/>
      <x:c r="E261" s="44"/>
      <x:c r="F261" s="44"/>
      <x:c r="G261" s="44"/>
      <x:c r="H261" s="44"/>
      <x:c r="I261" s="44"/>
      <x:c r="J261" s="44"/>
    </x:row>
    <x:row r="262">
      <x:c r="A262" s="44"/>
      <x:c r="B262" s="44"/>
      <x:c r="C262" s="44"/>
      <x:c r="D262" s="44"/>
      <x:c r="E262" s="44"/>
      <x:c r="F262" s="44"/>
      <x:c r="G262" s="44"/>
      <x:c r="H262" s="44"/>
      <x:c r="I262" s="44"/>
      <x:c r="J262" s="44"/>
    </x:row>
    <x:row r="263">
      <x:c r="A263" s="44"/>
      <x:c r="B263" s="44"/>
      <x:c r="C263" s="44"/>
      <x:c r="D263" s="44"/>
      <x:c r="E263" s="44"/>
      <x:c r="F263" s="44"/>
      <x:c r="G263" s="44"/>
      <x:c r="H263" s="44"/>
      <x:c r="I263" s="44"/>
      <x:c r="J263" s="44"/>
    </x:row>
    <x:row r="264">
      <x:c r="A264" s="44"/>
      <x:c r="B264" s="44"/>
      <x:c r="C264" s="44"/>
      <x:c r="D264" s="44"/>
      <x:c r="E264" s="44"/>
      <x:c r="F264" s="44"/>
      <x:c r="G264" s="44"/>
      <x:c r="H264" s="44"/>
      <x:c r="I264" s="44"/>
      <x:c r="J264" s="44"/>
    </x:row>
    <x:row r="265">
      <x:c r="A265" s="44"/>
      <x:c r="B265" s="44"/>
      <x:c r="C265" s="44"/>
      <x:c r="D265" s="44"/>
      <x:c r="E265" s="44"/>
      <x:c r="F265" s="44"/>
      <x:c r="G265" s="44"/>
      <x:c r="H265" s="44"/>
      <x:c r="I265" s="44"/>
      <x:c r="J265" s="44"/>
    </x:row>
    <x:row r="266">
      <x:c r="A266" s="44"/>
      <x:c r="B266" s="44"/>
      <x:c r="C266" s="44"/>
      <x:c r="D266" s="44"/>
      <x:c r="E266" s="44"/>
      <x:c r="F266" s="44"/>
      <x:c r="G266" s="44"/>
      <x:c r="H266" s="44"/>
      <x:c r="I266" s="44"/>
      <x:c r="J266" s="44"/>
    </x:row>
    <x:row r="267">
      <x:c r="A267" s="44"/>
      <x:c r="B267" s="44"/>
      <x:c r="C267" s="44"/>
      <x:c r="D267" s="44"/>
      <x:c r="E267" s="44"/>
      <x:c r="F267" s="44"/>
      <x:c r="G267" s="44"/>
      <x:c r="H267" s="44"/>
      <x:c r="I267" s="44"/>
      <x:c r="J267" s="44"/>
    </x:row>
    <x:row r="268">
      <x:c r="A268" s="44"/>
      <x:c r="B268" s="44"/>
      <x:c r="C268" s="44"/>
      <x:c r="D268" s="44"/>
      <x:c r="E268" s="44"/>
      <x:c r="F268" s="44"/>
      <x:c r="G268" s="44"/>
      <x:c r="H268" s="44"/>
      <x:c r="I268" s="44"/>
      <x:c r="J268" s="44"/>
    </x:row>
    <x:row r="269">
      <x:c r="A269" s="44"/>
      <x:c r="B269" s="44"/>
      <x:c r="C269" s="44"/>
      <x:c r="D269" s="44"/>
      <x:c r="E269" s="44"/>
      <x:c r="F269" s="44"/>
      <x:c r="G269" s="44"/>
      <x:c r="H269" s="44"/>
      <x:c r="I269" s="44"/>
      <x:c r="J269" s="44"/>
    </x:row>
    <x:row r="270">
      <x:c r="A270" s="44"/>
      <x:c r="B270" s="44"/>
      <x:c r="C270" s="44"/>
      <x:c r="D270" s="44"/>
      <x:c r="E270" s="44"/>
      <x:c r="F270" s="44"/>
      <x:c r="G270" s="44"/>
      <x:c r="H270" s="44"/>
      <x:c r="I270" s="44"/>
      <x:c r="J270" s="44"/>
    </x:row>
    <x:row r="271">
      <x:c r="A271" s="44"/>
      <x:c r="B271" s="44"/>
      <x:c r="C271" s="44"/>
      <x:c r="D271" s="44"/>
      <x:c r="E271" s="44"/>
      <x:c r="F271" s="44"/>
      <x:c r="G271" s="44"/>
      <x:c r="H271" s="44"/>
      <x:c r="I271" s="44"/>
      <x:c r="J271" s="44"/>
    </x:row>
    <x:row r="272">
      <x:c r="A272" s="44"/>
      <x:c r="B272" s="44"/>
      <x:c r="C272" s="44"/>
      <x:c r="D272" s="44"/>
      <x:c r="E272" s="44"/>
      <x:c r="F272" s="44"/>
      <x:c r="G272" s="44"/>
      <x:c r="H272" s="44"/>
      <x:c r="I272" s="44"/>
      <x:c r="J272" s="44"/>
    </x:row>
    <x:row r="273">
      <x:c r="A273" s="44"/>
      <x:c r="B273" s="44"/>
      <x:c r="C273" s="44"/>
      <x:c r="D273" s="44"/>
      <x:c r="E273" s="44"/>
      <x:c r="F273" s="44"/>
      <x:c r="G273" s="44"/>
      <x:c r="H273" s="44"/>
      <x:c r="I273" s="44"/>
      <x:c r="J273" s="44"/>
    </x:row>
    <x:row r="274">
      <x:c r="A274" s="44"/>
      <x:c r="B274" s="44"/>
      <x:c r="C274" s="44"/>
      <x:c r="D274" s="44"/>
      <x:c r="E274" s="44"/>
      <x:c r="F274" s="44"/>
      <x:c r="G274" s="44"/>
      <x:c r="H274" s="44"/>
      <x:c r="I274" s="44"/>
      <x:c r="J274" s="44"/>
    </x:row>
    <x:row r="275">
      <x:c r="A275" s="44"/>
      <x:c r="B275" s="44"/>
      <x:c r="C275" s="44"/>
      <x:c r="D275" s="44"/>
      <x:c r="E275" s="44"/>
      <x:c r="F275" s="44"/>
      <x:c r="G275" s="44"/>
      <x:c r="H275" s="44"/>
      <x:c r="I275" s="44"/>
      <x:c r="J275" s="44"/>
    </x:row>
    <x:row r="276">
      <x:c r="A276" s="44"/>
      <x:c r="B276" s="44"/>
      <x:c r="C276" s="44"/>
      <x:c r="D276" s="44"/>
      <x:c r="E276" s="44"/>
      <x:c r="F276" s="44"/>
      <x:c r="G276" s="44"/>
      <x:c r="H276" s="44"/>
      <x:c r="I276" s="44"/>
      <x:c r="J276" s="44"/>
    </x:row>
    <x:row r="277">
      <x:c r="A277" s="44"/>
      <x:c r="B277" s="44"/>
      <x:c r="C277" s="44"/>
      <x:c r="D277" s="44"/>
      <x:c r="E277" s="44"/>
      <x:c r="F277" s="44"/>
      <x:c r="G277" s="44"/>
      <x:c r="H277" s="44"/>
      <x:c r="I277" s="44"/>
      <x:c r="J277" s="44"/>
    </x:row>
    <x:row r="278">
      <x:c r="A278" s="44"/>
      <x:c r="B278" s="44"/>
      <x:c r="C278" s="44"/>
      <x:c r="D278" s="44"/>
      <x:c r="E278" s="44"/>
      <x:c r="F278" s="44"/>
      <x:c r="G278" s="44"/>
      <x:c r="H278" s="44"/>
      <x:c r="I278" s="44"/>
      <x:c r="J278" s="44"/>
    </x:row>
    <x:row r="279">
      <x:c r="A279" s="44"/>
      <x:c r="B279" s="44"/>
      <x:c r="C279" s="44"/>
      <x:c r="D279" s="44"/>
      <x:c r="E279" s="44"/>
      <x:c r="F279" s="44"/>
      <x:c r="G279" s="44"/>
      <x:c r="H279" s="44"/>
      <x:c r="I279" s="44"/>
      <x:c r="J279" s="44"/>
    </x:row>
    <x:row r="280">
      <x:c r="A280" s="44"/>
      <x:c r="B280" s="44"/>
      <x:c r="C280" s="44"/>
      <x:c r="D280" s="44"/>
      <x:c r="E280" s="44"/>
      <x:c r="F280" s="44"/>
      <x:c r="G280" s="44"/>
      <x:c r="H280" s="44"/>
      <x:c r="I280" s="44"/>
      <x:c r="J280" s="44"/>
    </x:row>
    <x:row r="281">
      <x:c r="A281" s="44"/>
      <x:c r="B281" s="44"/>
      <x:c r="C281" s="44"/>
      <x:c r="D281" s="44"/>
      <x:c r="E281" s="44"/>
      <x:c r="F281" s="44"/>
      <x:c r="G281" s="44"/>
      <x:c r="H281" s="44"/>
      <x:c r="I281" s="44"/>
      <x:c r="J281" s="44"/>
    </x:row>
    <x:row r="282">
      <x:c r="A282" s="44"/>
      <x:c r="B282" s="44"/>
      <x:c r="C282" s="44"/>
      <x:c r="D282" s="44"/>
      <x:c r="E282" s="44"/>
      <x:c r="F282" s="44"/>
      <x:c r="G282" s="44"/>
      <x:c r="H282" s="44"/>
      <x:c r="I282" s="44"/>
      <x:c r="J282" s="44"/>
    </x:row>
    <x:row r="283">
      <x:c r="A283" s="44"/>
      <x:c r="B283" s="44"/>
      <x:c r="C283" s="44"/>
      <x:c r="D283" s="44"/>
      <x:c r="E283" s="44"/>
      <x:c r="F283" s="44"/>
      <x:c r="G283" s="44"/>
      <x:c r="H283" s="44"/>
      <x:c r="I283" s="44"/>
      <x:c r="J283" s="44"/>
    </x:row>
    <x:row r="284">
      <x:c r="A284" s="44"/>
      <x:c r="B284" s="44"/>
      <x:c r="C284" s="44"/>
      <x:c r="D284" s="44"/>
      <x:c r="E284" s="44"/>
      <x:c r="F284" s="44"/>
      <x:c r="G284" s="44"/>
      <x:c r="H284" s="44"/>
      <x:c r="I284" s="44"/>
      <x:c r="J284" s="44"/>
    </x:row>
    <x:row r="285">
      <x:c r="A285" s="44"/>
      <x:c r="B285" s="44"/>
      <x:c r="C285" s="44"/>
      <x:c r="D285" s="44"/>
      <x:c r="E285" s="44"/>
      <x:c r="F285" s="44"/>
      <x:c r="G285" s="44"/>
      <x:c r="H285" s="44"/>
      <x:c r="I285" s="44"/>
      <x:c r="J285" s="44"/>
    </x:row>
    <x:row r="286">
      <x:c r="A286" s="44"/>
      <x:c r="B286" s="44"/>
      <x:c r="C286" s="44"/>
      <x:c r="D286" s="44"/>
      <x:c r="E286" s="44"/>
      <x:c r="F286" s="44"/>
      <x:c r="G286" s="44"/>
      <x:c r="H286" s="44"/>
      <x:c r="I286" s="44"/>
      <x:c r="J286" s="44"/>
    </x:row>
    <x:row r="287">
      <x:c r="A287" s="44"/>
      <x:c r="B287" s="44"/>
      <x:c r="C287" s="44"/>
      <x:c r="D287" s="44"/>
      <x:c r="E287" s="44"/>
      <x:c r="F287" s="44"/>
      <x:c r="G287" s="44"/>
      <x:c r="H287" s="44"/>
      <x:c r="I287" s="44"/>
      <x:c r="J287" s="44"/>
    </x:row>
    <x:row r="288">
      <x:c r="A288" s="44"/>
      <x:c r="B288" s="44"/>
      <x:c r="C288" s="44"/>
      <x:c r="D288" s="44"/>
      <x:c r="E288" s="44"/>
      <x:c r="F288" s="44"/>
      <x:c r="G288" s="44"/>
      <x:c r="H288" s="44"/>
      <x:c r="I288" s="44"/>
      <x:c r="J288" s="44"/>
    </x:row>
    <x:row r="289">
      <x:c r="A289" s="44"/>
      <x:c r="B289" s="44"/>
      <x:c r="C289" s="44"/>
      <x:c r="D289" s="44"/>
      <x:c r="E289" s="44"/>
      <x:c r="F289" s="44"/>
      <x:c r="G289" s="44"/>
      <x:c r="H289" s="44"/>
      <x:c r="I289" s="44"/>
      <x:c r="J289" s="44"/>
    </x:row>
    <x:row r="290">
      <x:c r="A290" s="44"/>
      <x:c r="B290" s="44"/>
      <x:c r="C290" s="44"/>
      <x:c r="D290" s="44"/>
      <x:c r="E290" s="44"/>
      <x:c r="F290" s="44"/>
      <x:c r="G290" s="44"/>
      <x:c r="H290" s="44"/>
      <x:c r="I290" s="44"/>
      <x:c r="J290" s="44"/>
    </x:row>
    <x:row r="291">
      <x:c r="A291" s="44"/>
      <x:c r="B291" s="44"/>
      <x:c r="C291" s="44"/>
      <x:c r="D291" s="44"/>
      <x:c r="E291" s="44"/>
      <x:c r="F291" s="44"/>
      <x:c r="G291" s="44"/>
      <x:c r="H291" s="44"/>
      <x:c r="I291" s="44"/>
      <x:c r="J291" s="44"/>
    </x:row>
    <x:row r="292">
      <x:c r="A292" s="44"/>
      <x:c r="B292" s="44"/>
      <x:c r="C292" s="44"/>
      <x:c r="D292" s="44"/>
      <x:c r="E292" s="44"/>
      <x:c r="F292" s="44"/>
      <x:c r="G292" s="44"/>
      <x:c r="H292" s="44"/>
      <x:c r="I292" s="44"/>
      <x:c r="J292" s="44"/>
    </x:row>
    <x:row r="293">
      <x:c r="A293" s="44"/>
      <x:c r="B293" s="44"/>
      <x:c r="C293" s="44"/>
      <x:c r="D293" s="44"/>
      <x:c r="E293" s="44"/>
      <x:c r="F293" s="44"/>
      <x:c r="G293" s="44"/>
      <x:c r="H293" s="44"/>
      <x:c r="I293" s="44"/>
      <x:c r="J293" s="44"/>
    </x:row>
    <x:row r="294">
      <x:c r="A294" s="44"/>
      <x:c r="B294" s="44"/>
      <x:c r="C294" s="44"/>
      <x:c r="D294" s="44"/>
      <x:c r="E294" s="44"/>
      <x:c r="F294" s="44"/>
      <x:c r="G294" s="44"/>
      <x:c r="H294" s="44"/>
      <x:c r="I294" s="44"/>
      <x:c r="J294" s="44"/>
    </x:row>
    <x:row r="295">
      <x:c r="A295" s="44"/>
      <x:c r="B295" s="44"/>
      <x:c r="C295" s="44"/>
      <x:c r="D295" s="44"/>
      <x:c r="E295" s="44"/>
      <x:c r="F295" s="44"/>
      <x:c r="G295" s="44"/>
      <x:c r="H295" s="44"/>
      <x:c r="I295" s="44"/>
      <x:c r="J295" s="44"/>
    </x:row>
    <x:row r="296">
      <x:c r="A296" s="44"/>
      <x:c r="B296" s="44"/>
      <x:c r="C296" s="44"/>
      <x:c r="D296" s="44"/>
      <x:c r="E296" s="44"/>
      <x:c r="F296" s="44"/>
      <x:c r="G296" s="44"/>
      <x:c r="H296" s="44"/>
      <x:c r="I296" s="44"/>
      <x:c r="J296" s="44"/>
    </x:row>
    <x:row r="297">
      <x:c r="A297" s="44"/>
      <x:c r="B297" s="44"/>
      <x:c r="C297" s="44"/>
      <x:c r="D297" s="44"/>
      <x:c r="E297" s="44"/>
      <x:c r="F297" s="44"/>
      <x:c r="G297" s="44"/>
      <x:c r="H297" s="44"/>
      <x:c r="I297" s="44"/>
      <x:c r="J297" s="44"/>
    </x:row>
    <x:row r="298">
      <x:c r="A298" s="44"/>
      <x:c r="B298" s="44"/>
      <x:c r="C298" s="44"/>
      <x:c r="D298" s="44"/>
      <x:c r="E298" s="44"/>
      <x:c r="F298" s="44"/>
      <x:c r="G298" s="44"/>
      <x:c r="H298" s="44"/>
      <x:c r="I298" s="44"/>
      <x:c r="J298" s="44"/>
    </x:row>
    <x:row r="299">
      <x:c r="A299" s="44"/>
      <x:c r="B299" s="44"/>
      <x:c r="C299" s="44"/>
      <x:c r="D299" s="44"/>
      <x:c r="E299" s="44"/>
      <x:c r="F299" s="44"/>
      <x:c r="G299" s="44"/>
      <x:c r="H299" s="44"/>
      <x:c r="I299" s="44"/>
      <x:c r="J299" s="44"/>
    </x:row>
    <x:row r="300">
      <x:c r="A300" s="44"/>
      <x:c r="B300" s="44"/>
      <x:c r="C300" s="44"/>
      <x:c r="D300" s="44"/>
      <x:c r="E300" s="44"/>
      <x:c r="F300" s="44"/>
      <x:c r="G300" s="44"/>
      <x:c r="H300" s="44"/>
      <x:c r="I300" s="44"/>
      <x:c r="J300" s="44"/>
    </x:row>
    <x:row r="301">
      <x:c r="A301" s="44"/>
      <x:c r="B301" s="44"/>
      <x:c r="C301" s="44"/>
      <x:c r="D301" s="44"/>
      <x:c r="E301" s="44"/>
      <x:c r="F301" s="44"/>
      <x:c r="G301" s="44"/>
      <x:c r="H301" s="44"/>
      <x:c r="I301" s="44"/>
      <x:c r="J301" s="44"/>
    </x:row>
    <x:row r="302">
      <x:c r="A302" s="44"/>
      <x:c r="B302" s="44"/>
      <x:c r="C302" s="44"/>
      <x:c r="D302" s="44"/>
      <x:c r="E302" s="44"/>
      <x:c r="F302" s="44"/>
      <x:c r="G302" s="44"/>
      <x:c r="H302" s="44"/>
      <x:c r="I302" s="44"/>
      <x:c r="J302" s="44"/>
    </x:row>
    <x:row r="303">
      <x:c r="A303" s="44"/>
      <x:c r="B303" s="44"/>
      <x:c r="C303" s="44"/>
      <x:c r="D303" s="44"/>
      <x:c r="E303" s="44"/>
      <x:c r="F303" s="44"/>
      <x:c r="G303" s="44"/>
      <x:c r="H303" s="44"/>
      <x:c r="I303" s="44"/>
      <x:c r="J303" s="44"/>
    </x:row>
    <x:row r="304">
      <x:c r="A304" s="44"/>
      <x:c r="B304" s="44"/>
      <x:c r="C304" s="44"/>
      <x:c r="D304" s="44"/>
      <x:c r="E304" s="44"/>
      <x:c r="F304" s="44"/>
      <x:c r="G304" s="44"/>
      <x:c r="H304" s="44"/>
      <x:c r="I304" s="44"/>
      <x:c r="J304" s="44"/>
    </x:row>
    <x:row r="305">
      <x:c r="A305" s="44"/>
      <x:c r="B305" s="44"/>
      <x:c r="C305" s="44"/>
      <x:c r="D305" s="44"/>
      <x:c r="E305" s="44"/>
      <x:c r="F305" s="44"/>
      <x:c r="G305" s="44"/>
      <x:c r="H305" s="44"/>
      <x:c r="I305" s="44"/>
      <x:c r="J305" s="44"/>
    </x:row>
    <x:row r="306">
      <x:c r="A306" s="44"/>
      <x:c r="B306" s="44"/>
      <x:c r="C306" s="44"/>
      <x:c r="D306" s="44"/>
      <x:c r="E306" s="44"/>
      <x:c r="F306" s="44"/>
      <x:c r="G306" s="44"/>
      <x:c r="H306" s="44"/>
      <x:c r="I306" s="44"/>
      <x:c r="J306" s="44"/>
    </x:row>
    <x:row r="307">
      <x:c r="A307" s="44"/>
      <x:c r="B307" s="44"/>
      <x:c r="C307" s="44"/>
      <x:c r="D307" s="44"/>
      <x:c r="E307" s="44"/>
      <x:c r="F307" s="44"/>
      <x:c r="G307" s="44"/>
      <x:c r="H307" s="44"/>
      <x:c r="I307" s="44"/>
      <x:c r="J307" s="44"/>
    </x:row>
    <x:row r="308">
      <x:c r="A308" s="44"/>
      <x:c r="B308" s="44"/>
      <x:c r="C308" s="44"/>
      <x:c r="D308" s="44"/>
      <x:c r="E308" s="44"/>
      <x:c r="F308" s="44"/>
      <x:c r="G308" s="44"/>
      <x:c r="H308" s="44"/>
      <x:c r="I308" s="44"/>
      <x:c r="J308" s="44"/>
    </x:row>
    <x:row r="309">
      <x:c r="A309" s="44"/>
      <x:c r="B309" s="44"/>
      <x:c r="C309" s="44"/>
      <x:c r="D309" s="44"/>
      <x:c r="E309" s="44"/>
      <x:c r="F309" s="44"/>
      <x:c r="G309" s="44"/>
      <x:c r="H309" s="44"/>
      <x:c r="I309" s="44"/>
      <x:c r="J309" s="44"/>
    </x:row>
    <x:row r="310">
      <x:c r="A310" s="44"/>
      <x:c r="B310" s="44"/>
      <x:c r="C310" s="44"/>
      <x:c r="D310" s="44"/>
      <x:c r="E310" s="44"/>
      <x:c r="F310" s="44"/>
      <x:c r="G310" s="44"/>
      <x:c r="H310" s="44"/>
      <x:c r="I310" s="44"/>
      <x:c r="J310" s="44"/>
    </x:row>
    <x:row r="311">
      <x:c r="A311" s="44"/>
      <x:c r="B311" s="44"/>
      <x:c r="C311" s="44"/>
      <x:c r="D311" s="44"/>
      <x:c r="E311" s="44"/>
      <x:c r="F311" s="44"/>
      <x:c r="G311" s="44"/>
      <x:c r="H311" s="44"/>
      <x:c r="I311" s="44"/>
      <x:c r="J311" s="44"/>
    </x:row>
    <x:row r="312">
      <x:c r="A312" s="44"/>
      <x:c r="B312" s="44"/>
      <x:c r="C312" s="44"/>
      <x:c r="D312" s="44"/>
      <x:c r="E312" s="44"/>
      <x:c r="F312" s="44"/>
      <x:c r="G312" s="44"/>
      <x:c r="H312" s="44"/>
      <x:c r="I312" s="44"/>
      <x:c r="J312" s="44"/>
    </x:row>
    <x:row r="313">
      <x:c r="A313" s="44"/>
      <x:c r="B313" s="44"/>
      <x:c r="C313" s="44"/>
      <x:c r="D313" s="44"/>
      <x:c r="E313" s="44"/>
      <x:c r="F313" s="44"/>
      <x:c r="G313" s="44"/>
      <x:c r="H313" s="44"/>
      <x:c r="I313" s="44"/>
      <x:c r="J313" s="44"/>
    </x:row>
    <x:row r="314">
      <x:c r="A314" s="44"/>
      <x:c r="B314" s="44"/>
      <x:c r="C314" s="44"/>
      <x:c r="D314" s="44"/>
      <x:c r="E314" s="44"/>
      <x:c r="F314" s="44"/>
      <x:c r="G314" s="44"/>
      <x:c r="H314" s="44"/>
      <x:c r="I314" s="44"/>
      <x:c r="J314" s="44"/>
    </x:row>
    <x:row r="315">
      <x:c r="A315" s="44"/>
      <x:c r="B315" s="44"/>
      <x:c r="C315" s="44"/>
      <x:c r="D315" s="44"/>
      <x:c r="E315" s="44"/>
      <x:c r="F315" s="44"/>
      <x:c r="G315" s="44"/>
      <x:c r="H315" s="44"/>
      <x:c r="I315" s="44"/>
      <x:c r="J315" s="44"/>
    </x:row>
    <x:row r="316">
      <x:c r="A316" s="44"/>
      <x:c r="B316" s="44"/>
      <x:c r="C316" s="44"/>
      <x:c r="D316" s="44"/>
      <x:c r="E316" s="44"/>
      <x:c r="F316" s="44"/>
      <x:c r="G316" s="44"/>
      <x:c r="H316" s="44"/>
      <x:c r="I316" s="44"/>
      <x:c r="J316" s="44"/>
    </x:row>
    <x:row r="317">
      <x:c r="A317" s="44"/>
      <x:c r="B317" s="44"/>
      <x:c r="C317" s="44"/>
      <x:c r="D317" s="44"/>
      <x:c r="E317" s="44"/>
      <x:c r="F317" s="44"/>
      <x:c r="G317" s="44"/>
      <x:c r="H317" s="44"/>
      <x:c r="I317" s="44"/>
      <x:c r="J317" s="44"/>
    </x:row>
    <x:row r="318">
      <x:c r="A318" s="44"/>
      <x:c r="B318" s="44"/>
      <x:c r="C318" s="44"/>
      <x:c r="D318" s="44"/>
      <x:c r="E318" s="44"/>
      <x:c r="F318" s="44"/>
      <x:c r="G318" s="44"/>
      <x:c r="H318" s="44"/>
      <x:c r="I318" s="44"/>
      <x:c r="J318" s="44"/>
    </x:row>
    <x:row r="319">
      <x:c r="A319" s="44"/>
      <x:c r="B319" s="44"/>
      <x:c r="C319" s="44"/>
      <x:c r="D319" s="44"/>
      <x:c r="E319" s="44"/>
      <x:c r="F319" s="44"/>
      <x:c r="G319" s="44"/>
      <x:c r="H319" s="44"/>
      <x:c r="I319" s="44"/>
      <x:c r="J319" s="44"/>
    </x:row>
    <x:row r="320">
      <x:c r="A320" s="44"/>
      <x:c r="B320" s="44"/>
      <x:c r="C320" s="44"/>
      <x:c r="D320" s="44"/>
      <x:c r="E320" s="44"/>
      <x:c r="F320" s="44"/>
      <x:c r="G320" s="44"/>
      <x:c r="H320" s="44"/>
      <x:c r="I320" s="44"/>
      <x:c r="J320" s="44"/>
    </x:row>
    <x:row r="321">
      <x:c r="A321" s="44"/>
      <x:c r="B321" s="44"/>
      <x:c r="C321" s="44"/>
      <x:c r="D321" s="44"/>
      <x:c r="E321" s="44"/>
      <x:c r="F321" s="44"/>
      <x:c r="G321" s="44"/>
      <x:c r="H321" s="44"/>
      <x:c r="I321" s="44"/>
      <x:c r="J321" s="44"/>
    </x:row>
    <x:row r="322">
      <x:c r="A322" s="44"/>
      <x:c r="B322" s="44"/>
      <x:c r="C322" s="44"/>
      <x:c r="D322" s="44"/>
      <x:c r="E322" s="44"/>
      <x:c r="F322" s="44"/>
      <x:c r="G322" s="44"/>
      <x:c r="H322" s="44"/>
      <x:c r="I322" s="44"/>
      <x:c r="J322" s="44"/>
    </x:row>
    <x:row r="323">
      <x:c r="A323" s="44"/>
      <x:c r="B323" s="44"/>
      <x:c r="C323" s="44"/>
      <x:c r="D323" s="44"/>
      <x:c r="E323" s="44"/>
      <x:c r="F323" s="44"/>
      <x:c r="G323" s="44"/>
      <x:c r="H323" s="44"/>
      <x:c r="I323" s="44"/>
      <x:c r="J323" s="44"/>
    </x:row>
    <x:row r="324">
      <x:c r="A324" s="44"/>
      <x:c r="B324" s="44"/>
      <x:c r="C324" s="44"/>
      <x:c r="D324" s="44"/>
      <x:c r="E324" s="44"/>
      <x:c r="F324" s="44"/>
      <x:c r="G324" s="44"/>
      <x:c r="H324" s="44"/>
      <x:c r="I324" s="44"/>
      <x:c r="J324" s="44"/>
    </x:row>
    <x:row r="325">
      <x:c r="A325" s="44"/>
      <x:c r="B325" s="44"/>
      <x:c r="C325" s="44"/>
      <x:c r="D325" s="44"/>
      <x:c r="E325" s="44"/>
      <x:c r="F325" s="44"/>
      <x:c r="G325" s="44"/>
      <x:c r="H325" s="44"/>
      <x:c r="I325" s="44"/>
      <x:c r="J325" s="44"/>
    </x:row>
    <x:row r="326">
      <x:c r="A326" s="44"/>
      <x:c r="B326" s="44"/>
      <x:c r="C326" s="44"/>
      <x:c r="D326" s="44"/>
      <x:c r="E326" s="44"/>
      <x:c r="F326" s="44"/>
      <x:c r="G326" s="44"/>
      <x:c r="H326" s="44"/>
      <x:c r="I326" s="44"/>
      <x:c r="J326" s="44"/>
    </x:row>
    <x:row r="327">
      <x:c r="A327" s="44"/>
      <x:c r="B327" s="44"/>
      <x:c r="C327" s="44"/>
      <x:c r="D327" s="44"/>
      <x:c r="E327" s="44"/>
      <x:c r="F327" s="44"/>
      <x:c r="G327" s="44"/>
      <x:c r="H327" s="44"/>
      <x:c r="I327" s="44"/>
      <x:c r="J327" s="44"/>
    </x:row>
    <x:row r="328">
      <x:c r="A328" s="44"/>
      <x:c r="B328" s="44"/>
      <x:c r="C328" s="44"/>
      <x:c r="D328" s="44"/>
      <x:c r="E328" s="44"/>
      <x:c r="F328" s="44"/>
      <x:c r="G328" s="44"/>
      <x:c r="H328" s="44"/>
      <x:c r="I328" s="44"/>
      <x:c r="J328" s="44"/>
    </x:row>
    <x:row r="329">
      <x:c r="A329" s="44"/>
      <x:c r="B329" s="44"/>
      <x:c r="C329" s="44"/>
      <x:c r="D329" s="44"/>
      <x:c r="E329" s="44"/>
      <x:c r="F329" s="44"/>
      <x:c r="G329" s="44"/>
      <x:c r="H329" s="44"/>
      <x:c r="I329" s="44"/>
      <x:c r="J329" s="44"/>
    </x:row>
    <x:row r="330">
      <x:c r="A330" s="44"/>
      <x:c r="B330" s="44"/>
      <x:c r="C330" s="44"/>
      <x:c r="D330" s="44"/>
      <x:c r="E330" s="44"/>
      <x:c r="F330" s="44"/>
      <x:c r="G330" s="44"/>
      <x:c r="H330" s="44"/>
      <x:c r="I330" s="44"/>
      <x:c r="J330" s="44"/>
    </x:row>
    <x:row r="331">
      <x:c r="A331" s="44"/>
      <x:c r="B331" s="44"/>
      <x:c r="C331" s="44"/>
      <x:c r="D331" s="44"/>
      <x:c r="E331" s="44"/>
      <x:c r="F331" s="44"/>
      <x:c r="G331" s="44"/>
      <x:c r="H331" s="44"/>
      <x:c r="I331" s="44"/>
      <x:c r="J331" s="44"/>
    </x:row>
    <x:row r="332">
      <x:c r="A332" s="44"/>
      <x:c r="B332" s="44"/>
      <x:c r="C332" s="44"/>
      <x:c r="D332" s="44"/>
      <x:c r="E332" s="44"/>
      <x:c r="F332" s="44"/>
      <x:c r="G332" s="44"/>
      <x:c r="H332" s="44"/>
      <x:c r="I332" s="44"/>
      <x:c r="J332" s="44"/>
    </x:row>
    <x:row r="333">
      <x:c r="A333" s="44"/>
      <x:c r="B333" s="44"/>
      <x:c r="C333" s="44"/>
      <x:c r="D333" s="44"/>
      <x:c r="E333" s="44"/>
      <x:c r="F333" s="44"/>
      <x:c r="G333" s="44"/>
      <x:c r="H333" s="44"/>
      <x:c r="I333" s="44"/>
      <x:c r="J333" s="44"/>
    </x:row>
    <x:row r="334">
      <x:c r="A334" s="44"/>
      <x:c r="B334" s="44"/>
      <x:c r="C334" s="44"/>
      <x:c r="D334" s="44"/>
      <x:c r="E334" s="44"/>
      <x:c r="F334" s="44"/>
      <x:c r="G334" s="44"/>
      <x:c r="H334" s="44"/>
      <x:c r="I334" s="44"/>
      <x:c r="J334" s="44"/>
    </x:row>
    <x:row r="335">
      <x:c r="A335" s="44"/>
      <x:c r="B335" s="44"/>
      <x:c r="C335" s="44"/>
      <x:c r="D335" s="44"/>
      <x:c r="E335" s="44"/>
      <x:c r="F335" s="44"/>
      <x:c r="G335" s="44"/>
      <x:c r="H335" s="44"/>
      <x:c r="I335" s="44"/>
      <x:c r="J335" s="44"/>
    </x:row>
    <x:row r="336">
      <x:c r="A336" s="44"/>
      <x:c r="B336" s="44"/>
      <x:c r="C336" s="44"/>
      <x:c r="D336" s="44"/>
      <x:c r="E336" s="44"/>
      <x:c r="F336" s="44"/>
      <x:c r="G336" s="44"/>
      <x:c r="H336" s="44"/>
      <x:c r="I336" s="44"/>
      <x:c r="J336" s="44"/>
    </x:row>
    <x:row r="337">
      <x:c r="A337" s="44"/>
      <x:c r="B337" s="44"/>
      <x:c r="C337" s="44"/>
      <x:c r="D337" s="44"/>
      <x:c r="E337" s="44"/>
      <x:c r="F337" s="44"/>
      <x:c r="G337" s="44"/>
      <x:c r="H337" s="44"/>
      <x:c r="I337" s="44"/>
      <x:c r="J337" s="44"/>
    </x:row>
    <x:row r="338">
      <x:c r="A338" s="44"/>
      <x:c r="B338" s="44"/>
      <x:c r="C338" s="44"/>
      <x:c r="D338" s="44"/>
      <x:c r="E338" s="44"/>
      <x:c r="F338" s="44"/>
      <x:c r="G338" s="44"/>
      <x:c r="H338" s="44"/>
      <x:c r="I338" s="44"/>
      <x:c r="J338" s="44"/>
    </x:row>
    <x:row r="339">
      <x:c r="A339" s="44"/>
      <x:c r="B339" s="44"/>
      <x:c r="C339" s="44"/>
      <x:c r="D339" s="44"/>
      <x:c r="E339" s="44"/>
      <x:c r="F339" s="44"/>
      <x:c r="G339" s="44"/>
      <x:c r="H339" s="44"/>
      <x:c r="I339" s="44"/>
      <x:c r="J339" s="44"/>
    </x:row>
    <x:row r="340">
      <x:c r="A340" s="44"/>
      <x:c r="B340" s="44"/>
      <x:c r="C340" s="44"/>
      <x:c r="D340" s="44"/>
      <x:c r="E340" s="44"/>
      <x:c r="F340" s="44"/>
      <x:c r="G340" s="44"/>
      <x:c r="H340" s="44"/>
      <x:c r="I340" s="44"/>
      <x:c r="J340" s="44"/>
    </x:row>
    <x:row r="341">
      <x:c r="A341" s="44"/>
      <x:c r="B341" s="44"/>
      <x:c r="C341" s="44"/>
      <x:c r="D341" s="44"/>
      <x:c r="E341" s="44"/>
      <x:c r="F341" s="44"/>
      <x:c r="G341" s="44"/>
      <x:c r="H341" s="44"/>
      <x:c r="I341" s="44"/>
      <x:c r="J341" s="44"/>
    </x:row>
    <x:row r="342">
      <x:c r="A342" s="44"/>
      <x:c r="B342" s="44"/>
      <x:c r="C342" s="44"/>
      <x:c r="D342" s="44"/>
      <x:c r="E342" s="44"/>
      <x:c r="F342" s="44"/>
      <x:c r="G342" s="44"/>
      <x:c r="H342" s="44"/>
      <x:c r="I342" s="44"/>
      <x:c r="J342" s="44"/>
    </x:row>
    <x:row r="343">
      <x:c r="A343" s="44"/>
      <x:c r="B343" s="44"/>
      <x:c r="C343" s="44"/>
      <x:c r="D343" s="44"/>
      <x:c r="E343" s="44"/>
      <x:c r="F343" s="44"/>
      <x:c r="G343" s="44"/>
      <x:c r="H343" s="44"/>
      <x:c r="I343" s="44"/>
      <x:c r="J343" s="44"/>
    </x:row>
    <x:row r="344">
      <x:c r="A344" s="44"/>
      <x:c r="B344" s="44"/>
      <x:c r="C344" s="44"/>
      <x:c r="D344" s="44"/>
      <x:c r="E344" s="44"/>
      <x:c r="F344" s="44"/>
      <x:c r="G344" s="44"/>
      <x:c r="H344" s="44"/>
      <x:c r="I344" s="44"/>
      <x:c r="J344" s="44"/>
    </x:row>
    <x:row r="345">
      <x:c r="A345" s="44"/>
      <x:c r="B345" s="44"/>
      <x:c r="C345" s="44"/>
      <x:c r="D345" s="44"/>
      <x:c r="E345" s="44"/>
      <x:c r="F345" s="44"/>
      <x:c r="G345" s="44"/>
      <x:c r="H345" s="44"/>
      <x:c r="I345" s="44"/>
      <x:c r="J345" s="44"/>
    </x:row>
    <x:row r="346">
      <x:c r="A346" s="44"/>
      <x:c r="B346" s="44"/>
      <x:c r="C346" s="44"/>
      <x:c r="D346" s="44"/>
      <x:c r="E346" s="44"/>
      <x:c r="F346" s="44"/>
      <x:c r="G346" s="44"/>
      <x:c r="H346" s="44"/>
      <x:c r="I346" s="44"/>
      <x:c r="J346" s="44"/>
    </x:row>
    <x:row r="347">
      <x:c r="A347" s="44"/>
      <x:c r="B347" s="44"/>
      <x:c r="C347" s="44"/>
      <x:c r="D347" s="44"/>
      <x:c r="E347" s="44"/>
      <x:c r="F347" s="44"/>
      <x:c r="G347" s="44"/>
      <x:c r="H347" s="44"/>
      <x:c r="I347" s="44"/>
      <x:c r="J347" s="44"/>
    </x:row>
    <x:row r="348">
      <x:c r="A348" s="44"/>
      <x:c r="B348" s="44"/>
      <x:c r="C348" s="44"/>
      <x:c r="D348" s="44"/>
      <x:c r="E348" s="44"/>
      <x:c r="F348" s="44"/>
      <x:c r="G348" s="44"/>
      <x:c r="H348" s="44"/>
      <x:c r="I348" s="44"/>
      <x:c r="J348" s="44"/>
    </x:row>
    <x:row r="349">
      <x:c r="A349" s="44"/>
      <x:c r="B349" s="44"/>
      <x:c r="C349" s="44"/>
      <x:c r="D349" s="44"/>
      <x:c r="E349" s="44"/>
      <x:c r="F349" s="44"/>
      <x:c r="G349" s="44"/>
      <x:c r="H349" s="44"/>
      <x:c r="I349" s="44"/>
      <x:c r="J349" s="44"/>
    </x:row>
    <x:row r="350">
      <x:c r="A350" s="44"/>
      <x:c r="B350" s="44"/>
      <x:c r="C350" s="44"/>
      <x:c r="D350" s="44"/>
      <x:c r="E350" s="44"/>
      <x:c r="F350" s="44"/>
      <x:c r="G350" s="44"/>
      <x:c r="H350" s="44"/>
      <x:c r="I350" s="44"/>
      <x:c r="J350" s="44"/>
    </x:row>
    <x:row r="351">
      <x:c r="A351" s="44"/>
      <x:c r="B351" s="44"/>
      <x:c r="C351" s="44"/>
      <x:c r="D351" s="44"/>
      <x:c r="E351" s="44"/>
      <x:c r="F351" s="44"/>
      <x:c r="G351" s="44"/>
      <x:c r="H351" s="44"/>
      <x:c r="I351" s="44"/>
      <x:c r="J351" s="44"/>
    </x:row>
    <x:row r="352">
      <x:c r="A352" s="44"/>
      <x:c r="B352" s="44"/>
      <x:c r="C352" s="44"/>
      <x:c r="D352" s="44"/>
      <x:c r="E352" s="44"/>
      <x:c r="F352" s="44"/>
      <x:c r="G352" s="44"/>
      <x:c r="H352" s="44"/>
      <x:c r="I352" s="44"/>
      <x:c r="J352" s="44"/>
    </x:row>
    <x:row r="353">
      <x:c r="A353" s="44"/>
      <x:c r="B353" s="44"/>
      <x:c r="C353" s="44"/>
      <x:c r="D353" s="44"/>
      <x:c r="E353" s="44"/>
      <x:c r="F353" s="44"/>
      <x:c r="G353" s="44"/>
      <x:c r="H353" s="44"/>
      <x:c r="I353" s="44"/>
      <x:c r="J353" s="44"/>
    </x:row>
    <x:row r="354">
      <x:c r="A354" s="44"/>
      <x:c r="B354" s="44"/>
      <x:c r="C354" s="44"/>
      <x:c r="D354" s="44"/>
      <x:c r="E354" s="44"/>
      <x:c r="F354" s="44"/>
      <x:c r="G354" s="44"/>
      <x:c r="H354" s="44"/>
      <x:c r="I354" s="44"/>
      <x:c r="J354" s="44"/>
    </x:row>
    <x:row r="355">
      <x:c r="A355" s="44"/>
      <x:c r="B355" s="44"/>
      <x:c r="C355" s="44"/>
      <x:c r="D355" s="44"/>
      <x:c r="E355" s="44"/>
      <x:c r="F355" s="44"/>
      <x:c r="G355" s="44"/>
      <x:c r="H355" s="44"/>
      <x:c r="I355" s="44"/>
      <x:c r="J355" s="44"/>
    </x:row>
    <x:row r="356">
      <x:c r="A356" s="44"/>
      <x:c r="B356" s="44"/>
      <x:c r="C356" s="44"/>
      <x:c r="D356" s="44"/>
      <x:c r="E356" s="44"/>
      <x:c r="F356" s="44"/>
      <x:c r="G356" s="44"/>
      <x:c r="H356" s="44"/>
      <x:c r="I356" s="44"/>
      <x:c r="J356" s="44"/>
    </x:row>
    <x:row r="357">
      <x:c r="A357" s="44"/>
      <x:c r="B357" s="44"/>
      <x:c r="C357" s="44"/>
      <x:c r="D357" s="44"/>
      <x:c r="E357" s="44"/>
      <x:c r="F357" s="44"/>
      <x:c r="G357" s="44"/>
      <x:c r="H357" s="44"/>
      <x:c r="I357" s="44"/>
      <x:c r="J357" s="44"/>
    </x:row>
    <x:row r="358">
      <x:c r="A358" s="44"/>
      <x:c r="B358" s="44"/>
      <x:c r="C358" s="44"/>
      <x:c r="D358" s="44"/>
      <x:c r="E358" s="44"/>
      <x:c r="F358" s="44"/>
      <x:c r="G358" s="44"/>
      <x:c r="H358" s="44"/>
      <x:c r="I358" s="44"/>
      <x:c r="J358" s="44"/>
    </x:row>
    <x:row r="359">
      <x:c r="A359" s="44"/>
      <x:c r="B359" s="44"/>
      <x:c r="C359" s="44"/>
      <x:c r="D359" s="44"/>
      <x:c r="E359" s="44"/>
      <x:c r="F359" s="44"/>
      <x:c r="G359" s="44"/>
      <x:c r="H359" s="44"/>
      <x:c r="I359" s="44"/>
      <x:c r="J359" s="44"/>
    </x:row>
    <x:row r="360">
      <x:c r="A360" s="44"/>
      <x:c r="B360" s="44"/>
      <x:c r="C360" s="44"/>
      <x:c r="D360" s="44"/>
      <x:c r="E360" s="44"/>
      <x:c r="F360" s="44"/>
      <x:c r="G360" s="44"/>
      <x:c r="H360" s="44"/>
      <x:c r="I360" s="44"/>
      <x:c r="J360" s="44"/>
    </x:row>
    <x:row r="361">
      <x:c r="A361" s="44"/>
      <x:c r="B361" s="44"/>
      <x:c r="C361" s="44"/>
      <x:c r="D361" s="44"/>
      <x:c r="E361" s="44"/>
      <x:c r="F361" s="44"/>
      <x:c r="G361" s="44"/>
      <x:c r="H361" s="44"/>
      <x:c r="I361" s="44"/>
      <x:c r="J361" s="44"/>
    </x:row>
    <x:row r="362">
      <x:c r="A362" s="44"/>
      <x:c r="B362" s="44"/>
      <x:c r="C362" s="44"/>
      <x:c r="D362" s="44"/>
      <x:c r="E362" s="44"/>
      <x:c r="F362" s="44"/>
      <x:c r="G362" s="44"/>
      <x:c r="H362" s="44"/>
      <x:c r="I362" s="44"/>
      <x:c r="J362" s="44"/>
    </x:row>
    <x:row r="363">
      <x:c r="A363" s="44"/>
      <x:c r="B363" s="44"/>
      <x:c r="C363" s="44"/>
      <x:c r="D363" s="44"/>
      <x:c r="E363" s="44"/>
      <x:c r="F363" s="44"/>
      <x:c r="G363" s="44"/>
      <x:c r="H363" s="44"/>
      <x:c r="I363" s="44"/>
      <x:c r="J363" s="44"/>
    </x:row>
    <x:row r="364">
      <x:c r="A364" s="44"/>
      <x:c r="B364" s="44"/>
      <x:c r="C364" s="44"/>
      <x:c r="D364" s="44"/>
      <x:c r="E364" s="44"/>
      <x:c r="F364" s="44"/>
      <x:c r="G364" s="44"/>
      <x:c r="H364" s="44"/>
      <x:c r="I364" s="44"/>
      <x:c r="J364" s="44"/>
    </x:row>
    <x:row r="365">
      <x:c r="A365" s="44"/>
      <x:c r="B365" s="44"/>
      <x:c r="C365" s="44"/>
      <x:c r="D365" s="44"/>
      <x:c r="E365" s="44"/>
      <x:c r="F365" s="44"/>
      <x:c r="G365" s="44"/>
      <x:c r="H365" s="44"/>
      <x:c r="I365" s="44"/>
      <x:c r="J365" s="44"/>
    </x:row>
    <x:row r="366">
      <x:c r="A366" s="44"/>
      <x:c r="B366" s="44"/>
      <x:c r="C366" s="44"/>
      <x:c r="D366" s="44"/>
      <x:c r="E366" s="44"/>
      <x:c r="F366" s="44"/>
      <x:c r="G366" s="44"/>
      <x:c r="H366" s="44"/>
      <x:c r="I366" s="44"/>
      <x:c r="J366" s="44"/>
    </x:row>
    <x:row r="367">
      <x:c r="A367" s="44"/>
      <x:c r="B367" s="44"/>
      <x:c r="C367" s="44"/>
      <x:c r="D367" s="44"/>
      <x:c r="E367" s="44"/>
      <x:c r="F367" s="44"/>
      <x:c r="G367" s="44"/>
      <x:c r="H367" s="44"/>
      <x:c r="I367" s="44"/>
      <x:c r="J367" s="44"/>
    </x:row>
    <x:row r="368">
      <x:c r="A368" s="44"/>
      <x:c r="B368" s="44"/>
      <x:c r="C368" s="44"/>
      <x:c r="D368" s="44"/>
      <x:c r="E368" s="44"/>
      <x:c r="F368" s="44"/>
      <x:c r="G368" s="44"/>
      <x:c r="H368" s="44"/>
      <x:c r="I368" s="44"/>
      <x:c r="J368" s="44"/>
    </x:row>
    <x:row r="369">
      <x:c r="A369" s="44"/>
      <x:c r="B369" s="44"/>
      <x:c r="C369" s="44"/>
      <x:c r="D369" s="44"/>
      <x:c r="E369" s="44"/>
      <x:c r="F369" s="44"/>
      <x:c r="G369" s="44"/>
      <x:c r="H369" s="44"/>
      <x:c r="I369" s="44"/>
      <x:c r="J369" s="44"/>
    </x:row>
    <x:row r="370">
      <x:c r="A370" s="44"/>
      <x:c r="B370" s="44"/>
      <x:c r="C370" s="44"/>
      <x:c r="D370" s="44"/>
      <x:c r="E370" s="44"/>
      <x:c r="F370" s="44"/>
      <x:c r="G370" s="44"/>
      <x:c r="H370" s="44"/>
      <x:c r="I370" s="44"/>
      <x:c r="J370" s="44"/>
    </x:row>
    <x:row r="371">
      <x:c r="A371" s="44"/>
      <x:c r="B371" s="44"/>
      <x:c r="C371" s="44"/>
      <x:c r="D371" s="44"/>
      <x:c r="E371" s="44"/>
      <x:c r="F371" s="44"/>
      <x:c r="G371" s="44"/>
      <x:c r="H371" s="44"/>
      <x:c r="I371" s="44"/>
      <x:c r="J371" s="44"/>
    </x:row>
    <x:row r="372">
      <x:c r="A372" s="44"/>
      <x:c r="B372" s="44"/>
      <x:c r="C372" s="44"/>
      <x:c r="D372" s="44"/>
      <x:c r="E372" s="44"/>
      <x:c r="F372" s="44"/>
      <x:c r="G372" s="44"/>
      <x:c r="H372" s="44"/>
      <x:c r="I372" s="44"/>
      <x:c r="J372" s="44"/>
    </x:row>
    <x:row r="373">
      <x:c r="A373" s="44"/>
      <x:c r="B373" s="44"/>
      <x:c r="C373" s="44"/>
      <x:c r="D373" s="44"/>
      <x:c r="E373" s="44"/>
      <x:c r="F373" s="44"/>
      <x:c r="G373" s="44"/>
      <x:c r="H373" s="44"/>
      <x:c r="I373" s="44"/>
      <x:c r="J373" s="44"/>
    </x:row>
    <x:row r="374">
      <x:c r="A374" s="44"/>
      <x:c r="B374" s="44"/>
      <x:c r="C374" s="44"/>
      <x:c r="D374" s="44"/>
      <x:c r="E374" s="44"/>
      <x:c r="F374" s="44"/>
      <x:c r="G374" s="44"/>
      <x:c r="H374" s="44"/>
      <x:c r="I374" s="44"/>
      <x:c r="J374" s="44"/>
    </x:row>
    <x:row r="375">
      <x:c r="A375" s="44"/>
      <x:c r="B375" s="44"/>
      <x:c r="C375" s="44"/>
      <x:c r="D375" s="44"/>
      <x:c r="E375" s="44"/>
      <x:c r="F375" s="44"/>
      <x:c r="G375" s="44"/>
      <x:c r="H375" s="44"/>
      <x:c r="I375" s="44"/>
      <x:c r="J375" s="44"/>
    </x:row>
    <x:row r="376">
      <x:c r="A376" s="44"/>
      <x:c r="B376" s="44"/>
      <x:c r="C376" s="44"/>
      <x:c r="D376" s="44"/>
      <x:c r="E376" s="44"/>
      <x:c r="F376" s="44"/>
      <x:c r="G376" s="44"/>
      <x:c r="H376" s="44"/>
      <x:c r="I376" s="44"/>
      <x:c r="J376" s="44"/>
    </x:row>
    <x:row r="377">
      <x:c r="A377" s="44"/>
      <x:c r="B377" s="44"/>
      <x:c r="C377" s="44"/>
      <x:c r="D377" s="44"/>
      <x:c r="E377" s="44"/>
      <x:c r="F377" s="44"/>
      <x:c r="G377" s="44"/>
      <x:c r="H377" s="44"/>
      <x:c r="I377" s="44"/>
      <x:c r="J377" s="44"/>
    </x:row>
    <x:row r="378">
      <x:c r="A378" s="44"/>
      <x:c r="B378" s="44"/>
      <x:c r="C378" s="44"/>
      <x:c r="D378" s="44"/>
      <x:c r="E378" s="44"/>
      <x:c r="F378" s="44"/>
      <x:c r="G378" s="44"/>
      <x:c r="H378" s="44"/>
      <x:c r="I378" s="44"/>
      <x:c r="J378" s="44"/>
    </x:row>
    <x:row r="379">
      <x:c r="A379" s="44"/>
      <x:c r="B379" s="44"/>
      <x:c r="C379" s="44"/>
      <x:c r="D379" s="44"/>
      <x:c r="E379" s="44"/>
      <x:c r="F379" s="44"/>
      <x:c r="G379" s="44"/>
      <x:c r="H379" s="44"/>
      <x:c r="I379" s="44"/>
      <x:c r="J379" s="44"/>
    </x:row>
    <x:row r="380">
      <x:c r="A380" s="44"/>
      <x:c r="B380" s="44"/>
      <x:c r="C380" s="44"/>
      <x:c r="D380" s="44"/>
      <x:c r="E380" s="44"/>
      <x:c r="F380" s="44"/>
      <x:c r="G380" s="44"/>
      <x:c r="H380" s="44"/>
      <x:c r="I380" s="44"/>
      <x:c r="J380" s="44"/>
    </x:row>
    <x:row r="381">
      <x:c r="A381" s="44"/>
      <x:c r="B381" s="44"/>
      <x:c r="C381" s="44"/>
      <x:c r="D381" s="44"/>
      <x:c r="E381" s="44"/>
      <x:c r="F381" s="44"/>
      <x:c r="G381" s="44"/>
      <x:c r="H381" s="44"/>
      <x:c r="I381" s="44"/>
      <x:c r="J381" s="44"/>
    </x:row>
    <x:row r="382">
      <x:c r="A382" s="44"/>
      <x:c r="B382" s="44"/>
      <x:c r="C382" s="44"/>
      <x:c r="D382" s="44"/>
      <x:c r="E382" s="44"/>
      <x:c r="F382" s="44"/>
      <x:c r="G382" s="44"/>
      <x:c r="H382" s="44"/>
      <x:c r="I382" s="44"/>
      <x:c r="J382" s="44"/>
    </x:row>
    <x:row r="383">
      <x:c r="A383" s="44"/>
      <x:c r="B383" s="44"/>
      <x:c r="C383" s="44"/>
      <x:c r="D383" s="44"/>
      <x:c r="E383" s="44"/>
      <x:c r="F383" s="44"/>
      <x:c r="G383" s="44"/>
      <x:c r="H383" s="44"/>
      <x:c r="I383" s="44"/>
      <x:c r="J383" s="44"/>
    </x:row>
    <x:row r="384">
      <x:c r="A384" s="44"/>
      <x:c r="B384" s="44"/>
      <x:c r="C384" s="44"/>
      <x:c r="D384" s="44"/>
      <x:c r="E384" s="44"/>
      <x:c r="F384" s="44"/>
      <x:c r="G384" s="44"/>
      <x:c r="H384" s="44"/>
      <x:c r="I384" s="44"/>
      <x:c r="J384" s="44"/>
    </x:row>
    <x:row r="385">
      <x:c r="A385" s="44"/>
      <x:c r="B385" s="44"/>
      <x:c r="C385" s="44"/>
      <x:c r="D385" s="44"/>
      <x:c r="E385" s="44"/>
      <x:c r="F385" s="44"/>
      <x:c r="G385" s="44"/>
      <x:c r="H385" s="44"/>
      <x:c r="I385" s="44"/>
      <x:c r="J385" s="44"/>
    </x:row>
    <x:row r="386">
      <x:c r="A386" s="44"/>
      <x:c r="B386" s="44"/>
      <x:c r="C386" s="44"/>
      <x:c r="D386" s="44"/>
      <x:c r="E386" s="44"/>
      <x:c r="F386" s="44"/>
      <x:c r="G386" s="44"/>
      <x:c r="H386" s="44"/>
      <x:c r="I386" s="44"/>
      <x:c r="J386" s="44"/>
    </x:row>
    <x:row r="387">
      <x:c r="A387" s="44"/>
      <x:c r="B387" s="44"/>
      <x:c r="C387" s="44"/>
      <x:c r="D387" s="44"/>
      <x:c r="E387" s="44"/>
      <x:c r="F387" s="44"/>
      <x:c r="G387" s="44"/>
      <x:c r="H387" s="44"/>
      <x:c r="I387" s="44"/>
      <x:c r="J387" s="44"/>
    </x:row>
    <x:row r="388">
      <x:c r="A388" s="44"/>
      <x:c r="B388" s="44"/>
      <x:c r="C388" s="44"/>
      <x:c r="D388" s="44"/>
      <x:c r="E388" s="44"/>
      <x:c r="F388" s="44"/>
      <x:c r="G388" s="44"/>
      <x:c r="H388" s="44"/>
      <x:c r="I388" s="44"/>
      <x:c r="J388" s="44"/>
    </x:row>
    <x:row r="389">
      <x:c r="A389" s="44"/>
      <x:c r="B389" s="44"/>
      <x:c r="C389" s="44"/>
      <x:c r="D389" s="44"/>
      <x:c r="E389" s="44"/>
      <x:c r="F389" s="44"/>
      <x:c r="G389" s="44"/>
      <x:c r="H389" s="44"/>
      <x:c r="I389" s="44"/>
      <x:c r="J389" s="44"/>
    </x:row>
    <x:row r="390">
      <x:c r="A390" s="44"/>
      <x:c r="B390" s="44"/>
      <x:c r="C390" s="44"/>
      <x:c r="D390" s="44"/>
      <x:c r="E390" s="44"/>
      <x:c r="F390" s="44"/>
      <x:c r="G390" s="44"/>
      <x:c r="H390" s="44"/>
      <x:c r="I390" s="44"/>
      <x:c r="J390" s="44"/>
    </x:row>
    <x:row r="391">
      <x:c r="A391" s="44"/>
      <x:c r="B391" s="44"/>
      <x:c r="C391" s="44"/>
      <x:c r="D391" s="44"/>
      <x:c r="E391" s="44"/>
      <x:c r="F391" s="44"/>
      <x:c r="G391" s="44"/>
      <x:c r="H391" s="44"/>
      <x:c r="I391" s="44"/>
      <x:c r="J391" s="44"/>
    </x:row>
    <x:row r="392">
      <x:c r="A392" s="44"/>
      <x:c r="B392" s="44"/>
      <x:c r="C392" s="44"/>
      <x:c r="D392" s="44"/>
      <x:c r="E392" s="44"/>
      <x:c r="F392" s="44"/>
      <x:c r="G392" s="44"/>
      <x:c r="H392" s="44"/>
      <x:c r="I392" s="44"/>
      <x:c r="J392" s="44"/>
    </x:row>
    <x:row r="393">
      <x:c r="A393" s="44"/>
      <x:c r="B393" s="44"/>
      <x:c r="C393" s="44"/>
      <x:c r="D393" s="44"/>
      <x:c r="E393" s="44"/>
      <x:c r="F393" s="44"/>
      <x:c r="G393" s="44"/>
      <x:c r="H393" s="44"/>
      <x:c r="I393" s="44"/>
      <x:c r="J393" s="44"/>
    </x:row>
    <x:row r="394">
      <x:c r="A394" s="44"/>
      <x:c r="B394" s="44"/>
      <x:c r="C394" s="44"/>
      <x:c r="D394" s="44"/>
      <x:c r="E394" s="44"/>
      <x:c r="F394" s="44"/>
      <x:c r="G394" s="44"/>
      <x:c r="H394" s="44"/>
      <x:c r="I394" s="44"/>
      <x:c r="J394" s="44"/>
    </x:row>
    <x:row r="395">
      <x:c r="A395" s="44"/>
      <x:c r="B395" s="44"/>
      <x:c r="C395" s="44"/>
      <x:c r="D395" s="44"/>
      <x:c r="E395" s="44"/>
      <x:c r="F395" s="44"/>
      <x:c r="G395" s="44"/>
      <x:c r="H395" s="44"/>
      <x:c r="I395" s="44"/>
      <x:c r="J395" s="44"/>
    </x:row>
    <x:row r="396">
      <x:c r="A396" s="44"/>
      <x:c r="B396" s="44"/>
      <x:c r="C396" s="44"/>
      <x:c r="D396" s="44"/>
      <x:c r="E396" s="44"/>
      <x:c r="F396" s="44"/>
      <x:c r="G396" s="44"/>
      <x:c r="H396" s="44"/>
      <x:c r="I396" s="44"/>
      <x:c r="J396" s="44"/>
    </x:row>
    <x:row r="397">
      <x:c r="A397" s="44"/>
      <x:c r="B397" s="44"/>
      <x:c r="C397" s="44"/>
      <x:c r="D397" s="44"/>
      <x:c r="E397" s="44"/>
      <x:c r="F397" s="44"/>
      <x:c r="G397" s="44"/>
      <x:c r="H397" s="44"/>
      <x:c r="I397" s="44"/>
      <x:c r="J397" s="44"/>
    </x:row>
    <x:row r="398">
      <x:c r="A398" s="44"/>
      <x:c r="B398" s="44"/>
      <x:c r="C398" s="44"/>
      <x:c r="D398" s="44"/>
      <x:c r="E398" s="44"/>
      <x:c r="F398" s="44"/>
      <x:c r="G398" s="44"/>
      <x:c r="H398" s="44"/>
      <x:c r="I398" s="44"/>
      <x:c r="J398" s="44"/>
    </x:row>
    <x:row r="399">
      <x:c r="A399" s="44"/>
      <x:c r="B399" s="44"/>
      <x:c r="C399" s="44"/>
      <x:c r="D399" s="44"/>
      <x:c r="E399" s="44"/>
      <x:c r="F399" s="44"/>
      <x:c r="G399" s="44"/>
      <x:c r="H399" s="44"/>
      <x:c r="I399" s="44"/>
      <x:c r="J399" s="44"/>
    </x:row>
    <x:row r="400">
      <x:c r="A400" s="45"/>
      <x:c r="B400" s="45"/>
      <x:c r="C400" s="45"/>
      <x:c r="D400" s="45"/>
      <x:c r="E400" s="45"/>
      <x:c r="F400" s="45"/>
      <x:c r="G400" s="45"/>
      <x:c r="H400" s="45"/>
      <x:c r="I400" s="45"/>
      <x:c r="J400" s="45"/>
    </x:row>
  </x:sheetData>
  <x:mergeCells>
    <x:mergeCell ref="A1:J1"/>
    <x:mergeCell ref="A2:P2"/>
  </x:mergeCells>
  <x:dataValidations count="10">
    <x:dataValidation type="list" sqref="C5:C400">
      <x:formula1>"Antes de,Después de,Complementaria con,Alternativa a,Bloquea a,Reemplaza a,Sin dependencia"</x:formula1>
    </x:dataValidation>
    <x:dataValidation type="list" sqref="G5:G400">
      <x:formula1>"Sí,No,Condicional"</x:formula1>
    </x:dataValidation>
    <x:dataValidation type="list" sqref="I5:I400">
      <x:formula1>"Borrador,Borrador sustentado,Por validar CEDIA,Validada,Descartada"</x:formula1>
    </x:dataValidation>
    <x:dataValidation type="list" sqref="M5:M400">
      <x:formula1>"Directo,Directo + inferencia sustentada,Inferencia sustentada,Fuente externa análoga"</x:formula1>
    </x:dataValidation>
    <x:dataValidation type="list" sqref="N5:N400">
      <x:formula1>"Alta,Media,Baja"</x:formula1>
    </x:dataValidation>
    <x:dataValidation type="list" sqref="C5:C500">
      <x:formula1>"Antes de,Después de,Complementaria con,Alternativa a,Bloquea a,Reemplaza a,Sin dependencia"</x:formula1>
    </x:dataValidation>
    <x:dataValidation type="list" sqref="G5:G500">
      <x:formula1>"Sí,No,Condicional"</x:formula1>
    </x:dataValidation>
    <x:dataValidation type="list" sqref="I5:I500">
      <x:formula1>"Borrador,Borrador sustentado,Por validar CEDIA,Validada,Descartada"</x:formula1>
    </x:dataValidation>
    <x:dataValidation type="list" sqref="M5:M500">
      <x:formula1>"Directo,Directo + inferencia sustentada,Inferencia sustentada,Fuente externa análoga"</x:formula1>
    </x:dataValidation>
    <x:dataValidation type="list" sqref="N5:N500">
      <x:formula1>"Alta,Media,Baja"</x:formula1>
    </x:dataValidation>
  </x:dataValidations>
  <x:pageMargins left="0.7" right="0.7" top="0.75" bottom="0.75" header="0.3" footer="0.3"/>
  <x:tableParts count="1">
    <x:tablePart xmlns:r="http://schemas.openxmlformats.org/officeDocument/2006/relationships" r:id="Rc8f740e2c21f43a8"/>
  </x:tableParts>
</x:worksheet>
</file>

<file path=xl/worksheets/sheet9.xml><?xml version="1.0" encoding="utf-8"?>
<x:worksheet xmlns:x="http://schemas.openxmlformats.org/spreadsheetml/2006/main">
  <x:sheetFormatPr defaultRowHeight="15"/>
  <x:cols>
    <x:col min="1" max="1" width="15" hidden="0" customWidth="1"/>
    <x:col min="2" max="2" width="30" hidden="0" customWidth="1"/>
    <x:col min="3" max="3" width="18" hidden="0" customWidth="1"/>
    <x:col min="4" max="4" width="36" hidden="0" customWidth="1"/>
    <x:col min="5" max="5" width="30" hidden="0" customWidth="1"/>
    <x:col min="6" max="6" width="18" hidden="0" customWidth="1"/>
    <x:col min="7" max="7" width="30" hidden="0" customWidth="1"/>
    <x:col min="8" max="8" width="20" hidden="0" customWidth="1"/>
    <x:col min="9" max="9" width="16" hidden="0" customWidth="1"/>
    <x:col min="10" max="10" width="24" hidden="0" customWidth="1"/>
    <x:col min="11" max="11" width="14" hidden="0" customWidth="1"/>
    <x:col min="12" max="12" width="18" hidden="0" customWidth="1"/>
    <x:col min="13" max="13" width="24" hidden="0" customWidth="1"/>
    <x:col min="14" max="14" width="28" hidden="0" customWidth="1"/>
    <x:col min="15" max="15" width="30" hidden="0" customWidth="1"/>
    <x:col min="16" max="16" width="28" hidden="0" customWidth="1"/>
    <x:col min="17" max="17" width="24" hidden="0" customWidth="1"/>
    <x:col min="18" max="18" width="20" hidden="0" customWidth="1"/>
    <x:col min="19" max="19" width="32" hidden="0" customWidth="1"/>
  </x:cols>
  <x:sheetData>
    <x:row r="1" ht="28" customHeight="1">
      <x:c r="A1" s="6" t="str">
        <x:v>08 — CATÁLOGO DE SERVICIOS / MODALIDADES DE APOYO CEDIA</x:v>
      </x:c>
      <x:c r="B1" s="6" t="str">
        <x:v>08 — CATÁLOGO DE SERVICIOS / MODALIDADES DE APOYO CEDIA</x:v>
      </x:c>
      <x:c r="C1" s="6" t="str">
        <x:v>08 — CATÁLOGO DE SERVICIOS / MODALIDADES DE APOYO CEDIA</x:v>
      </x:c>
      <x:c r="D1" s="6" t="str">
        <x:v>08 — CATÁLOGO DE SERVICIOS / MODALIDADES DE APOYO CEDIA</x:v>
      </x:c>
      <x:c r="E1" s="6" t="str">
        <x:v>08 — CATÁLOGO DE SERVICIOS / MODALIDADES DE APOYO CEDIA</x:v>
      </x:c>
      <x:c r="F1" s="6" t="str">
        <x:v>08 — CATÁLOGO DE SERVICIOS / MODALIDADES DE APOYO CEDIA</x:v>
      </x:c>
      <x:c r="G1" s="6" t="str">
        <x:v>08 — CATÁLOGO DE SERVICIOS / MODALIDADES DE APOYO CEDIA</x:v>
      </x:c>
      <x:c r="H1" s="6" t="str">
        <x:v>08 — CATÁLOGO DE SERVICIOS / MODALIDADES DE APOYO CEDIA</x:v>
      </x:c>
      <x:c r="I1" s="6" t="str">
        <x:v>08 — CATÁLOGO DE SERVICIOS / MODALIDADES DE APOYO CEDIA</x:v>
      </x:c>
      <x:c r="J1" s="6" t="str">
        <x:v>08 — CATÁLOGO DE SERVICIOS / MODALIDADES DE APOYO CEDIA</x:v>
      </x:c>
      <x:c r="K1" s="6" t="str">
        <x:v>08 — CATÁLOGO DE SERVICIOS / MODALIDADES DE APOYO CEDIA</x:v>
      </x:c>
      <x:c r="L1" s="6" t="str">
        <x:v>08 — CATÁLOGO DE SERVICIOS / MODALIDADES DE APOYO CEDIA</x:v>
      </x:c>
      <x:c r="M1" s="6" t="str">
        <x:v>08 — CATÁLOGO DE SERVICIOS / MODALIDADES DE APOYO CEDIA</x:v>
      </x:c>
      <x:c r="N1" s="6" t="str">
        <x:v>08 — CATÁLOGO DE SERVICIOS / MODALIDADES DE APOYO CEDIA</x:v>
      </x:c>
      <x:c r="O1" s="6" t="str">
        <x:v>08 — CATÁLOGO DE SERVICIOS / MODALIDADES DE APOYO CEDIA</x:v>
      </x:c>
      <x:c r="P1" s="6" t="str">
        <x:v>08 — CATÁLOGO DE SERVICIOS / MODALIDADES DE APOYO CEDIA</x:v>
      </x:c>
      <x:c r="Q1" s="6" t="str">
        <x:v>08 — CATÁLOGO DE SERVICIOS / MODALIDADES DE APOYO CEDIA</x:v>
      </x:c>
      <x:c r="R1" s="6" t="str">
        <x:v>08 — CATÁLOGO DE SERVICIOS / MODALIDADES DE APOYO CEDIA</x:v>
      </x:c>
      <x:c r="S1" s="6" t="str">
        <x:v>08 — CATÁLOGO DE SERVICIOS / MODALIDADES DE APOYO CEDIA</x:v>
      </x:c>
    </x:row>
    <x:row r="2" ht="35" customHeight="1">
      <x:c r="A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B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C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D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E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F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G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H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I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J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K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L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M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N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O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P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Q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R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c r="S2" s="629" t="str">
        <x:v>Catálogo funcional para la app. Las primeras 26 herramientas corresponden al inventario CEDIA; las 8 filas amarillas son propuestas benchmark. La fila verde documenta una mentoría real encontrada en la proforma UTA 2026. Antes de publicar, confirmar vigencia, condiciones y catálogo completo de servicios.</x:v>
      </x:c>
    </x:row>
    <x:row r="4" ht="34" customHeight="1">
      <x:c r="A4" s="28" t="str">
        <x:v>ID_SERVICIO</x:v>
      </x:c>
      <x:c r="B4" s="55" t="str">
        <x:v>NOMBRE_SERVICIO</x:v>
      </x:c>
      <x:c r="C4" s="55" t="str">
        <x:v>TIPO_SERVICIO</x:v>
      </x:c>
      <x:c r="D4" s="55" t="str">
        <x:v>DESCRIPCION</x:v>
      </x:c>
      <x:c r="E4" s="55" t="str">
        <x:v>NECESIDAD_QUE_ATIENDE</x:v>
      </x:c>
      <x:c r="F4" s="55" t="str">
        <x:v>ID_BRECHA_ASOCIADA</x:v>
      </x:c>
      <x:c r="G4" s="55" t="str">
        <x:v>HERRAMIENTAS_ASOCIADAS</x:v>
      </x:c>
      <x:c r="H4" s="55" t="str">
        <x:v>RELACION_TRL_CRL</x:v>
      </x:c>
      <x:c r="I4" s="55" t="str">
        <x:v>MODALIDAD</x:v>
      </x:c>
      <x:c r="J4" s="55" t="str">
        <x:v>PUBLICO_OBJETIVO</x:v>
      </x:c>
      <x:c r="K4" s="55" t="str">
        <x:v>DURACION</x:v>
      </x:c>
      <x:c r="L4" s="55" t="str">
        <x:v>CANAL</x:v>
      </x:c>
      <x:c r="M4" s="55" t="str">
        <x:v>RESPONSABLE_FUNCIONAL</x:v>
      </x:c>
      <x:c r="N4" s="55" t="str">
        <x:v>REQUISITOS_ACCESO</x:v>
      </x:c>
      <x:c r="O4" s="55" t="str">
        <x:v>RESULTADO_ESPERADO</x:v>
      </x:c>
      <x:c r="P4" s="55" t="str">
        <x:v>EVIDENCIA_GENERADA</x:v>
      </x:c>
      <x:c r="Q4" s="55" t="str">
        <x:v>CTA</x:v>
      </x:c>
      <x:c r="R4" s="55" t="str">
        <x:v>ESTADO_VALIDACION</x:v>
      </x:c>
      <x:c r="S4" s="29" t="str">
        <x:v>FUENTE_URL</x:v>
      </x:c>
    </x:row>
    <x:row r="5">
      <x:c r="A5" s="136" t="str">
        <x:v>SRV-001</x:v>
      </x:c>
      <x:c r="B5" s="136" t="str">
        <x:v>Árbol de Problemas</x:v>
      </x:c>
      <x:c r="C5" s="136" t="str">
        <x:v>Herramienta</x:v>
      </x:c>
      <x:c r="D5" s="136" t="str">
        <x:v>Representa de forma estructurada una problemática central, sus causas y sus efectos.</x:v>
      </x:c>
      <x:c r="E5" s="136" t="str">
        <x:v>Comprensión insuficiente de una problemática y de las relaciones entre sus causas y efectos.</x:v>
      </x:c>
      <x:c r="F5" s="136" t="str">
        <x:v>B-PRO-001</x:v>
      </x:c>
      <x:c r="G5" s="136" t="str">
        <x:v>IDE-001</x:v>
      </x:c>
      <x:c r="H5" s="136" t="str">
        <x:v>Por validar</x:v>
      </x:c>
      <x:c r="I5" s="136" t="str">
        <x:v>Por validar</x:v>
      </x:c>
      <x:c r="J5" s="136" t="str">
        <x:v>Por validar</x:v>
      </x:c>
      <x:c r="K5" s="136"/>
      <x:c r="L5" s="136" t="str">
        <x:v>Aplicación web / recurso CEDIA</x:v>
      </x:c>
      <x:c r="M5" s="136" t="str">
        <x:v>Por definir</x:v>
      </x:c>
      <x:c r="N5" s="136" t="str">
        <x:v>Según requisitos de la herramienta</x:v>
      </x:c>
      <x:c r="O5" s="136" t="str">
        <x:v>Árbol estructurado con problema central, causas y efectos relacionados.</x:v>
      </x:c>
      <x:c r="P5" s="136" t="str">
        <x:v>Árbol de Problemas completado.</x:v>
      </x:c>
      <x:c r="Q5" s="136" t="str">
        <x:v>Explorar herramienta / iniciar ruta</x:v>
      </x:c>
      <x:c r="R5" s="136" t="str">
        <x:v>Preliminar</x:v>
      </x:c>
      <x:c r="S5" s="136" t="str">
        <x:v>IDEACIÓN - ÁRBOL DE PROBLEMAS.pdf</x:v>
      </x:c>
    </x:row>
    <x:row r="6">
      <x:c r="A6" s="136" t="str">
        <x:v>SRV-002</x:v>
      </x:c>
      <x:c r="B6" s="136" t="str">
        <x:v>Brainstorming</x:v>
      </x:c>
      <x:c r="C6" s="136" t="str">
        <x:v>Herramienta</x:v>
      </x:c>
      <x:c r="D6" s="136" t="str">
        <x:v>Técnica colectiva para generar numerosas ideas a partir de un problema o tema.</x:v>
      </x:c>
      <x:c r="E6" s="136" t="str">
        <x:v>Cantidad o diversidad insuficiente de alternativas e ideas frente a un problema.</x:v>
      </x:c>
      <x:c r="F6" s="136" t="str">
        <x:v>B-IDE-001</x:v>
      </x:c>
      <x:c r="G6" s="136" t="str">
        <x:v>IDE-002</x:v>
      </x:c>
      <x:c r="H6" s="136" t="str">
        <x:v>Por validar</x:v>
      </x:c>
      <x:c r="I6" s="136" t="str">
        <x:v>Por validar</x:v>
      </x:c>
      <x:c r="J6" s="136" t="str">
        <x:v>Por validar</x:v>
      </x:c>
      <x:c r="K6" s="136"/>
      <x:c r="L6" s="136" t="str">
        <x:v>Aplicación web / recurso CEDIA</x:v>
      </x:c>
      <x:c r="M6" s="136" t="str">
        <x:v>Por definir</x:v>
      </x:c>
      <x:c r="N6" s="136" t="str">
        <x:v>Según requisitos de la herramienta</x:v>
      </x:c>
      <x:c r="O6" s="136" t="str">
        <x:v>Conjunto amplio de ideas para análisis y selección posterior.</x:v>
      </x:c>
      <x:c r="P6" s="136" t="str">
        <x:v>Registro de ideas generadas y selección/priorización posterior.</x:v>
      </x:c>
      <x:c r="Q6" s="136" t="str">
        <x:v>Explorar herramienta / iniciar ruta</x:v>
      </x:c>
      <x:c r="R6" s="136" t="str">
        <x:v>Preliminar</x:v>
      </x:c>
      <x:c r="S6" s="136" t="str">
        <x:v>IDEACIÓN - Brainstorming.pdf</x:v>
      </x:c>
    </x:row>
    <x:row r="7">
      <x:c r="A7" s="136" t="str">
        <x:v>SRV-003</x:v>
      </x:c>
      <x:c r="B7" s="136" t="str">
        <x:v>Brief de investigación</x:v>
      </x:c>
      <x:c r="C7" s="136" t="str">
        <x:v>Herramienta</x:v>
      </x:c>
      <x:c r="D7" s="136" t="str">
        <x:v>Estructura un plan de investigación para recopilar información y validar hipótesis.</x:v>
      </x:c>
      <x:c r="E7" s="136" t="str">
        <x:v>Investigación inicial no estructurada o sin claridad sobre información, público, hipótesis y método de recolección.</x:v>
      </x:c>
      <x:c r="F7" s="136" t="str">
        <x:v>B-INV-001</x:v>
      </x:c>
      <x:c r="G7" s="136" t="str">
        <x:v>IDE-003</x:v>
      </x:c>
      <x:c r="H7" s="136" t="str">
        <x:v>Por validar</x:v>
      </x:c>
      <x:c r="I7" s="136" t="str">
        <x:v>Por validar</x:v>
      </x:c>
      <x:c r="J7" s="136" t="str">
        <x:v>Por validar</x:v>
      </x:c>
      <x:c r="K7" s="136"/>
      <x:c r="L7" s="136" t="str">
        <x:v>Aplicación web / recurso CEDIA</x:v>
      </x:c>
      <x:c r="M7" s="136" t="str">
        <x:v>Por definir</x:v>
      </x:c>
      <x:c r="N7" s="136" t="str">
        <x:v>Según requisitos de la herramienta</x:v>
      </x:c>
      <x:c r="O7" s="136" t="str">
        <x:v>Brief de investigación con objetivos, preguntas, público, hipótesis, análisis esperado y metodología.</x:v>
      </x:c>
      <x:c r="P7" s="136" t="str">
        <x:v>Brief de Investigación completado.</x:v>
      </x:c>
      <x:c r="Q7" s="136" t="str">
        <x:v>Explorar herramienta / iniciar ruta</x:v>
      </x:c>
      <x:c r="R7" s="136" t="str">
        <x:v>Preliminar</x:v>
      </x:c>
      <x:c r="S7" s="136" t="str">
        <x:v>IDEACIÓN - Brief de investigación.pdf</x:v>
      </x:c>
    </x:row>
    <x:row r="8">
      <x:c r="A8" s="136" t="str">
        <x:v>SRV-004</x:v>
      </x:c>
      <x:c r="B8" s="136" t="str">
        <x:v>Componentes de Preguntas Poderosas</x:v>
      </x:c>
      <x:c r="C8" s="136" t="str">
        <x:v>Herramienta</x:v>
      </x:c>
      <x:c r="D8" s="136" t="str">
        <x:v>Guía para formular preguntas que generen información de valor y mayor claridad.</x:v>
      </x:c>
      <x:c r="E8" s="136" t="str">
        <x:v>Preguntas vagas, cerradas o poco útiles para comprender hechos, contexto y necesidades.</x:v>
      </x:c>
      <x:c r="F8" s="136" t="str">
        <x:v>B-INV-002</x:v>
      </x:c>
      <x:c r="G8" s="136" t="str">
        <x:v>IDE-004</x:v>
      </x:c>
      <x:c r="H8" s="136" t="str">
        <x:v>Por validar</x:v>
      </x:c>
      <x:c r="I8" s="136" t="str">
        <x:v>Por validar</x:v>
      </x:c>
      <x:c r="J8" s="136" t="str">
        <x:v>Por validar</x:v>
      </x:c>
      <x:c r="K8" s="136"/>
      <x:c r="L8" s="136" t="str">
        <x:v>Aplicación web / recurso CEDIA</x:v>
      </x:c>
      <x:c r="M8" s="136" t="str">
        <x:v>Por definir</x:v>
      </x:c>
      <x:c r="N8" s="136" t="str">
        <x:v>Según requisitos de la herramienta</x:v>
      </x:c>
      <x:c r="O8" s="136" t="str">
        <x:v>Conjunto de preguntas más claras, progresivas y orientadas a generar información.</x:v>
      </x:c>
      <x:c r="P8" s="136" t="str">
        <x:v>Matriz de Componentes de Preguntas Poderosas completada.</x:v>
      </x:c>
      <x:c r="Q8" s="136" t="str">
        <x:v>Explorar herramienta / iniciar ruta</x:v>
      </x:c>
      <x:c r="R8" s="136" t="str">
        <x:v>Preliminar</x:v>
      </x:c>
      <x:c r="S8" s="136" t="str">
        <x:v>IDEACIÓN - Componentes de Preguntas Poderosas.pdf</x:v>
      </x:c>
    </x:row>
    <x:row r="9">
      <x:c r="A9" s="136" t="str">
        <x:v>SRV-005</x:v>
      </x:c>
      <x:c r="B9" s="136" t="str">
        <x:v>Diagrama de Ishikawa</x:v>
      </x:c>
      <x:c r="C9" s="136" t="str">
        <x:v>Herramienta</x:v>
      </x:c>
      <x:c r="D9" s="136" t="str">
        <x:v>Diagrama de causa-efecto para representar y analizar las causas principales y secundarias de un problema.</x:v>
      </x:c>
      <x:c r="E9" s="136" t="str">
        <x:v>Causas principales y secundarias de un problema no identificadas o no analizadas sistemáticamente.</x:v>
      </x:c>
      <x:c r="F9" s="136" t="str">
        <x:v>B-PRO-002</x:v>
      </x:c>
      <x:c r="G9" s="136" t="str">
        <x:v>IDE-005</x:v>
      </x:c>
      <x:c r="H9" s="136" t="str">
        <x:v>Por validar</x:v>
      </x:c>
      <x:c r="I9" s="136" t="str">
        <x:v>Por validar</x:v>
      </x:c>
      <x:c r="J9" s="136" t="str">
        <x:v>Por validar</x:v>
      </x:c>
      <x:c r="K9" s="136"/>
      <x:c r="L9" s="136" t="str">
        <x:v>Aplicación web / recurso CEDIA</x:v>
      </x:c>
      <x:c r="M9" s="136" t="str">
        <x:v>Por definir</x:v>
      </x:c>
      <x:c r="N9" s="136" t="str">
        <x:v>Según requisitos de la herramienta</x:v>
      </x:c>
      <x:c r="O9" s="136" t="str">
        <x:v>Diagrama de Ishikawa con problema, categorías de causas, causas principales y secundarias.</x:v>
      </x:c>
      <x:c r="P9" s="136" t="str">
        <x:v>Diagrama de Ishikawa completado.</x:v>
      </x:c>
      <x:c r="Q9" s="136" t="str">
        <x:v>Explorar herramienta / iniciar ruta</x:v>
      </x:c>
      <x:c r="R9" s="136" t="str">
        <x:v>Preliminar</x:v>
      </x:c>
      <x:c r="S9" s="136" t="str">
        <x:v>IDEACIÓN - Diagrama de Ishikawa.pdf</x:v>
      </x:c>
    </x:row>
    <x:row r="10">
      <x:c r="A10" s="136" t="str">
        <x:v>SRV-006</x:v>
      </x:c>
      <x:c r="B10" s="136" t="str">
        <x:v>How Might We</x:v>
      </x:c>
      <x:c r="C10" s="136" t="str">
        <x:v>Herramienta</x:v>
      </x:c>
      <x:c r="D10" s="136" t="str">
        <x:v>Convierte insights sobre un desafío en preguntas «¿Cómo podríamos…?» que abren oportunidades de solución.</x:v>
      </x:c>
      <x:c r="E10" s="136" t="str">
        <x:v>Insights o necesidades identificadas que aún no han sido transformadas en preguntas útiles para idear soluciones.</x:v>
      </x:c>
      <x:c r="F10" s="136" t="str">
        <x:v>B-IDE-002</x:v>
      </x:c>
      <x:c r="G10" s="136" t="str">
        <x:v>IDE-006</x:v>
      </x:c>
      <x:c r="H10" s="136" t="str">
        <x:v>Por validar</x:v>
      </x:c>
      <x:c r="I10" s="136" t="str">
        <x:v>Por validar</x:v>
      </x:c>
      <x:c r="J10" s="136" t="str">
        <x:v>Por validar</x:v>
      </x:c>
      <x:c r="K10" s="136"/>
      <x:c r="L10" s="136" t="str">
        <x:v>Aplicación web / recurso CEDIA</x:v>
      </x:c>
      <x:c r="M10" s="136" t="str">
        <x:v>Por definir</x:v>
      </x:c>
      <x:c r="N10" s="136" t="str">
        <x:v>Según requisitos de la herramienta</x:v>
      </x:c>
      <x:c r="O10" s="136" t="str">
        <x:v>Preguntas de oportunidad tipo «¿Cómo podríamos…?» derivadas de insights.</x:v>
      </x:c>
      <x:c r="P10" s="136" t="str">
        <x:v>Matriz de insights y preguntas «¿Cómo podríamos…?» completada.</x:v>
      </x:c>
      <x:c r="Q10" s="136" t="str">
        <x:v>Explorar herramienta / iniciar ruta</x:v>
      </x:c>
      <x:c r="R10" s="136" t="str">
        <x:v>Preliminar</x:v>
      </x:c>
      <x:c r="S10" s="136" t="str">
        <x:v>IDEACIÓN - How might we.pdf</x:v>
      </x:c>
    </x:row>
    <x:row r="11">
      <x:c r="A11" s="136" t="str">
        <x:v>SRV-007</x:v>
      </x:c>
      <x:c r="B11" s="136" t="str">
        <x:v>Lotus Blossom</x:v>
      </x:c>
      <x:c r="C11" s="136" t="str">
        <x:v>Herramienta</x:v>
      </x:c>
      <x:c r="D11" s="136" t="str">
        <x:v>Matriz expansiva que desarrolla un concepto central en subconceptos, ideas o problemas relacionados.</x:v>
      </x:c>
      <x:c r="E11" s="136" t="str">
        <x:v>Exploración insuficiente de alternativas, temas o subconceptos alrededor de un reto central.</x:v>
      </x:c>
      <x:c r="F11" s="136" t="str">
        <x:v>B-IDE-003</x:v>
      </x:c>
      <x:c r="G11" s="136" t="str">
        <x:v>IDE-007</x:v>
      </x:c>
      <x:c r="H11" s="136" t="str">
        <x:v>Por validar</x:v>
      </x:c>
      <x:c r="I11" s="136" t="str">
        <x:v>Por validar</x:v>
      </x:c>
      <x:c r="J11" s="136" t="str">
        <x:v>Por validar</x:v>
      </x:c>
      <x:c r="K11" s="136"/>
      <x:c r="L11" s="136" t="str">
        <x:v>Aplicación web / recurso CEDIA</x:v>
      </x:c>
      <x:c r="M11" s="136" t="str">
        <x:v>Por definir</x:v>
      </x:c>
      <x:c r="N11" s="136" t="str">
        <x:v>Según requisitos de la herramienta</x:v>
      </x:c>
      <x:c r="O11" s="136" t="str">
        <x:v>Mapa expandido de ideas/subconceptos con priorización de los más relevantes.</x:v>
      </x:c>
      <x:c r="P11" s="136" t="str">
        <x:v>Matriz Lotus Blossom completada y priorizada.</x:v>
      </x:c>
      <x:c r="Q11" s="136" t="str">
        <x:v>Explorar herramienta / iniciar ruta</x:v>
      </x:c>
      <x:c r="R11" s="136" t="str">
        <x:v>Preliminar</x:v>
      </x:c>
      <x:c r="S11" s="136" t="str">
        <x:v>IDEACIÓN - Lotus Blossom.pdf</x:v>
      </x:c>
    </x:row>
    <x:row r="12">
      <x:c r="A12" s="136" t="str">
        <x:v>SRV-008</x:v>
      </x:c>
      <x:c r="B12" s="136" t="str">
        <x:v>Planteamiento del Problema</x:v>
      </x:c>
      <x:c r="C12" s="136" t="str">
        <x:v>Herramienta</x:v>
      </x:c>
      <x:c r="D12" s="136" t="str">
        <x:v>Estructura una problemática a partir del tema, beneficiario, necesidad, contexto y valor esperado.</x:v>
      </x:c>
      <x:c r="E12" s="136" t="str">
        <x:v>Problema, beneficiario o contexto insuficientemente definidos antes de formular una solución.</x:v>
      </x:c>
      <x:c r="F12" s="136" t="str">
        <x:v>B-PRO-003</x:v>
      </x:c>
      <x:c r="G12" s="136" t="str">
        <x:v>IDE-008</x:v>
      </x:c>
      <x:c r="H12" s="136" t="str">
        <x:v>Por validar</x:v>
      </x:c>
      <x:c r="I12" s="136" t="str">
        <x:v>Por validar</x:v>
      </x:c>
      <x:c r="J12" s="136" t="str">
        <x:v>Por validar</x:v>
      </x:c>
      <x:c r="K12" s="136"/>
      <x:c r="L12" s="136" t="str">
        <x:v>Aplicación web / recurso CEDIA</x:v>
      </x:c>
      <x:c r="M12" s="136" t="str">
        <x:v>Por definir</x:v>
      </x:c>
      <x:c r="N12" s="136" t="str">
        <x:v>Según requisitos de la herramienta</x:v>
      </x:c>
      <x:c r="O12" s="136" t="str">
        <x:v>Planteamiento estructurado del problema, beneficiarios, contexto, beneficio deseado e impacto esperado.</x:v>
      </x:c>
      <x:c r="P12" s="136" t="str">
        <x:v>Lienzo de Planteamiento del Problema completado.</x:v>
      </x:c>
      <x:c r="Q12" s="136" t="str">
        <x:v>Explorar herramienta / iniciar ruta</x:v>
      </x:c>
      <x:c r="R12" s="136" t="str">
        <x:v>Preliminar</x:v>
      </x:c>
      <x:c r="S12" s="136" t="str">
        <x:v>IDEACIÓN - Planteamiento del Problema.pdf</x:v>
      </x:c>
    </x:row>
    <x:row r="13">
      <x:c r="A13" s="136" t="str">
        <x:v>SRV-009</x:v>
      </x:c>
      <x:c r="B13" s="136" t="str">
        <x:v>Buyer Persona</x:v>
      </x:c>
      <x:c r="C13" s="136" t="str">
        <x:v>Herramienta</x:v>
      </x:c>
      <x:c r="D13" s="136" t="str">
        <x:v>Representación ficticia y detallada del cliente ideal basada en características demográficas, psicográficas, objetivos, retos y objeciones.</x:v>
      </x:c>
      <x:c r="E13" s="136" t="str">
        <x:v>Cliente ideal o segmento objetivo insuficientemente caracterizado para orientar marketing y ventas.</x:v>
      </x:c>
      <x:c r="F13" s="136" t="str">
        <x:v>B-MER-001</x:v>
      </x:c>
      <x:c r="G13" s="136" t="str">
        <x:v>MKT-001</x:v>
      </x:c>
      <x:c r="H13" s="136" t="str">
        <x:v>Por validar</x:v>
      </x:c>
      <x:c r="I13" s="136" t="str">
        <x:v>Por validar</x:v>
      </x:c>
      <x:c r="J13" s="136" t="str">
        <x:v>Por validar</x:v>
      </x:c>
      <x:c r="K13" s="136"/>
      <x:c r="L13" s="136" t="str">
        <x:v>Aplicación web / recurso CEDIA</x:v>
      </x:c>
      <x:c r="M13" s="136" t="str">
        <x:v>Por definir</x:v>
      </x:c>
      <x:c r="N13" s="136" t="str">
        <x:v>Según requisitos de la herramienta</x:v>
      </x:c>
      <x:c r="O13" s="136" t="str">
        <x:v>Perfil de Buyer Persona completo para un segmento específico.</x:v>
      </x:c>
      <x:c r="P13" s="136" t="str">
        <x:v>Ficha de Buyer Persona completada.</x:v>
      </x:c>
      <x:c r="Q13" s="136" t="str">
        <x:v>Explorar herramienta / iniciar ruta</x:v>
      </x:c>
      <x:c r="R13" s="136" t="str">
        <x:v>Preliminar</x:v>
      </x:c>
      <x:c r="S13" s="136" t="str">
        <x:v>MARKETING - Buyer Persona.pdf</x:v>
      </x:c>
    </x:row>
    <x:row r="14">
      <x:c r="A14" s="136" t="str">
        <x:v>SRV-010</x:v>
      </x:c>
      <x:c r="B14" s="136" t="str">
        <x:v>Círculo de Oro</x:v>
      </x:c>
      <x:c r="C14" s="136" t="str">
        <x:v>Herramienta</x:v>
      </x:c>
      <x:c r="D14" s="136" t="str">
        <x:v>Marco para definir qué hace una organización, cómo lo hace y por qué lo hace.</x:v>
      </x:c>
      <x:c r="E14" s="136" t="str">
        <x:v>Propósito, propuesta diferencial o razón de existir no articulados con claridad.</x:v>
      </x:c>
      <x:c r="F14" s="136" t="str">
        <x:v>B-COM-001</x:v>
      </x:c>
      <x:c r="G14" s="136" t="str">
        <x:v>MKT-002</x:v>
      </x:c>
      <x:c r="H14" s="136" t="str">
        <x:v>Por validar</x:v>
      </x:c>
      <x:c r="I14" s="136" t="str">
        <x:v>Por validar</x:v>
      </x:c>
      <x:c r="J14" s="136" t="str">
        <x:v>Por validar</x:v>
      </x:c>
      <x:c r="K14" s="136"/>
      <x:c r="L14" s="136" t="str">
        <x:v>Aplicación web / recurso CEDIA</x:v>
      </x:c>
      <x:c r="M14" s="136" t="str">
        <x:v>Por definir</x:v>
      </x:c>
      <x:c r="N14" s="136" t="str">
        <x:v>Según requisitos de la herramienta</x:v>
      </x:c>
      <x:c r="O14" s="136" t="str">
        <x:v>Círculo de Oro y declaración de propósito.</x:v>
      </x:c>
      <x:c r="P14" s="136" t="str">
        <x:v>Lienzo de Círculo de Oro completado.</x:v>
      </x:c>
      <x:c r="Q14" s="136" t="str">
        <x:v>Explorar herramienta / iniciar ruta</x:v>
      </x:c>
      <x:c r="R14" s="136" t="str">
        <x:v>Preliminar</x:v>
      </x:c>
      <x:c r="S14" s="136" t="str">
        <x:v>MARKETING - Circulo de Oro.pdf</x:v>
      </x:c>
    </x:row>
    <x:row r="15">
      <x:c r="A15" s="136" t="str">
        <x:v>SRV-011</x:v>
      </x:c>
      <x:c r="B15" s="136" t="str">
        <x:v>FODA</x:v>
      </x:c>
      <x:c r="C15" s="136" t="str">
        <x:v>Herramienta</x:v>
      </x:c>
      <x:c r="D15" s="136" t="str">
        <x:v>Análisis estructurado de fortalezas, debilidades, oportunidades y amenazas de un negocio.</x:v>
      </x:c>
      <x:c r="E15" s="136" t="str">
        <x:v>Situación interna y externa del negocio no estructurada para apoyar decisiones estratégicas.</x:v>
      </x:c>
      <x:c r="F15" s="136" t="str">
        <x:v>B-EST-001</x:v>
      </x:c>
      <x:c r="G15" s="136" t="str">
        <x:v>MKT-003</x:v>
      </x:c>
      <x:c r="H15" s="136" t="str">
        <x:v>Por validar</x:v>
      </x:c>
      <x:c r="I15" s="136" t="str">
        <x:v>Por validar</x:v>
      </x:c>
      <x:c r="J15" s="136" t="str">
        <x:v>Por validar</x:v>
      </x:c>
      <x:c r="K15" s="136"/>
      <x:c r="L15" s="136" t="str">
        <x:v>Aplicación web / recurso CEDIA</x:v>
      </x:c>
      <x:c r="M15" s="136" t="str">
        <x:v>Por definir</x:v>
      </x:c>
      <x:c r="N15" s="136" t="str">
        <x:v>Según requisitos de la herramienta</x:v>
      </x:c>
      <x:c r="O15" s="136" t="str">
        <x:v>Matriz FODA con factores internos y externos.</x:v>
      </x:c>
      <x:c r="P15" s="136" t="str">
        <x:v>Matriz FODA completada.</x:v>
      </x:c>
      <x:c r="Q15" s="136" t="str">
        <x:v>Explorar herramienta / iniciar ruta</x:v>
      </x:c>
      <x:c r="R15" s="136" t="str">
        <x:v>Preliminar</x:v>
      </x:c>
      <x:c r="S15" s="136" t="str">
        <x:v>MARKETING - FODA.pdf</x:v>
      </x:c>
    </x:row>
    <x:row r="16">
      <x:c r="A16" s="136" t="str">
        <x:v>SRV-012</x:v>
      </x:c>
      <x:c r="B16" s="136" t="str">
        <x:v>Mapa de Posicionamiento</x:v>
      </x:c>
      <x:c r="C16" s="136" t="str">
        <x:v>Herramienta</x:v>
      </x:c>
      <x:c r="D16" s="136" t="str">
        <x:v>Mapa perceptual que compara la posición de la propia oferta y competidores en atributos relevantes para los clientes.</x:v>
      </x:c>
      <x:c r="E16" s="136" t="str">
        <x:v>Competidores y posicionamiento relativo de la oferta insuficientemente comprendidos.</x:v>
      </x:c>
      <x:c r="F16" s="136" t="str">
        <x:v>B-POS-001</x:v>
      </x:c>
      <x:c r="G16" s="136" t="str">
        <x:v>MKT-004</x:v>
      </x:c>
      <x:c r="H16" s="136" t="str">
        <x:v>Por validar</x:v>
      </x:c>
      <x:c r="I16" s="136" t="str">
        <x:v>Por validar</x:v>
      </x:c>
      <x:c r="J16" s="136" t="str">
        <x:v>Por validar</x:v>
      </x:c>
      <x:c r="K16" s="136"/>
      <x:c r="L16" s="136" t="str">
        <x:v>Aplicación web / recurso CEDIA</x:v>
      </x:c>
      <x:c r="M16" s="136" t="str">
        <x:v>Por definir</x:v>
      </x:c>
      <x:c r="N16" s="136" t="str">
        <x:v>Según requisitos de la herramienta</x:v>
      </x:c>
      <x:c r="O16" s="136" t="str">
        <x:v>Mapa de posicionamiento de competidores y oferta propia.</x:v>
      </x:c>
      <x:c r="P16" s="136" t="str">
        <x:v>Mapa de Posicionamiento completado con ejes y actores ubicados.</x:v>
      </x:c>
      <x:c r="Q16" s="136" t="str">
        <x:v>Explorar herramienta / iniciar ruta</x:v>
      </x:c>
      <x:c r="R16" s="136" t="str">
        <x:v>Preliminar</x:v>
      </x:c>
      <x:c r="S16" s="136" t="str">
        <x:v>MARKETING - Mapa de Posicionamiento.pdf</x:v>
      </x:c>
    </x:row>
    <x:row r="17">
      <x:c r="A17" s="136" t="str">
        <x:v>SRV-013</x:v>
      </x:c>
      <x:c r="B17" s="136" t="str">
        <x:v>Pitch Canvas</x:v>
      </x:c>
      <x:c r="C17" s="136" t="str">
        <x:v>Herramienta</x:v>
      </x:c>
      <x:c r="D17" s="136" t="str">
        <x:v>Modelo estructurado para presentar de forma clara y concisa los aspectos fundamentales de un proyecto o idea de negocio.</x:v>
      </x:c>
      <x:c r="E17" s="136" t="str">
        <x:v>Narrativa o presentación del proyecto incompleta, dispersa o sin los elementos necesarios para comunicarlo a una audiencia.</x:v>
      </x:c>
      <x:c r="F17" s="136" t="str">
        <x:v>B-COM-002</x:v>
      </x:c>
      <x:c r="G17" s="136" t="str">
        <x:v>MKT-005</x:v>
      </x:c>
      <x:c r="H17" s="136" t="str">
        <x:v>Por validar</x:v>
      </x:c>
      <x:c r="I17" s="136" t="str">
        <x:v>Por validar</x:v>
      </x:c>
      <x:c r="J17" s="136" t="str">
        <x:v>Por validar</x:v>
      </x:c>
      <x:c r="K17" s="136"/>
      <x:c r="L17" s="136" t="str">
        <x:v>Aplicación web / recurso CEDIA</x:v>
      </x:c>
      <x:c r="M17" s="136" t="str">
        <x:v>Por definir</x:v>
      </x:c>
      <x:c r="N17" s="136" t="str">
        <x:v>Según requisitos de la herramienta</x:v>
      </x:c>
      <x:c r="O17" s="136" t="str">
        <x:v>Pitch estructurado del proyecto.</x:v>
      </x:c>
      <x:c r="P17" s="136" t="str">
        <x:v>Pitch Canvas completado.</x:v>
      </x:c>
      <x:c r="Q17" s="136" t="str">
        <x:v>Explorar herramienta / iniciar ruta</x:v>
      </x:c>
      <x:c r="R17" s="136" t="str">
        <x:v>Preliminar</x:v>
      </x:c>
      <x:c r="S17" s="136" t="str">
        <x:v>MARKETING - Pitch Canvas.pdf</x:v>
      </x:c>
    </x:row>
    <x:row r="18">
      <x:c r="A18" s="136" t="str">
        <x:v>SRV-014</x:v>
      </x:c>
      <x:c r="B18" s="136" t="str">
        <x:v>Business Model Canvas</x:v>
      </x:c>
      <x:c r="C18" s="136" t="str">
        <x:v>Herramienta</x:v>
      </x:c>
      <x:c r="D18" s="136" t="str">
        <x:v>Lienzo que permite visualizar de forma integral los nueve elementos clave de un modelo de negocio y analizar sus relaciones.</x:v>
      </x:c>
      <x:c r="E18" s="136" t="str">
        <x:v>Modelo de negocio incompleto, poco estructurado o sin claridad sobre cómo se conectan clientes, valor, operación, ingresos y costos.</x:v>
      </x:c>
      <x:c r="F18" s="136" t="str">
        <x:v>B-NEG-001</x:v>
      </x:c>
      <x:c r="G18" s="136" t="str">
        <x:v>NEG-001</x:v>
      </x:c>
      <x:c r="H18" s="136" t="str">
        <x:v>Por validar</x:v>
      </x:c>
      <x:c r="I18" s="136" t="str">
        <x:v>Por validar</x:v>
      </x:c>
      <x:c r="J18" s="136" t="str">
        <x:v>Por validar</x:v>
      </x:c>
      <x:c r="K18" s="136"/>
      <x:c r="L18" s="136" t="str">
        <x:v>Aplicación web / recurso CEDIA</x:v>
      </x:c>
      <x:c r="M18" s="136" t="str">
        <x:v>Por definir</x:v>
      </x:c>
      <x:c r="N18" s="136" t="str">
        <x:v>Según requisitos de la herramienta</x:v>
      </x:c>
      <x:c r="O18" s="136" t="str">
        <x:v>Business Model Canvas integrado con los nueve bloques del modelo de negocio.</x:v>
      </x:c>
      <x:c r="P18" s="136" t="str">
        <x:v>Business Model Canvas completado.</x:v>
      </x:c>
      <x:c r="Q18" s="136" t="str">
        <x:v>Explorar herramienta / iniciar ruta</x:v>
      </x:c>
      <x:c r="R18" s="136" t="str">
        <x:v>Preliminar</x:v>
      </x:c>
      <x:c r="S18" s="136" t="str">
        <x:v>MODELO DE NEGOCIO - Busines Model Canvas.pdf</x:v>
      </x:c>
    </x:row>
    <x:row r="19">
      <x:c r="A19" s="136" t="str">
        <x:v>SRV-015</x:v>
      </x:c>
      <x:c r="B19" s="136" t="str">
        <x:v>Lienzo de Propuesta de Valor</x:v>
      </x:c>
      <x:c r="C19" s="136" t="str">
        <x:v>Herramienta</x:v>
      </x:c>
      <x:c r="D19" s="136" t="str">
        <x:v>Lienzo que relaciona el perfil del cliente con una propuesta de valor mediante trabajos, frustraciones, motivaciones, productos/servicios, aliviadores y creadores de valor.</x:v>
      </x:c>
      <x:c r="E19" s="136" t="str">
        <x:v>Propuesta de valor no alineada de forma suficiente con los trabajos, frustraciones y motivaciones de un segmento específico.</x:v>
      </x:c>
      <x:c r="F19" s="136" t="str">
        <x:v>B-VAL-001</x:v>
      </x:c>
      <x:c r="G19" s="136" t="str">
        <x:v>NEG-002</x:v>
      </x:c>
      <x:c r="H19" s="136" t="str">
        <x:v>Por validar</x:v>
      </x:c>
      <x:c r="I19" s="136" t="str">
        <x:v>Por validar</x:v>
      </x:c>
      <x:c r="J19" s="136" t="str">
        <x:v>Por validar</x:v>
      </x:c>
      <x:c r="K19" s="136"/>
      <x:c r="L19" s="136" t="str">
        <x:v>Aplicación web / recurso CEDIA</x:v>
      </x:c>
      <x:c r="M19" s="136" t="str">
        <x:v>Por definir</x:v>
      </x:c>
      <x:c r="N19" s="136" t="str">
        <x:v>Según requisitos de la herramienta</x:v>
      </x:c>
      <x:c r="O19" s="136" t="str">
        <x:v>Lienzo de Propuesta de Valor con perfil del cliente y mapa de valor relacionados.</x:v>
      </x:c>
      <x:c r="P19" s="136" t="str">
        <x:v>Lienzo de Propuesta de Valor completado.</x:v>
      </x:c>
      <x:c r="Q19" s="136" t="str">
        <x:v>Explorar herramienta / iniciar ruta</x:v>
      </x:c>
      <x:c r="R19" s="136" t="str">
        <x:v>Preliminar</x:v>
      </x:c>
      <x:c r="S19" s="136" t="str">
        <x:v>MODELO DE NEGOCIO - Lienzo de Propuesta de Valor.pdf</x:v>
      </x:c>
    </x:row>
    <x:row r="20">
      <x:c r="A20" s="136" t="str">
        <x:v>SRV-016</x:v>
      </x:c>
      <x:c r="B20" s="136" t="str">
        <x:v>Job To Be Done</x:v>
      </x:c>
      <x:c r="C20" s="136" t="str">
        <x:v>Herramienta</x:v>
      </x:c>
      <x:c r="D20" s="136" t="str">
        <x:v>Marco para identificar y priorizar los trabajos funcionales, emocionales y sociales que el cliente desea realizar.</x:v>
      </x:c>
      <x:c r="E20" s="136" t="str">
        <x:v>Trabajos, necesidades y prioridades del cliente insuficientemente definidos.</x:v>
      </x:c>
      <x:c r="F20" s="136" t="str">
        <x:v>B-USR-001</x:v>
      </x:c>
      <x:c r="G20" s="136" t="str">
        <x:v>PRO-001</x:v>
      </x:c>
      <x:c r="H20" s="136" t="str">
        <x:v>Por validar</x:v>
      </x:c>
      <x:c r="I20" s="136" t="str">
        <x:v>Por validar</x:v>
      </x:c>
      <x:c r="J20" s="136" t="str">
        <x:v>Por validar</x:v>
      </x:c>
      <x:c r="K20" s="136"/>
      <x:c r="L20" s="136" t="str">
        <x:v>Aplicación web / recurso CEDIA</x:v>
      </x:c>
      <x:c r="M20" s="136" t="str">
        <x:v>Por definir</x:v>
      </x:c>
      <x:c r="N20" s="136" t="str">
        <x:v>Según requisitos de la herramienta</x:v>
      </x:c>
      <x:c r="O20" s="136" t="str">
        <x:v>Jobs priorizados, perfil «Soy/Necesito/Para» y boceto preliminar de solución.</x:v>
      </x:c>
      <x:c r="P20" s="136" t="str">
        <x:v>Lienzo Job To Be Done completado.</x:v>
      </x:c>
      <x:c r="Q20" s="136" t="str">
        <x:v>Explorar herramienta / iniciar ruta</x:v>
      </x:c>
      <x:c r="R20" s="136" t="str">
        <x:v>Preliminar</x:v>
      </x:c>
      <x:c r="S20" s="136" t="str">
        <x:v>PROTOTIPADO - Job To Be Donde.pdf</x:v>
      </x:c>
    </x:row>
    <x:row r="21">
      <x:c r="A21" s="136" t="str">
        <x:v>SRV-017</x:v>
      </x:c>
      <x:c r="B21" s="136" t="str">
        <x:v>Mapa de Empatía</x:v>
      </x:c>
      <x:c r="C21" s="136" t="str">
        <x:v>Herramienta</x:v>
      </x:c>
      <x:c r="D21" s="136" t="str">
        <x:v>Herramienta para comprender de manera profunda lo que el cliente piensa, siente, ve, dice, hace, escucha, teme y desea.</x:v>
      </x:c>
      <x:c r="E21" s="136" t="str">
        <x:v>Comprensión insuficiente de motivaciones, frustraciones, comportamiento y contexto del cliente.</x:v>
      </x:c>
      <x:c r="F21" s="136" t="str">
        <x:v>B-USR-002</x:v>
      </x:c>
      <x:c r="G21" s="136" t="str">
        <x:v>PRO-002</x:v>
      </x:c>
      <x:c r="H21" s="136" t="str">
        <x:v>Por validar</x:v>
      </x:c>
      <x:c r="I21" s="136" t="str">
        <x:v>Por validar</x:v>
      </x:c>
      <x:c r="J21" s="136" t="str">
        <x:v>Por validar</x:v>
      </x:c>
      <x:c r="K21" s="136"/>
      <x:c r="L21" s="136" t="str">
        <x:v>Aplicación web / recurso CEDIA</x:v>
      </x:c>
      <x:c r="M21" s="136" t="str">
        <x:v>Por definir</x:v>
      </x:c>
      <x:c r="N21" s="136" t="str">
        <x:v>Según requisitos de la herramienta</x:v>
      </x:c>
      <x:c r="O21" s="136" t="str">
        <x:v>Mapa de Empatía del segmento objetivo.</x:v>
      </x:c>
      <x:c r="P21" s="136" t="str">
        <x:v>Mapa de Empatía completado.</x:v>
      </x:c>
      <x:c r="Q21" s="136" t="str">
        <x:v>Explorar herramienta / iniciar ruta</x:v>
      </x:c>
      <x:c r="R21" s="136" t="str">
        <x:v>Preliminar</x:v>
      </x:c>
      <x:c r="S21" s="136" t="str">
        <x:v>PROTOTIPADO - Mapa de Empatía.pdf</x:v>
      </x:c>
    </x:row>
    <x:row r="22">
      <x:c r="A22" s="136" t="str">
        <x:v>SRV-018</x:v>
      </x:c>
      <x:c r="B22" s="136" t="str">
        <x:v>¿Qué debe hacer mi solución?</x:v>
      </x:c>
      <x:c r="C22" s="136" t="str">
        <x:v>Herramienta</x:v>
      </x:c>
      <x:c r="D22" s="136" t="str">
        <x:v>Herramienta para definir qué trabajo debe resolver la solución y traducir necesidades del cliente en atributos funcionales y emocionales.</x:v>
      </x:c>
      <x:c r="E22" s="136" t="str">
        <x:v>Atributos de la solución no alineados con el trabajo, necesidades o alternativas actuales del cliente.</x:v>
      </x:c>
      <x:c r="F22" s="136" t="str">
        <x:v>B-SOL-001</x:v>
      </x:c>
      <x:c r="G22" s="136" t="str">
        <x:v>PRO-003</x:v>
      </x:c>
      <x:c r="H22" s="136" t="str">
        <x:v>Por validar</x:v>
      </x:c>
      <x:c r="I22" s="136" t="str">
        <x:v>Por validar</x:v>
      </x:c>
      <x:c r="J22" s="136" t="str">
        <x:v>Por validar</x:v>
      </x:c>
      <x:c r="K22" s="136"/>
      <x:c r="L22" s="136" t="str">
        <x:v>Aplicación web / recurso CEDIA</x:v>
      </x:c>
      <x:c r="M22" s="136" t="str">
        <x:v>Por definir</x:v>
      </x:c>
      <x:c r="N22" s="136" t="str">
        <x:v>Según requisitos de la herramienta</x:v>
      </x:c>
      <x:c r="O22" s="136" t="str">
        <x:v>Definición estructurada del trabajo, atributos funcionales/emocionales, necesidades y soluciones actuales.</x:v>
      </x:c>
      <x:c r="P22" s="136" t="str">
        <x:v>Lienzo «¿Qué debe hacer mi solución?» completado.</x:v>
      </x:c>
      <x:c r="Q22" s="136" t="str">
        <x:v>Explorar herramienta / iniciar ruta</x:v>
      </x:c>
      <x:c r="R22" s="136" t="str">
        <x:v>Preliminar</x:v>
      </x:c>
      <x:c r="S22" s="136" t="str">
        <x:v>PROTOTIPADO - Que debe hacer mi solución.docx.pdf</x:v>
      </x:c>
    </x:row>
    <x:row r="23">
      <x:c r="A23" s="136" t="str">
        <x:v>SRV-019</x:v>
      </x:c>
      <x:c r="B23" s="136" t="str">
        <x:v>Requisitos de Solución</x:v>
      </x:c>
      <x:c r="C23" s="136" t="str">
        <x:v>Herramienta</x:v>
      </x:c>
      <x:c r="D23" s="136" t="str">
        <x:v>Marco para especificar requisitos funcionales, tecnológicos/constructivos y expresivos de un producto o servicio.</x:v>
      </x:c>
      <x:c r="E23" s="136" t="str">
        <x:v>Requisitos funcionales, tecnológicos y expresivos insuficientemente especificados.</x:v>
      </x:c>
      <x:c r="F23" s="136" t="str">
        <x:v>B-SOL-002</x:v>
      </x:c>
      <x:c r="G23" s="136" t="str">
        <x:v>PRO-004</x:v>
      </x:c>
      <x:c r="H23" s="136" t="str">
        <x:v>Por validar</x:v>
      </x:c>
      <x:c r="I23" s="136" t="str">
        <x:v>Por validar</x:v>
      </x:c>
      <x:c r="J23" s="136" t="str">
        <x:v>Por validar</x:v>
      </x:c>
      <x:c r="K23" s="136"/>
      <x:c r="L23" s="136" t="str">
        <x:v>Aplicación web / recurso CEDIA</x:v>
      </x:c>
      <x:c r="M23" s="136" t="str">
        <x:v>Por definir</x:v>
      </x:c>
      <x:c r="N23" s="136" t="str">
        <x:v>Según requisitos de la herramienta</x:v>
      </x:c>
      <x:c r="O23" s="136" t="str">
        <x:v>Conjunto estructurado de requisitos funcionales, tecnológicos y expresivos.</x:v>
      </x:c>
      <x:c r="P23" s="136" t="str">
        <x:v>Matriz/listado de Requisitos de Solución completado.</x:v>
      </x:c>
      <x:c r="Q23" s="136" t="str">
        <x:v>Explorar herramienta / iniciar ruta</x:v>
      </x:c>
      <x:c r="R23" s="136" t="str">
        <x:v>Preliminar</x:v>
      </x:c>
      <x:c r="S23" s="136" t="str">
        <x:v>PROTOTIPADO - Requisitos de Solución.pdf</x:v>
      </x:c>
    </x:row>
    <x:row r="24">
      <x:c r="A24" s="136" t="str">
        <x:v>SRV-020</x:v>
      </x:c>
      <x:c r="B24" s="136" t="str">
        <x:v>Storyboard</x:v>
      </x:c>
      <x:c r="C24" s="136" t="str">
        <x:v>Herramienta</x:v>
      </x:c>
      <x:c r="D24" s="136" t="str">
        <x:v>Prototipo visual secuencial que representa la interacción del usuario con un producto o servicio.</x:v>
      </x:c>
      <x:c r="E24" s="136" t="str">
        <x:v>Interacción o experiencia del usuario no visualizada, dificultando detectar fricciones y mejoras del prototipo.</x:v>
      </x:c>
      <x:c r="F24" s="136" t="str">
        <x:v>B-PROTO-001</x:v>
      </x:c>
      <x:c r="G24" s="136" t="str">
        <x:v>PRO-005</x:v>
      </x:c>
      <x:c r="H24" s="136" t="str">
        <x:v>Por validar</x:v>
      </x:c>
      <x:c r="I24" s="136" t="str">
        <x:v>Por validar</x:v>
      </x:c>
      <x:c r="J24" s="136" t="str">
        <x:v>Por validar</x:v>
      </x:c>
      <x:c r="K24" s="136"/>
      <x:c r="L24" s="136" t="str">
        <x:v>Aplicación web / recurso CEDIA</x:v>
      </x:c>
      <x:c r="M24" s="136" t="str">
        <x:v>Por definir</x:v>
      </x:c>
      <x:c r="N24" s="136" t="str">
        <x:v>Según requisitos de la herramienta</x:v>
      </x:c>
      <x:c r="O24" s="136" t="str">
        <x:v>Storyboard de ocho frames de la experiencia/interacción del usuario.</x:v>
      </x:c>
      <x:c r="P24" s="136" t="str">
        <x:v>Storyboard completado con viñetas, descripciones y observaciones.</x:v>
      </x:c>
      <x:c r="Q24" s="136" t="str">
        <x:v>Explorar herramienta / iniciar ruta</x:v>
      </x:c>
      <x:c r="R24" s="136" t="str">
        <x:v>Preliminar</x:v>
      </x:c>
      <x:c r="S24" s="136" t="str">
        <x:v>PROTOTIPADO - Storyboard.pdf</x:v>
      </x:c>
    </x:row>
    <x:row r="25">
      <x:c r="A25" s="136" t="str">
        <x:v>SRV-021</x:v>
      </x:c>
      <x:c r="B25" s="136" t="str">
        <x:v>Tres Lupas</x:v>
      </x:c>
      <x:c r="C25" s="136" t="str">
        <x:v>Herramienta</x:v>
      </x:c>
      <x:c r="D25" s="136" t="str">
        <x:v>Evaluación de una idea desde tres perspectivas: deseabilidad del mercado, factibilidad técnica y viabilidad económica.</x:v>
      </x:c>
      <x:c r="E25" s="136" t="str">
        <x:v>Potencial de una idea no evaluado de forma conjunta en mercado, técnica y economía.</x:v>
      </x:c>
      <x:c r="F25" s="136" t="str">
        <x:v>B-VIA-001</x:v>
      </x:c>
      <x:c r="G25" s="136" t="str">
        <x:v>PRO-006</x:v>
      </x:c>
      <x:c r="H25" s="136" t="str">
        <x:v>Por validar</x:v>
      </x:c>
      <x:c r="I25" s="136" t="str">
        <x:v>Por validar</x:v>
      </x:c>
      <x:c r="J25" s="136" t="str">
        <x:v>Por validar</x:v>
      </x:c>
      <x:c r="K25" s="136"/>
      <x:c r="L25" s="136" t="str">
        <x:v>Aplicación web / recurso CEDIA</x:v>
      </x:c>
      <x:c r="M25" s="136" t="str">
        <x:v>Por definir</x:v>
      </x:c>
      <x:c r="N25" s="136" t="str">
        <x:v>Según requisitos de la herramienta</x:v>
      </x:c>
      <x:c r="O25" s="136" t="str">
        <x:v>Evaluación integrada de deseabilidad, factibilidad técnica y viabilidad económica.</x:v>
      </x:c>
      <x:c r="P25" s="136" t="str">
        <x:v>Lienzo Tres Lupas completado con análisis de las tres perspectivas.</x:v>
      </x:c>
      <x:c r="Q25" s="136" t="str">
        <x:v>Explorar herramienta / iniciar ruta</x:v>
      </x:c>
      <x:c r="R25" s="136" t="str">
        <x:v>Preliminar</x:v>
      </x:c>
      <x:c r="S25" s="136" t="str">
        <x:v>PROTOTIPADO - Tres Lupas.pdf</x:v>
      </x:c>
    </x:row>
    <x:row r="26">
      <x:c r="A26" s="136" t="str">
        <x:v>SRV-022</x:v>
      </x:c>
      <x:c r="B26" s="136" t="str">
        <x:v>Servucción</x:v>
      </x:c>
      <x:c r="C26" s="136" t="str">
        <x:v>Herramienta</x:v>
      </x:c>
      <x:c r="D26" s="136" t="str">
        <x:v>Herramienta para analizar y estructurar la producción de un servicio mediante modelo molecular, momentos de verdad y componentes del servicio.</x:v>
      </x:c>
      <x:c r="E26" s="136" t="str">
        <x:v>Servicio no estructurado integralmente en su oferta, puntos de contacto, prestadores, entorno y sistema de entrega.</x:v>
      </x:c>
      <x:c r="F26" s="136" t="str">
        <x:v>B-SER-001</x:v>
      </x:c>
      <x:c r="G26" s="136" t="str">
        <x:v>SER-001</x:v>
      </x:c>
      <x:c r="H26" s="136" t="str">
        <x:v>Por validar</x:v>
      </x:c>
      <x:c r="I26" s="136" t="str">
        <x:v>Por validar</x:v>
      </x:c>
      <x:c r="J26" s="136" t="str">
        <x:v>Por validar</x:v>
      </x:c>
      <x:c r="K26" s="136"/>
      <x:c r="L26" s="136" t="str">
        <x:v>Aplicación web / recurso CEDIA</x:v>
      </x:c>
      <x:c r="M26" s="136" t="str">
        <x:v>Por definir</x:v>
      </x:c>
      <x:c r="N26" s="136" t="str">
        <x:v>Según requisitos de la herramienta</x:v>
      </x:c>
      <x:c r="O26" s="136" t="str">
        <x:v>Modelo estructurado de servucción con oferta de servicios, momentos de verdad y componentes de prestación.</x:v>
      </x:c>
      <x:c r="P26" s="136" t="str">
        <x:v>Modelo de Servucción completado.</x:v>
      </x:c>
      <x:c r="Q26" s="136" t="str">
        <x:v>Explorar herramienta / iniciar ruta</x:v>
      </x:c>
      <x:c r="R26" s="136" t="str">
        <x:v>Preliminar</x:v>
      </x:c>
      <x:c r="S26" s="136" t="str">
        <x:v>SERVUCCIÓN - servucción.pdf</x:v>
      </x:c>
    </x:row>
    <x:row r="27">
      <x:c r="A27" s="136" t="str">
        <x:v>SRV-023</x:v>
      </x:c>
      <x:c r="B27" s="136" t="str">
        <x:v>Componentes de Tendencias</x:v>
      </x:c>
      <x:c r="C27" s="136" t="str">
        <x:v>Herramienta</x:v>
      </x:c>
      <x:c r="D27" s="136" t="str">
        <x:v>Herramienta de análisis que cruza tres tendencias relevantes para identificar patrones comunes y posibles áreas de innovación.</x:v>
      </x:c>
      <x:c r="E27" s="136" t="str">
        <x:v>Oportunidades de innovación poco claras al no relacionar tendencias relevantes con capacidades técnicas, demanda y sostenibilidad futura.</x:v>
      </x:c>
      <x:c r="F27" s="136" t="str">
        <x:v>B-TEN-001</x:v>
      </x:c>
      <x:c r="G27" s="136" t="str">
        <x:v>TEN-001</x:v>
      </x:c>
      <x:c r="H27" s="136" t="str">
        <x:v>Por validar</x:v>
      </x:c>
      <x:c r="I27" s="136" t="str">
        <x:v>Por validar</x:v>
      </x:c>
      <x:c r="J27" s="136" t="str">
        <x:v>Por validar</x:v>
      </x:c>
      <x:c r="K27" s="136"/>
      <x:c r="L27" s="136" t="str">
        <x:v>Aplicación web / recurso CEDIA</x:v>
      </x:c>
      <x:c r="M27" s="136" t="str">
        <x:v>Por definir</x:v>
      </x:c>
      <x:c r="N27" s="136" t="str">
        <x:v>Según requisitos de la herramienta</x:v>
      </x:c>
      <x:c r="O27" s="136" t="str">
        <x:v>Mapa de tres tendencias con patrones comunes y áreas potenciales de innovación.</x:v>
      </x:c>
      <x:c r="P27" s="136" t="str">
        <x:v>Mapa de intersección de tendencias y patrones completado.</x:v>
      </x:c>
      <x:c r="Q27" s="136" t="str">
        <x:v>Explorar herramienta / iniciar ruta</x:v>
      </x:c>
      <x:c r="R27" s="136" t="str">
        <x:v>Preliminar</x:v>
      </x:c>
      <x:c r="S27" s="136" t="str">
        <x:v>TENDENCIAS - Componentes de Tendencias.pdf</x:v>
      </x:c>
    </x:row>
    <x:row r="28">
      <x:c r="A28" s="136" t="str">
        <x:v>SRV-024</x:v>
      </x:c>
      <x:c r="B28" s="136" t="str">
        <x:v>Future Compass</x:v>
      </x:c>
      <x:c r="C28" s="136" t="str">
        <x:v>Herramienta</x:v>
      </x:c>
      <x:c r="D28" s="136" t="str">
        <x:v>Herramienta para comprender un problema desde sus causas, efectos, actores, testimonios y contexto espacio-temporal, incluyendo reformulaciones del problema.</x:v>
      </x:c>
      <x:c r="E28" s="136" t="str">
        <x:v>Problema analizado de manera parcial, sin suficiente comprensión de causas, efectos, actores, contexto o experiencias directas.</x:v>
      </x:c>
      <x:c r="F28" s="136" t="str">
        <x:v>B-ENT-001</x:v>
      </x:c>
      <x:c r="G28" s="136" t="str">
        <x:v>TEN-002</x:v>
      </x:c>
      <x:c r="H28" s="136" t="str">
        <x:v>Por validar</x:v>
      </x:c>
      <x:c r="I28" s="136" t="str">
        <x:v>Por validar</x:v>
      </x:c>
      <x:c r="J28" s="136" t="str">
        <x:v>Por validar</x:v>
      </x:c>
      <x:c r="K28" s="136"/>
      <x:c r="L28" s="136" t="str">
        <x:v>Aplicación web / recurso CEDIA</x:v>
      </x:c>
      <x:c r="M28" s="136" t="str">
        <x:v>Por definir</x:v>
      </x:c>
      <x:c r="N28" s="136" t="str">
        <x:v>Según requisitos de la herramienta</x:v>
      </x:c>
      <x:c r="O28" s="136" t="str">
        <x:v>Future Compass con definición/reformulación del problema, causas, efectos, contexto, actores y testimonios.</x:v>
      </x:c>
      <x:c r="P28" s="136" t="str">
        <x:v>Future Compass completado.</x:v>
      </x:c>
      <x:c r="Q28" s="136" t="str">
        <x:v>Explorar herramienta / iniciar ruta</x:v>
      </x:c>
      <x:c r="R28" s="136" t="str">
        <x:v>Preliminar</x:v>
      </x:c>
      <x:c r="S28" s="136" t="str">
        <x:v>TENDENCIAS - Future Compass.pdf</x:v>
      </x:c>
    </x:row>
    <x:row r="29">
      <x:c r="A29" s="136" t="str">
        <x:v>SRV-025</x:v>
      </x:c>
      <x:c r="B29" s="136" t="str">
        <x:v>Mapa de Tendencias</x:v>
      </x:c>
      <x:c r="C29" s="136" t="str">
        <x:v>Herramienta</x:v>
      </x:c>
      <x:c r="D29" s="136" t="str">
        <x:v>Mapa para interpretar líneas de tendencia, convergencias y posibles impactos futuros sobre un sector u organización.</x:v>
      </x:c>
      <x:c r="E29" s="136" t="str">
        <x:v>Falta de visión estructurada sobre tendencias emergentes, convergencias y su posible impacto en el sector o en futuros productos y servicios.</x:v>
      </x:c>
      <x:c r="F29" s="136" t="str">
        <x:v>B-TEN-002</x:v>
      </x:c>
      <x:c r="G29" s="136" t="str">
        <x:v>TEN-003</x:v>
      </x:c>
      <x:c r="H29" s="136" t="str">
        <x:v>Por validar</x:v>
      </x:c>
      <x:c r="I29" s="136" t="str">
        <x:v>Por validar</x:v>
      </x:c>
      <x:c r="J29" s="136" t="str">
        <x:v>Por validar</x:v>
      </x:c>
      <x:c r="K29" s="136"/>
      <x:c r="L29" s="136" t="str">
        <x:v>Aplicación web / recurso CEDIA</x:v>
      </x:c>
      <x:c r="M29" s="136" t="str">
        <x:v>Por definir</x:v>
      </x:c>
      <x:c r="N29" s="136" t="str">
        <x:v>Según requisitos de la herramienta</x:v>
      </x:c>
      <x:c r="O29" s="136" t="str">
        <x:v>Mapa interpretado de tendencias, patrones y convergencias relevantes para el proyecto u organización.</x:v>
      </x:c>
      <x:c r="P29" s="136" t="str">
        <x:v>Mapa de Tendencias analizado y documentado.</x:v>
      </x:c>
      <x:c r="Q29" s="136" t="str">
        <x:v>Explorar herramienta / iniciar ruta</x:v>
      </x:c>
      <x:c r="R29" s="136" t="str">
        <x:v>Preliminar</x:v>
      </x:c>
      <x:c r="S29" s="136" t="str">
        <x:v>TENDENCIAS - Mapa de Tendencias.pdf</x:v>
      </x:c>
    </x:row>
    <x:row r="30">
      <x:c r="A30" s="182" t="str">
        <x:v>SRV-026</x:v>
      </x:c>
      <x:c r="B30" s="182" t="str">
        <x:v>Trend Canvas</x:v>
      </x:c>
      <x:c r="C30" s="182" t="str">
        <x:v>Herramienta</x:v>
      </x:c>
      <x:c r="D30" s="182" t="str">
        <x:v>Lienzo que analiza una tendencia de consumo y la traduce en oportunidades de innovación, segmentos y conceptos de producto o servicio.</x:v>
      </x:c>
      <x:c r="E30" s="182" t="str">
        <x:v>Tendencias identificadas pero no traducidas en necesidades de consumidor, oportunidades, segmentos o conceptos aplicables al proyecto.</x:v>
      </x:c>
      <x:c r="F30" s="182" t="str">
        <x:v>B-TEN-003</x:v>
      </x:c>
      <x:c r="G30" s="182" t="str">
        <x:v>TEN-004</x:v>
      </x:c>
      <x:c r="H30" s="182" t="str">
        <x:v>Por validar</x:v>
      </x:c>
      <x:c r="I30" s="182" t="str">
        <x:v>Por validar</x:v>
      </x:c>
      <x:c r="J30" s="182" t="str">
        <x:v>Por validar</x:v>
      </x:c>
      <x:c r="K30" s="182"/>
      <x:c r="L30" s="182" t="str">
        <x:v>Aplicación web / recurso CEDIA</x:v>
      </x:c>
      <x:c r="M30" s="182" t="str">
        <x:v>Por definir</x:v>
      </x:c>
      <x:c r="N30" s="182" t="str">
        <x:v>Según requisitos de la herramienta</x:v>
      </x:c>
      <x:c r="O30" s="182" t="str">
        <x:v>Trend Canvas con análisis de la tendencia y concepto inicial de innovación aplicable al proyecto.</x:v>
      </x:c>
      <x:c r="P30" s="182" t="str">
        <x:v>Trend Canvas completado.</x:v>
      </x:c>
      <x:c r="Q30" s="182" t="str">
        <x:v>Explorar herramienta / iniciar ruta</x:v>
      </x:c>
      <x:c r="R30" s="182" t="str">
        <x:v>Preliminar</x:v>
      </x:c>
      <x:c r="S30" s="182" t="str">
        <x:v>TENDENCIAS - Trend Canvas.pdf</x:v>
      </x:c>
    </x:row>
    <x:row r="31">
      <x:c r="A31" s="408" t="str">
        <x:v>SRV-027</x:v>
      </x:c>
      <x:c r="B31" s="408" t="str">
        <x:v>Mapa de Supuestos e Hipótesis Críticas</x:v>
      </x:c>
      <x:c r="C31" s="408" t="str">
        <x:v>Herramienta propuesta</x:v>
      </x:c>
      <x:c r="D31" s="408" t="str">
        <x:v>Herramienta para hacer explícitos los supuestos de una idea y priorizar las hipótesis más críticas según su importancia y la evidencia disponible.</x:v>
      </x:c>
      <x:c r="E31" s="408" t="str">
        <x:v>Decisiones basadas en supuestos no explicitados, con incertidumbres críticas sin priorizar ni evidencia suficiente.</x:v>
      </x:c>
      <x:c r="F31" s="408" t="str">
        <x:v>B-HIP-001</x:v>
      </x:c>
      <x:c r="G31" s="408" t="str">
        <x:v>VAL-001</x:v>
      </x:c>
      <x:c r="H31" s="408" t="str">
        <x:v>Transversal; organiza incertidumbre y evidencia, pero no determina un TRL por sí sola. | Transversal; puede revelar riesgos de mercado y modelo de negocio sin sustituir el CRL.</x:v>
      </x:c>
      <x:c r="I31" s="408" t="str">
        <x:v>Autogestión asistida / taller</x:v>
      </x:c>
      <x:c r="J31" s="408" t="str">
        <x:v>Investigadores / equipos de innovación / OTRI según herramienta</x:v>
      </x:c>
      <x:c r="K31" s="408"/>
      <x:c r="L31" s="408" t="str">
        <x:v>Aplicación web / recurso Ruta CEDIA</x:v>
      </x:c>
      <x:c r="M31" s="408" t="str">
        <x:v>Por definir</x:v>
      </x:c>
      <x:c r="N31" s="408" t="str">
        <x:v>Idea, propuesta, modelo o decisión preliminar; supuestos iniciales y cualquier evidencia ya disponible.</x:v>
      </x:c>
      <x:c r="O31" s="408" t="str">
        <x:v>Mapa priorizado de hipótesis críticas listo para orientar experimentos y búsqueda de evidencia.</x:v>
      </x:c>
      <x:c r="P31" s="408" t="str">
        <x:v>Mapa de hipótesis críticas priorizadas</x:v>
      </x:c>
      <x:c r="Q31" s="408" t="str">
        <x:v>Explorar herramienta / iniciar ruta</x:v>
      </x:c>
      <x:c r="R31" s="408" t="str">
        <x:v>Propuesta sustentada externamente — validar CEDIA</x:v>
      </x:c>
      <x:c r="S31" s="408" t="str">
        <x:v>https://www.strategyzer.com/programs/assumptions-mapping-prepare-to-test-your-business-idea-part-1</x:v>
      </x:c>
    </x:row>
    <x:row r="32">
      <x:c r="A32" s="408" t="str">
        <x:v>SRV-028</x:v>
      </x:c>
      <x:c r="B32" s="408" t="str">
        <x:v>Tarjeta de Experimento (Test Card)</x:v>
      </x:c>
      <x:c r="C32" s="408" t="str">
        <x:v>Herramienta propuesta</x:v>
      </x:c>
      <x:c r="D32" s="408" t="str">
        <x:v>Plantilla para diseñar una prueba explícita de una hipótesis definiendo experimento, métrica y umbral de éxito.</x:v>
      </x:c>
      <x:c r="E32" s="408" t="str">
        <x:v>Pruebas improvisadas que no especifican qué se está validando, cómo se medirá ni qué resultado se considerará suficiente.</x:v>
      </x:c>
      <x:c r="F32" s="408" t="str">
        <x:v>B-VAL-002</x:v>
      </x:c>
      <x:c r="G32" s="408" t="str">
        <x:v>VAL-002</x:v>
      </x:c>
      <x:c r="H32" s="408" t="str">
        <x:v>Puede generar evidencia útil para TRL si la hipótesis es técnica; no asigna TRL automáticamente. | Puede generar evidencia comercial si la hipótesis es de cliente/mercado; no sustituye CRL.</x:v>
      </x:c>
      <x:c r="I32" s="408" t="str">
        <x:v>Autogestión asistida / IA / taller</x:v>
      </x:c>
      <x:c r="J32" s="408" t="str">
        <x:v>Investigadores / equipos de innovación / OTRI según herramienta</x:v>
      </x:c>
      <x:c r="K32" s="408"/>
      <x:c r="L32" s="408" t="str">
        <x:v>Aplicación web / recurso Ruta CEDIA</x:v>
      </x:c>
      <x:c r="M32" s="408" t="str">
        <x:v>Por definir</x:v>
      </x:c>
      <x:c r="N32" s="408" t="str">
        <x:v>Hipótesis crítica formulada de forma testable, objetivo de aprendizaje y contexto del proyecto.</x:v>
      </x:c>
      <x:c r="O32" s="408" t="str">
        <x:v>Diseño de experimento listo para ejecución con hipótesis, método, métrica y umbral.</x:v>
      </x:c>
      <x:c r="P32" s="408" t="str">
        <x:v>Tarjeta de Experimento</x:v>
      </x:c>
      <x:c r="Q32" s="408" t="str">
        <x:v>Explorar herramienta / iniciar ruta</x:v>
      </x:c>
      <x:c r="R32" s="408" t="str">
        <x:v>Propuesta sustentada externamente — validar CEDIA</x:v>
      </x:c>
      <x:c r="S32" s="408" t="str">
        <x:v>https://www.strategyzer.com/library/validate-your-ideas-with-the-test-card</x:v>
      </x:c>
    </x:row>
    <x:row r="33">
      <x:c r="A33" s="408" t="str">
        <x:v>SRV-029</x:v>
      </x:c>
      <x:c r="B33" s="408" t="str">
        <x:v>Tarjeta de Aprendizaje (Learning Card)</x:v>
      </x:c>
      <x:c r="C33" s="408" t="str">
        <x:v>Herramienta propuesta</x:v>
      </x:c>
      <x:c r="D33" s="408" t="str">
        <x:v>Plantilla para convertir los resultados de un experimento en observaciones, aprendizajes y decisiones accionables.</x:v>
      </x:c>
      <x:c r="E33" s="408" t="str">
        <x:v>Experimentos realizados cuyos resultados no se convierten en aprendizaje explícito ni en una decisión trazable.</x:v>
      </x:c>
      <x:c r="F33" s="408" t="str">
        <x:v>B-VAL-003</x:v>
      </x:c>
      <x:c r="G33" s="408" t="str">
        <x:v>VAL-003</x:v>
      </x:c>
      <x:c r="H33" s="408" t="str">
        <x:v>Puede justificar cambios de madurez cuando la evidencia sea técnica y cumpla criterios de calidad; no altera TRL por sí sola. | Puede fortalecer o debilitar hipótesis comerciales y de cliente; no sustituye el CRL.</x:v>
      </x:c>
      <x:c r="I33" s="408" t="str">
        <x:v>Autogestión asistida / IA / taller</x:v>
      </x:c>
      <x:c r="J33" s="408" t="str">
        <x:v>Investigadores / equipos de innovación / OTRI según herramienta</x:v>
      </x:c>
      <x:c r="K33" s="408"/>
      <x:c r="L33" s="408" t="str">
        <x:v>Aplicación web / recurso Ruta CEDIA</x:v>
      </x:c>
      <x:c r="M33" s="408" t="str">
        <x:v>Por definir</x:v>
      </x:c>
      <x:c r="N33" s="408" t="str">
        <x:v>Test o experimento ejecutado, datos/resultados observados, hipótesis original y criterio de éxito.</x:v>
      </x:c>
      <x:c r="O33" s="408" t="str">
        <x:v>Aprendizaje documentado y decisión posterior vinculada a la evidencia obtenida.</x:v>
      </x:c>
      <x:c r="P33" s="408" t="str">
        <x:v>Tarjeta de Aprendizaje</x:v>
      </x:c>
      <x:c r="Q33" s="408" t="str">
        <x:v>Explorar herramienta / iniciar ruta</x:v>
      </x:c>
      <x:c r="R33" s="408" t="str">
        <x:v>Propuesta sustentada externamente — validar CEDIA</x:v>
      </x:c>
      <x:c r="S33" s="408" t="str">
        <x:v>https://www.strategyzer.com/library/capture-customer-insights-and-actions-with-the-learning-card</x:v>
      </x:c>
    </x:row>
    <x:row r="34">
      <x:c r="A34" s="408" t="str">
        <x:v>SRV-030</x:v>
      </x:c>
      <x:c r="B34" s="408" t="str">
        <x:v>Plan de Maduración Tecnológica</x:v>
      </x:c>
      <x:c r="C34" s="408" t="str">
        <x:v>Herramienta propuesta</x:v>
      </x:c>
      <x:c r="D34" s="408" t="str">
        <x:v>Hoja de ruta para llevar una tecnología desde su madurez actual hacia un TRL objetivo mediante actividades, pruebas, métricas, hitos y criterios de salida.</x:v>
      </x:c>
      <x:c r="E34" s="408" t="str">
        <x:v>Se conoce el TRL actual, pero no existe una ruta concreta para cerrar brechas técnicas y alcanzar el nivel objetivo.</x:v>
      </x:c>
      <x:c r="F34" s="408" t="str">
        <x:v>B-MAD-001</x:v>
      </x:c>
      <x:c r="G34" s="408" t="str">
        <x:v>MAD-001</x:v>
      </x:c>
      <x:c r="H34" s="408" t="str">
        <x:v>Directa y contextual: usa TRL actual/objetivo para planificar; el nivel solo cambia cuando existe evidencia de cumplimiento. | Complementaria; no sustituye madurez comercial.</x:v>
      </x:c>
      <x:c r="I34" s="408" t="str">
        <x:v>Acompañamiento / taller técnico</x:v>
      </x:c>
      <x:c r="J34" s="408" t="str">
        <x:v>Investigadores / equipos de innovación / OTRI según herramienta</x:v>
      </x:c>
      <x:c r="K34" s="408"/>
      <x:c r="L34" s="408" t="str">
        <x:v>Aplicación web / recurso Ruta CEDIA</x:v>
      </x:c>
      <x:c r="M34" s="408" t="str">
        <x:v>Por definir</x:v>
      </x:c>
      <x:c r="N34" s="408" t="str">
        <x:v>TRL actual sustentado, TRL objetivo, tecnología/elementos críticos, brechas y evidencia disponible.</x:v>
      </x:c>
      <x:c r="O34" s="408" t="str">
        <x:v>Roadmap de maduración con actividades, hitos, métricas, riesgos, evidencia y criterio para avanzar.</x:v>
      </x:c>
      <x:c r="P34" s="408" t="str">
        <x:v>Plan de Maduración Tecnológica</x:v>
      </x:c>
      <x:c r="Q34" s="408" t="str">
        <x:v>Explorar herramienta / iniciar ruta</x:v>
      </x:c>
      <x:c r="R34" s="408" t="str">
        <x:v>Propuesta sustentada externamente — validar CEDIA</x:v>
      </x:c>
      <x:c r="S34" s="408" t="str">
        <x:v>https://www.energy.gov/documents/archivedoe-g-413-3-4doe-technology-readiness-assessment-guide2009-10-12pdf</x:v>
      </x:c>
    </x:row>
    <x:row r="35">
      <x:c r="A35" s="408" t="str">
        <x:v>SRV-031</x:v>
      </x:c>
      <x:c r="B35" s="408" t="str">
        <x:v>Libertad de Operación (Freedom to Operate)</x:v>
      </x:c>
      <x:c r="C35" s="408" t="str">
        <x:v>Herramienta propuesta</x:v>
      </x:c>
      <x:c r="D35" s="408" t="str">
        <x:v>Herramienta de cribado para identificar derechos de propiedad intelectual de terceros que podrían afectar el desarrollo, fabricación, uso o comercialización de una solución.</x:v>
      </x:c>
      <x:c r="E35" s="408" t="str">
        <x:v>Desconocimiento sobre si la explotación prevista de una solución puede entrar en conflicto con derechos de PI de terceros.</x:v>
      </x:c>
      <x:c r="F35" s="408" t="str">
        <x:v>B-PI-001</x:v>
      </x:c>
      <x:c r="G35" s="408" t="str">
        <x:v>TRA-001</x:v>
      </x:c>
      <x:c r="H35" s="408" t="str">
        <x:v>No es TRL técnico; complemento de preparación para transferencia/mercado. | Alta relación con preparación comercial y licencia para operar, sin sustituir el CRL.</x:v>
      </x:c>
      <x:c r="I35" s="408" t="str">
        <x:v>Acompañamiento especializado</x:v>
      </x:c>
      <x:c r="J35" s="408" t="str">
        <x:v>Investigadores / equipos de innovación / OTRI según herramienta</x:v>
      </x:c>
      <x:c r="K35" s="408"/>
      <x:c r="L35" s="408" t="str">
        <x:v>Aplicación web / recurso Ruta CEDIA</x:v>
      </x:c>
      <x:c r="M35" s="408" t="str">
        <x:v>Por definir</x:v>
      </x:c>
      <x:c r="N35" s="408" t="str">
        <x:v>Descripción técnica/funcional de la solución, componentes críticos, uso previsto, mercado/jurisdicción objetivo y resultados de búsqueda de PI disponibles.</x:v>
      </x:c>
      <x:c r="O35" s="408" t="str">
        <x:v>Mapa preliminar de riesgos FTO y acciones de mitigación/consulta especializada.</x:v>
      </x:c>
      <x:c r="P35" s="408" t="str">
        <x:v>Matriz preliminar de Libertad de Operación</x:v>
      </x:c>
      <x:c r="Q35" s="408" t="str">
        <x:v>Explorar herramienta / iniciar ruta</x:v>
      </x:c>
      <x:c r="R35" s="408" t="str">
        <x:v>Propuesta sustentada externamente — validar CEDIA</x:v>
      </x:c>
      <x:c r="S35" s="408" t="str">
        <x:v>https://www.wipo.int/en/web/tisc/inventions-public-domain</x:v>
      </x:c>
    </x:row>
    <x:row r="36">
      <x:c r="A36" s="408" t="str">
        <x:v>SRV-032</x:v>
      </x:c>
      <x:c r="B36" s="408" t="str">
        <x:v>Mapa de Cadena de Valor y Actores</x:v>
      </x:c>
      <x:c r="C36" s="408" t="str">
        <x:v>Herramienta propuesta</x:v>
      </x:c>
      <x:c r="D36" s="408" t="str">
        <x:v>Mapa de actividades, capacidades y actores necesarios para desarrollar, comercializar, entregar y sostener una innovación.</x:v>
      </x:c>
      <x:c r="E36" s="408" t="str">
        <x:v>Proyecto técnicamente prometedor sin claridad sobre quién ejecutará actividades clave ni qué capacidades faltan para desarrollar, comercializar y sostener la solución.</x:v>
      </x:c>
      <x:c r="F36" s="408" t="str">
        <x:v>B-ECO-001</x:v>
      </x:c>
      <x:c r="G36" s="408" t="str">
        <x:v>TRA-002</x:v>
      </x:c>
      <x:c r="H36" s="408" t="str">
        <x:v>No determina TRL; puede revelar capacidades necesarias para madurar o desplegar tecnología. | Relacionada con escalabilidad, socios, canales, recursos y adopción.</x:v>
      </x:c>
      <x:c r="I36" s="408" t="str">
        <x:v>Taller / acompañamiento</x:v>
      </x:c>
      <x:c r="J36" s="408" t="str">
        <x:v>Investigadores / equipos de innovación / OTRI según herramienta</x:v>
      </x:c>
      <x:c r="K36" s="408"/>
      <x:c r="L36" s="408" t="str">
        <x:v>Aplicación web / recurso Ruta CEDIA</x:v>
      </x:c>
      <x:c r="M36" s="408" t="str">
        <x:v>Por definir</x:v>
      </x:c>
      <x:c r="N36" s="408" t="str">
        <x:v>Solución/aplicación definida, propuesta de valor preliminar, actores conocidos, capacidades internas y ruta de entrega/comercialización preliminar.</x:v>
      </x:c>
      <x:c r="O36" s="408" t="str">
        <x:v>Mapa de cadena de valor con actores, capacidades, brechas y acciones de articulación.</x:v>
      </x:c>
      <x:c r="P36" s="408" t="str">
        <x:v>Mapa de Cadena de Valor y Actores</x:v>
      </x:c>
      <x:c r="Q36" s="408" t="str">
        <x:v>Explorar herramienta / iniciar ruta</x:v>
      </x:c>
      <x:c r="R36" s="408" t="str">
        <x:v>Propuesta sustentada externamente — validar CEDIA</x:v>
      </x:c>
      <x:c r="S36" s="408" t="str">
        <x:v>https://www.wipo.int/en/web/tisc/inventions-public-domain</x:v>
      </x:c>
    </x:row>
    <x:row r="37">
      <x:c r="A37" s="408" t="str">
        <x:v>SRV-033</x:v>
      </x:c>
      <x:c r="B37" s="408" t="str">
        <x:v>Ficha de Divulgación de Invención</x:v>
      </x:c>
      <x:c r="C37" s="408" t="str">
        <x:v>Herramienta propuesta</x:v>
      </x:c>
      <x:c r="D37" s="408" t="str">
        <x:v>Plantilla institucional propuesta para documentar una invención o resultado con potencial de transferencia y remitirlo a la función/OTRI correspondiente.</x:v>
      </x:c>
      <x:c r="E37" s="408" t="str">
        <x:v>Resultados de investigación con potencial de protección/transferencia que no están documentados ni comunicados formalmente para evaluación.</x:v>
      </x:c>
      <x:c r="F37" s="408" t="str">
        <x:v>B-PI-002</x:v>
      </x:c>
      <x:c r="G37" s="408" t="str">
        <x:v>TRA-003</x:v>
      </x:c>
      <x:c r="H37" s="408" t="str">
        <x:v>No determina TRL; puede ocurrir en distintos niveles según el resultado. | Complementaria a transferencia/comercialización; no sustituye CRL.</x:v>
      </x:c>
      <x:c r="I37" s="408" t="str">
        <x:v>Autogestión asistida + revisión institucional</x:v>
      </x:c>
      <x:c r="J37" s="408" t="str">
        <x:v>Investigadores / equipos de innovación / OTRI según herramienta</x:v>
      </x:c>
      <x:c r="K37" s="408"/>
      <x:c r="L37" s="408" t="str">
        <x:v>Aplicación web / recurso Ruta CEDIA</x:v>
      </x:c>
      <x:c r="M37" s="408" t="str">
        <x:v>Por definir</x:v>
      </x:c>
      <x:c r="N37" s="408" t="str">
        <x:v>Descripción del resultado/invención, inventores y contribuciones, evidencia disponible, financiación/acuerdos, publicaciones o divulgaciones previas/planificadas y posibles aplicaciones.</x:v>
      </x:c>
      <x:c r="O37" s="408" t="str">
        <x:v>Expediente inicial de invención listo para revisión institucional de PI y transferencia.</x:v>
      </x:c>
      <x:c r="P37" s="408" t="str">
        <x:v>Ficha de Divulgación de Invención</x:v>
      </x:c>
      <x:c r="Q37" s="408" t="str">
        <x:v>Explorar herramienta / iniciar ruta</x:v>
      </x:c>
      <x:c r="R37" s="408" t="str">
        <x:v>Propuesta sustentada externamente — validar CEDIA</x:v>
      </x:c>
      <x:c r="S37" s="408" t="str">
        <x:v>https://www.wipo.int/es/web/technology-transfer/</x:v>
      </x:c>
    </x:row>
    <x:row r="38">
      <x:c r="A38" s="408" t="str">
        <x:v>SRV-034</x:v>
      </x:c>
      <x:c r="B38" s="408" t="str">
        <x:v>Mapa de Riesgos de Adopción / Comercialización</x:v>
      </x:c>
      <x:c r="C38" s="408" t="str">
        <x:v>Herramienta propuesta</x:v>
      </x:c>
      <x:c r="D38" s="408" t="str">
        <x:v>Evaluación estructurada de barreras no técnicas de adopción inspirada en el marco Adoption Readiness Levels del U.S. DOE.</x:v>
      </x:c>
      <x:c r="E38" s="408" t="str">
        <x:v>Tecnología con avance técnico pero con riesgos de adopción/comercialización no identificados o tratados de manera fragmentada.</x:v>
      </x:c>
      <x:c r="F38" s="408" t="str">
        <x:v>B-ADO-001</x:v>
      </x:c>
      <x:c r="G38" s="408" t="str">
        <x:v>ADO-001</x:v>
      </x:c>
      <x:c r="H38" s="408" t="str">
        <x:v>Complementaria: DOE plantea ARL como complemento del TRL para riesgos no técnicos. | Alta relación temática; debe coexistir o integrarse con CRL solo después de validación metodológica CEDIA.</x:v>
      </x:c>
      <x:c r="I38" s="408" t="str">
        <x:v>Taller / acompañamiento / IA asistida</x:v>
      </x:c>
      <x:c r="J38" s="408" t="str">
        <x:v>Investigadores / equipos de innovación / OTRI según herramienta</x:v>
      </x:c>
      <x:c r="K38" s="408"/>
      <x:c r="L38" s="408" t="str">
        <x:v>Aplicación web / recurso Ruta CEDIA</x:v>
      </x:c>
      <x:c r="M38" s="408" t="str">
        <x:v>Por definir</x:v>
      </x:c>
      <x:c r="N38" s="408" t="str">
        <x:v>Aplicación y mercado objetivo, propuesta de valor, evidencia de cliente/mercado, capacidades/recursos, contexto regulatorio/social y cadena de valor disponible.</x:v>
      </x:c>
      <x:c r="O38" s="408" t="str">
        <x:v>Mapa priorizado de riesgos no técnicos de adopción con acciones y responsables.</x:v>
      </x:c>
      <x:c r="P38" s="408" t="str">
        <x:v>Mapa de Riesgos de Adopción</x:v>
      </x:c>
      <x:c r="Q38" s="408" t="str">
        <x:v>Explorar herramienta / iniciar ruta</x:v>
      </x:c>
      <x:c r="R38" s="408" t="str">
        <x:v>Propuesta sustentada externamente — validar CEDIA</x:v>
      </x:c>
      <x:c r="S38" s="408" t="str">
        <x:v>https://www.energy.gov/technologycommercialization/adoption-readiness-levels-arl-framework</x:v>
      </x:c>
    </x:row>
    <x:row r="39">
      <x:c r="A39" s="628" t="str">
        <x:v>SRV-035</x:v>
      </x:c>
      <x:c r="B39" s="628" t="str">
        <x:v>Mentoría especializada para proyectos de innovación</x:v>
      </x:c>
      <x:c r="C39" s="628" t="str">
        <x:v>Acompañamiento Fill The Gap / Mentoría I+D+i</x:v>
      </x:c>
      <x:c r="D39" s="628" t="str">
        <x:v>Ruta de acompañamiento que diagnostica la situación del proyecto, identifica brechas y construye una hoja de ruta personalizada para validación, maduración, protección, aplicación o transferencia.</x:v>
      </x:c>
      <x:c r="E39" s="628" t="str">
        <x:v>Proyectos que necesitan una lectura integral y acompañamiento humano para convertir evidencia y brechas en decisiones y acciones.</x:v>
      </x:c>
      <x:c r="F39" s="628" t="str">
        <x:v>Múltiples según diagnóstico</x:v>
      </x:c>
      <x:c r="G39" s="628" t="str">
        <x:v>Herramientas Ruta CEDIA según brecha</x:v>
      </x:c>
      <x:c r="H39" s="628" t="str">
        <x:v>TRL 1–9 cuando aplique; el TRL se usa como evidencia de madurez y no sustituye el análisis integral.</x:v>
      </x:c>
      <x:c r="I39" s="628" t="str">
        <x:v>Virtual; horas distribuidas según necesidad del proyecto.</x:v>
      </x:c>
      <x:c r="J39" s="628" t="str">
        <x:v>Equipos responsables de proyectos de innovación / universidades miembros</x:v>
      </x:c>
      <x:c r="K39" s="628" t="str">
        <x:v>4 horas por proyecto en la proforma UTA vigente revisada; sujeto a condiciones del servicio.</x:v>
      </x:c>
      <x:c r="L39" s="628" t="str">
        <x:v>Acompañamiento virtual</x:v>
      </x:c>
      <x:c r="M39" s="628" t="str">
        <x:v>Jefatura de Innovación y Transferencia Tecnológica — según proforma UTA</x:v>
      </x:c>
      <x:c r="N39" s="628" t="str">
        <x:v>Información básica del proyecto, resultados, evidencias, publicaciones/prototipos, PI existente y actores vinculados.</x:v>
      </x:c>
      <x:c r="O39" s="628" t="str">
        <x:v>Informe de mentoría y hoja de ruta del resultado de I+D+i.</x:v>
      </x:c>
      <x:c r="P39" s="628" t="str">
        <x:v>Ficha de diagnóstico + mapa de resultado y brechas + hipótesis de transferencia/aplicación + hoja de ruta.</x:v>
      </x:c>
      <x:c r="Q39" s="628" t="str">
        <x:v>Solicitar / activar mentoría</x:v>
      </x:c>
      <x:c r="R39" s="628" t="str">
        <x:v>Servicio documentado — confirmar vigencia/condiciones antes de publicar</x:v>
      </x:c>
      <x:c r="S39" s="628" t="str">
        <x:v>Mentoría especializada para proyectos de innovación UTA.docx / Proforma CON-PR-2026-0121, 03/09/2026</x:v>
      </x:c>
    </x:row>
    <x:row r="40">
      <x:c r="A40" s="44"/>
      <x:c r="B40" s="44"/>
      <x:c r="C40" s="44"/>
      <x:c r="D40" s="44"/>
      <x:c r="E40" s="44"/>
      <x:c r="F40" s="44"/>
      <x:c r="G40" s="44"/>
      <x:c r="H40" s="44"/>
      <x:c r="I40" s="44"/>
      <x:c r="J40" s="44"/>
      <x:c r="K40" s="44"/>
      <x:c r="L40" s="44"/>
      <x:c r="M40" s="44"/>
      <x:c r="N40" s="44"/>
      <x:c r="O40" s="44"/>
      <x:c r="P40" s="44"/>
      <x:c r="Q40" s="44"/>
      <x:c r="R40" s="44"/>
      <x:c r="S40" s="44"/>
    </x:row>
    <x:row r="41">
      <x:c r="A41" s="44"/>
      <x:c r="B41" s="44"/>
      <x:c r="C41" s="44"/>
      <x:c r="D41" s="44"/>
      <x:c r="E41" s="44"/>
      <x:c r="F41" s="44"/>
      <x:c r="G41" s="44"/>
      <x:c r="H41" s="44"/>
      <x:c r="I41" s="44"/>
      <x:c r="J41" s="44"/>
      <x:c r="K41" s="44"/>
      <x:c r="L41" s="44"/>
      <x:c r="M41" s="44"/>
      <x:c r="N41" s="44"/>
      <x:c r="O41" s="44"/>
      <x:c r="P41" s="44"/>
      <x:c r="Q41" s="44"/>
      <x:c r="R41" s="44"/>
      <x:c r="S41" s="44"/>
    </x:row>
    <x:row r="42">
      <x:c r="A42" s="44"/>
      <x:c r="B42" s="44"/>
      <x:c r="C42" s="44"/>
      <x:c r="D42" s="44"/>
      <x:c r="E42" s="44"/>
      <x:c r="F42" s="44"/>
      <x:c r="G42" s="44"/>
      <x:c r="H42" s="44"/>
      <x:c r="I42" s="44"/>
      <x:c r="J42" s="44"/>
      <x:c r="K42" s="44"/>
      <x:c r="L42" s="44"/>
      <x:c r="M42" s="44"/>
      <x:c r="N42" s="44"/>
      <x:c r="O42" s="44"/>
      <x:c r="P42" s="44"/>
      <x:c r="Q42" s="44"/>
      <x:c r="R42" s="44"/>
      <x:c r="S42" s="44"/>
    </x:row>
    <x:row r="43">
      <x:c r="A43" s="44"/>
      <x:c r="B43" s="44"/>
      <x:c r="C43" s="44"/>
      <x:c r="D43" s="44"/>
      <x:c r="E43" s="44"/>
      <x:c r="F43" s="44"/>
      <x:c r="G43" s="44"/>
      <x:c r="H43" s="44"/>
      <x:c r="I43" s="44"/>
      <x:c r="J43" s="44"/>
      <x:c r="K43" s="44"/>
      <x:c r="L43" s="44"/>
      <x:c r="M43" s="44"/>
      <x:c r="N43" s="44"/>
      <x:c r="O43" s="44"/>
      <x:c r="P43" s="44"/>
      <x:c r="Q43" s="44"/>
      <x:c r="R43" s="44"/>
      <x:c r="S43" s="44"/>
    </x:row>
    <x:row r="44">
      <x:c r="A44" s="44"/>
      <x:c r="B44" s="44"/>
      <x:c r="C44" s="44"/>
      <x:c r="D44" s="44"/>
      <x:c r="E44" s="44"/>
      <x:c r="F44" s="44"/>
      <x:c r="G44" s="44"/>
      <x:c r="H44" s="44"/>
      <x:c r="I44" s="44"/>
      <x:c r="J44" s="44"/>
      <x:c r="K44" s="44"/>
      <x:c r="L44" s="44"/>
      <x:c r="M44" s="44"/>
      <x:c r="N44" s="44"/>
      <x:c r="O44" s="44"/>
      <x:c r="P44" s="44"/>
      <x:c r="Q44" s="44"/>
      <x:c r="R44" s="44"/>
      <x:c r="S44" s="44"/>
    </x:row>
    <x:row r="45">
      <x:c r="A45" s="44"/>
      <x:c r="B45" s="44"/>
      <x:c r="C45" s="44"/>
      <x:c r="D45" s="44"/>
      <x:c r="E45" s="44"/>
      <x:c r="F45" s="44"/>
      <x:c r="G45" s="44"/>
      <x:c r="H45" s="44"/>
      <x:c r="I45" s="44"/>
      <x:c r="J45" s="44"/>
      <x:c r="K45" s="44"/>
      <x:c r="L45" s="44"/>
      <x:c r="M45" s="44"/>
      <x:c r="N45" s="44"/>
      <x:c r="O45" s="44"/>
      <x:c r="P45" s="44"/>
      <x:c r="Q45" s="44"/>
      <x:c r="R45" s="44"/>
      <x:c r="S45" s="44"/>
    </x:row>
    <x:row r="46">
      <x:c r="A46" s="44"/>
      <x:c r="B46" s="44"/>
      <x:c r="C46" s="44"/>
      <x:c r="D46" s="44"/>
      <x:c r="E46" s="44"/>
      <x:c r="F46" s="44"/>
      <x:c r="G46" s="44"/>
      <x:c r="H46" s="44"/>
      <x:c r="I46" s="44"/>
      <x:c r="J46" s="44"/>
      <x:c r="K46" s="44"/>
      <x:c r="L46" s="44"/>
      <x:c r="M46" s="44"/>
      <x:c r="N46" s="44"/>
      <x:c r="O46" s="44"/>
      <x:c r="P46" s="44"/>
      <x:c r="Q46" s="44"/>
      <x:c r="R46" s="44"/>
      <x:c r="S46" s="44"/>
    </x:row>
    <x:row r="47">
      <x:c r="A47" s="44"/>
      <x:c r="B47" s="44"/>
      <x:c r="C47" s="44"/>
      <x:c r="D47" s="44"/>
      <x:c r="E47" s="44"/>
      <x:c r="F47" s="44"/>
      <x:c r="G47" s="44"/>
      <x:c r="H47" s="44"/>
      <x:c r="I47" s="44"/>
      <x:c r="J47" s="44"/>
      <x:c r="K47" s="44"/>
      <x:c r="L47" s="44"/>
      <x:c r="M47" s="44"/>
      <x:c r="N47" s="44"/>
      <x:c r="O47" s="44"/>
      <x:c r="P47" s="44"/>
      <x:c r="Q47" s="44"/>
      <x:c r="R47" s="44"/>
      <x:c r="S47" s="44"/>
    </x:row>
    <x:row r="48">
      <x:c r="A48" s="44"/>
      <x:c r="B48" s="44"/>
      <x:c r="C48" s="44"/>
      <x:c r="D48" s="44"/>
      <x:c r="E48" s="44"/>
      <x:c r="F48" s="44"/>
      <x:c r="G48" s="44"/>
      <x:c r="H48" s="44"/>
      <x:c r="I48" s="44"/>
      <x:c r="J48" s="44"/>
      <x:c r="K48" s="44"/>
      <x:c r="L48" s="44"/>
      <x:c r="M48" s="44"/>
      <x:c r="N48" s="44"/>
      <x:c r="O48" s="44"/>
      <x:c r="P48" s="44"/>
      <x:c r="Q48" s="44"/>
      <x:c r="R48" s="44"/>
      <x:c r="S48" s="44"/>
    </x:row>
    <x:row r="49">
      <x:c r="A49" s="44"/>
      <x:c r="B49" s="44"/>
      <x:c r="C49" s="44"/>
      <x:c r="D49" s="44"/>
      <x:c r="E49" s="44"/>
      <x:c r="F49" s="44"/>
      <x:c r="G49" s="44"/>
      <x:c r="H49" s="44"/>
      <x:c r="I49" s="44"/>
      <x:c r="J49" s="44"/>
      <x:c r="K49" s="44"/>
      <x:c r="L49" s="44"/>
      <x:c r="M49" s="44"/>
      <x:c r="N49" s="44"/>
      <x:c r="O49" s="44"/>
      <x:c r="P49" s="44"/>
      <x:c r="Q49" s="44"/>
      <x:c r="R49" s="44"/>
      <x:c r="S49" s="44"/>
    </x:row>
    <x:row r="50">
      <x:c r="A50" s="44"/>
      <x:c r="B50" s="44"/>
      <x:c r="C50" s="44"/>
      <x:c r="D50" s="44"/>
      <x:c r="E50" s="44"/>
      <x:c r="F50" s="44"/>
      <x:c r="G50" s="44"/>
      <x:c r="H50" s="44"/>
      <x:c r="I50" s="44"/>
      <x:c r="J50" s="44"/>
      <x:c r="K50" s="44"/>
      <x:c r="L50" s="44"/>
      <x:c r="M50" s="44"/>
      <x:c r="N50" s="44"/>
      <x:c r="O50" s="44"/>
      <x:c r="P50" s="44"/>
      <x:c r="Q50" s="44"/>
      <x:c r="R50" s="44"/>
      <x:c r="S50" s="44"/>
    </x:row>
    <x:row r="51">
      <x:c r="A51" s="44"/>
      <x:c r="B51" s="44"/>
      <x:c r="C51" s="44"/>
      <x:c r="D51" s="44"/>
      <x:c r="E51" s="44"/>
      <x:c r="F51" s="44"/>
      <x:c r="G51" s="44"/>
      <x:c r="H51" s="44"/>
      <x:c r="I51" s="44"/>
      <x:c r="J51" s="44"/>
      <x:c r="K51" s="44"/>
      <x:c r="L51" s="44"/>
      <x:c r="M51" s="44"/>
      <x:c r="N51" s="44"/>
      <x:c r="O51" s="44"/>
      <x:c r="P51" s="44"/>
      <x:c r="Q51" s="44"/>
      <x:c r="R51" s="44"/>
      <x:c r="S51" s="44"/>
    </x:row>
    <x:row r="52">
      <x:c r="A52" s="44"/>
      <x:c r="B52" s="44"/>
      <x:c r="C52" s="44"/>
      <x:c r="D52" s="44"/>
      <x:c r="E52" s="44"/>
      <x:c r="F52" s="44"/>
      <x:c r="G52" s="44"/>
      <x:c r="H52" s="44"/>
      <x:c r="I52" s="44"/>
      <x:c r="J52" s="44"/>
      <x:c r="K52" s="44"/>
      <x:c r="L52" s="44"/>
      <x:c r="M52" s="44"/>
      <x:c r="N52" s="44"/>
      <x:c r="O52" s="44"/>
      <x:c r="P52" s="44"/>
      <x:c r="Q52" s="44"/>
      <x:c r="R52" s="44"/>
      <x:c r="S52" s="44"/>
    </x:row>
    <x:row r="53">
      <x:c r="A53" s="44"/>
      <x:c r="B53" s="44"/>
      <x:c r="C53" s="44"/>
      <x:c r="D53" s="44"/>
      <x:c r="E53" s="44"/>
      <x:c r="F53" s="44"/>
      <x:c r="G53" s="44"/>
      <x:c r="H53" s="44"/>
      <x:c r="I53" s="44"/>
      <x:c r="J53" s="44"/>
      <x:c r="K53" s="44"/>
      <x:c r="L53" s="44"/>
      <x:c r="M53" s="44"/>
      <x:c r="N53" s="44"/>
      <x:c r="O53" s="44"/>
      <x:c r="P53" s="44"/>
      <x:c r="Q53" s="44"/>
      <x:c r="R53" s="44"/>
      <x:c r="S53" s="44"/>
    </x:row>
    <x:row r="54">
      <x:c r="A54" s="44"/>
      <x:c r="B54" s="44"/>
      <x:c r="C54" s="44"/>
      <x:c r="D54" s="44"/>
      <x:c r="E54" s="44"/>
      <x:c r="F54" s="44"/>
      <x:c r="G54" s="44"/>
      <x:c r="H54" s="44"/>
      <x:c r="I54" s="44"/>
      <x:c r="J54" s="44"/>
      <x:c r="K54" s="44"/>
      <x:c r="L54" s="44"/>
      <x:c r="M54" s="44"/>
      <x:c r="N54" s="44"/>
      <x:c r="O54" s="44"/>
      <x:c r="P54" s="44"/>
      <x:c r="Q54" s="44"/>
      <x:c r="R54" s="44"/>
      <x:c r="S54" s="44"/>
    </x:row>
    <x:row r="55">
      <x:c r="A55" s="44"/>
      <x:c r="B55" s="44"/>
      <x:c r="C55" s="44"/>
      <x:c r="D55" s="44"/>
      <x:c r="E55" s="44"/>
      <x:c r="F55" s="44"/>
      <x:c r="G55" s="44"/>
      <x:c r="H55" s="44"/>
      <x:c r="I55" s="44"/>
      <x:c r="J55" s="44"/>
      <x:c r="K55" s="44"/>
      <x:c r="L55" s="44"/>
      <x:c r="M55" s="44"/>
      <x:c r="N55" s="44"/>
      <x:c r="O55" s="44"/>
      <x:c r="P55" s="44"/>
      <x:c r="Q55" s="44"/>
      <x:c r="R55" s="44"/>
      <x:c r="S55" s="44"/>
    </x:row>
    <x:row r="56">
      <x:c r="A56" s="44"/>
      <x:c r="B56" s="44"/>
      <x:c r="C56" s="44"/>
      <x:c r="D56" s="44"/>
      <x:c r="E56" s="44"/>
      <x:c r="F56" s="44"/>
      <x:c r="G56" s="44"/>
      <x:c r="H56" s="44"/>
      <x:c r="I56" s="44"/>
      <x:c r="J56" s="44"/>
      <x:c r="K56" s="44"/>
      <x:c r="L56" s="44"/>
      <x:c r="M56" s="44"/>
      <x:c r="N56" s="44"/>
      <x:c r="O56" s="44"/>
      <x:c r="P56" s="44"/>
      <x:c r="Q56" s="44"/>
      <x:c r="R56" s="44"/>
      <x:c r="S56" s="44"/>
    </x:row>
    <x:row r="57">
      <x:c r="A57" s="44"/>
      <x:c r="B57" s="44"/>
      <x:c r="C57" s="44"/>
      <x:c r="D57" s="44"/>
      <x:c r="E57" s="44"/>
      <x:c r="F57" s="44"/>
      <x:c r="G57" s="44"/>
      <x:c r="H57" s="44"/>
      <x:c r="I57" s="44"/>
      <x:c r="J57" s="44"/>
      <x:c r="K57" s="44"/>
      <x:c r="L57" s="44"/>
      <x:c r="M57" s="44"/>
      <x:c r="N57" s="44"/>
      <x:c r="O57" s="44"/>
      <x:c r="P57" s="44"/>
      <x:c r="Q57" s="44"/>
      <x:c r="R57" s="44"/>
      <x:c r="S57" s="44"/>
    </x:row>
    <x:row r="58">
      <x:c r="A58" s="44"/>
      <x:c r="B58" s="44"/>
      <x:c r="C58" s="44"/>
      <x:c r="D58" s="44"/>
      <x:c r="E58" s="44"/>
      <x:c r="F58" s="44"/>
      <x:c r="G58" s="44"/>
      <x:c r="H58" s="44"/>
      <x:c r="I58" s="44"/>
      <x:c r="J58" s="44"/>
      <x:c r="K58" s="44"/>
      <x:c r="L58" s="44"/>
      <x:c r="M58" s="44"/>
      <x:c r="N58" s="44"/>
      <x:c r="O58" s="44"/>
      <x:c r="P58" s="44"/>
      <x:c r="Q58" s="44"/>
      <x:c r="R58" s="44"/>
      <x:c r="S58" s="44"/>
    </x:row>
    <x:row r="59">
      <x:c r="A59" s="44"/>
      <x:c r="B59" s="44"/>
      <x:c r="C59" s="44"/>
      <x:c r="D59" s="44"/>
      <x:c r="E59" s="44"/>
      <x:c r="F59" s="44"/>
      <x:c r="G59" s="44"/>
      <x:c r="H59" s="44"/>
      <x:c r="I59" s="44"/>
      <x:c r="J59" s="44"/>
      <x:c r="K59" s="44"/>
      <x:c r="L59" s="44"/>
      <x:c r="M59" s="44"/>
      <x:c r="N59" s="44"/>
      <x:c r="O59" s="44"/>
      <x:c r="P59" s="44"/>
      <x:c r="Q59" s="44"/>
      <x:c r="R59" s="44"/>
      <x:c r="S59" s="44"/>
    </x:row>
    <x:row r="60">
      <x:c r="A60" s="44"/>
      <x:c r="B60" s="44"/>
      <x:c r="C60" s="44"/>
      <x:c r="D60" s="44"/>
      <x:c r="E60" s="44"/>
      <x:c r="F60" s="44"/>
      <x:c r="G60" s="44"/>
      <x:c r="H60" s="44"/>
      <x:c r="I60" s="44"/>
      <x:c r="J60" s="44"/>
      <x:c r="K60" s="44"/>
      <x:c r="L60" s="44"/>
      <x:c r="M60" s="44"/>
      <x:c r="N60" s="44"/>
      <x:c r="O60" s="44"/>
      <x:c r="P60" s="44"/>
      <x:c r="Q60" s="44"/>
      <x:c r="R60" s="44"/>
      <x:c r="S60" s="44"/>
    </x:row>
    <x:row r="61">
      <x:c r="A61" s="44"/>
      <x:c r="B61" s="44"/>
      <x:c r="C61" s="44"/>
      <x:c r="D61" s="44"/>
      <x:c r="E61" s="44"/>
      <x:c r="F61" s="44"/>
      <x:c r="G61" s="44"/>
      <x:c r="H61" s="44"/>
      <x:c r="I61" s="44"/>
      <x:c r="J61" s="44"/>
      <x:c r="K61" s="44"/>
      <x:c r="L61" s="44"/>
      <x:c r="M61" s="44"/>
      <x:c r="N61" s="44"/>
      <x:c r="O61" s="44"/>
      <x:c r="P61" s="44"/>
      <x:c r="Q61" s="44"/>
      <x:c r="R61" s="44"/>
      <x:c r="S61" s="44"/>
    </x:row>
    <x:row r="62">
      <x:c r="A62" s="44"/>
      <x:c r="B62" s="44"/>
      <x:c r="C62" s="44"/>
      <x:c r="D62" s="44"/>
      <x:c r="E62" s="44"/>
      <x:c r="F62" s="44"/>
      <x:c r="G62" s="44"/>
      <x:c r="H62" s="44"/>
      <x:c r="I62" s="44"/>
      <x:c r="J62" s="44"/>
      <x:c r="K62" s="44"/>
      <x:c r="L62" s="44"/>
      <x:c r="M62" s="44"/>
      <x:c r="N62" s="44"/>
      <x:c r="O62" s="44"/>
      <x:c r="P62" s="44"/>
      <x:c r="Q62" s="44"/>
      <x:c r="R62" s="44"/>
      <x:c r="S62" s="44"/>
    </x:row>
    <x:row r="63">
      <x:c r="A63" s="44"/>
      <x:c r="B63" s="44"/>
      <x:c r="C63" s="44"/>
      <x:c r="D63" s="44"/>
      <x:c r="E63" s="44"/>
      <x:c r="F63" s="44"/>
      <x:c r="G63" s="44"/>
      <x:c r="H63" s="44"/>
      <x:c r="I63" s="44"/>
      <x:c r="J63" s="44"/>
      <x:c r="K63" s="44"/>
      <x:c r="L63" s="44"/>
      <x:c r="M63" s="44"/>
      <x:c r="N63" s="44"/>
      <x:c r="O63" s="44"/>
      <x:c r="P63" s="44"/>
      <x:c r="Q63" s="44"/>
      <x:c r="R63" s="44"/>
      <x:c r="S63" s="44"/>
    </x:row>
    <x:row r="64">
      <x:c r="A64" s="44"/>
      <x:c r="B64" s="44"/>
      <x:c r="C64" s="44"/>
      <x:c r="D64" s="44"/>
      <x:c r="E64" s="44"/>
      <x:c r="F64" s="44"/>
      <x:c r="G64" s="44"/>
      <x:c r="H64" s="44"/>
      <x:c r="I64" s="44"/>
      <x:c r="J64" s="44"/>
      <x:c r="K64" s="44"/>
      <x:c r="L64" s="44"/>
      <x:c r="M64" s="44"/>
      <x:c r="N64" s="44"/>
      <x:c r="O64" s="44"/>
      <x:c r="P64" s="44"/>
      <x:c r="Q64" s="44"/>
      <x:c r="R64" s="44"/>
      <x:c r="S64" s="44"/>
    </x:row>
    <x:row r="65">
      <x:c r="A65" s="44"/>
      <x:c r="B65" s="44"/>
      <x:c r="C65" s="44"/>
      <x:c r="D65" s="44"/>
      <x:c r="E65" s="44"/>
      <x:c r="F65" s="44"/>
      <x:c r="G65" s="44"/>
      <x:c r="H65" s="44"/>
      <x:c r="I65" s="44"/>
      <x:c r="J65" s="44"/>
      <x:c r="K65" s="44"/>
      <x:c r="L65" s="44"/>
      <x:c r="M65" s="44"/>
      <x:c r="N65" s="44"/>
      <x:c r="O65" s="44"/>
      <x:c r="P65" s="44"/>
      <x:c r="Q65" s="44"/>
      <x:c r="R65" s="44"/>
      <x:c r="S65" s="44"/>
    </x:row>
    <x:row r="66">
      <x:c r="A66" s="44"/>
      <x:c r="B66" s="44"/>
      <x:c r="C66" s="44"/>
      <x:c r="D66" s="44"/>
      <x:c r="E66" s="44"/>
      <x:c r="F66" s="44"/>
      <x:c r="G66" s="44"/>
      <x:c r="H66" s="44"/>
      <x:c r="I66" s="44"/>
      <x:c r="J66" s="44"/>
      <x:c r="K66" s="44"/>
      <x:c r="L66" s="44"/>
      <x:c r="M66" s="44"/>
      <x:c r="N66" s="44"/>
      <x:c r="O66" s="44"/>
      <x:c r="P66" s="44"/>
      <x:c r="Q66" s="44"/>
      <x:c r="R66" s="44"/>
      <x:c r="S66" s="44"/>
    </x:row>
    <x:row r="67">
      <x:c r="A67" s="44"/>
      <x:c r="B67" s="44"/>
      <x:c r="C67" s="44"/>
      <x:c r="D67" s="44"/>
      <x:c r="E67" s="44"/>
      <x:c r="F67" s="44"/>
      <x:c r="G67" s="44"/>
      <x:c r="H67" s="44"/>
      <x:c r="I67" s="44"/>
      <x:c r="J67" s="44"/>
      <x:c r="K67" s="44"/>
      <x:c r="L67" s="44"/>
      <x:c r="M67" s="44"/>
      <x:c r="N67" s="44"/>
      <x:c r="O67" s="44"/>
      <x:c r="P67" s="44"/>
      <x:c r="Q67" s="44"/>
      <x:c r="R67" s="44"/>
      <x:c r="S67" s="44"/>
    </x:row>
    <x:row r="68">
      <x:c r="A68" s="44"/>
      <x:c r="B68" s="44"/>
      <x:c r="C68" s="44"/>
      <x:c r="D68" s="44"/>
      <x:c r="E68" s="44"/>
      <x:c r="F68" s="44"/>
      <x:c r="G68" s="44"/>
      <x:c r="H68" s="44"/>
      <x:c r="I68" s="44"/>
      <x:c r="J68" s="44"/>
      <x:c r="K68" s="44"/>
      <x:c r="L68" s="44"/>
      <x:c r="M68" s="44"/>
      <x:c r="N68" s="44"/>
      <x:c r="O68" s="44"/>
      <x:c r="P68" s="44"/>
      <x:c r="Q68" s="44"/>
      <x:c r="R68" s="44"/>
      <x:c r="S68" s="44"/>
    </x:row>
    <x:row r="69">
      <x:c r="A69" s="44"/>
      <x:c r="B69" s="44"/>
      <x:c r="C69" s="44"/>
      <x:c r="D69" s="44"/>
      <x:c r="E69" s="44"/>
      <x:c r="F69" s="44"/>
      <x:c r="G69" s="44"/>
      <x:c r="H69" s="44"/>
      <x:c r="I69" s="44"/>
      <x:c r="J69" s="44"/>
      <x:c r="K69" s="44"/>
      <x:c r="L69" s="44"/>
      <x:c r="M69" s="44"/>
      <x:c r="N69" s="44"/>
      <x:c r="O69" s="44"/>
      <x:c r="P69" s="44"/>
      <x:c r="Q69" s="44"/>
      <x:c r="R69" s="44"/>
      <x:c r="S69" s="44"/>
    </x:row>
    <x:row r="70">
      <x:c r="A70" s="44"/>
      <x:c r="B70" s="44"/>
      <x:c r="C70" s="44"/>
      <x:c r="D70" s="44"/>
      <x:c r="E70" s="44"/>
      <x:c r="F70" s="44"/>
      <x:c r="G70" s="44"/>
      <x:c r="H70" s="44"/>
      <x:c r="I70" s="44"/>
      <x:c r="J70" s="44"/>
      <x:c r="K70" s="44"/>
      <x:c r="L70" s="44"/>
      <x:c r="M70" s="44"/>
      <x:c r="N70" s="44"/>
      <x:c r="O70" s="44"/>
      <x:c r="P70" s="44"/>
      <x:c r="Q70" s="44"/>
      <x:c r="R70" s="44"/>
      <x:c r="S70" s="44"/>
    </x:row>
    <x:row r="71">
      <x:c r="A71" s="44"/>
      <x:c r="B71" s="44"/>
      <x:c r="C71" s="44"/>
      <x:c r="D71" s="44"/>
      <x:c r="E71" s="44"/>
      <x:c r="F71" s="44"/>
      <x:c r="G71" s="44"/>
      <x:c r="H71" s="44"/>
      <x:c r="I71" s="44"/>
      <x:c r="J71" s="44"/>
      <x:c r="K71" s="44"/>
      <x:c r="L71" s="44"/>
      <x:c r="M71" s="44"/>
      <x:c r="N71" s="44"/>
      <x:c r="O71" s="44"/>
      <x:c r="P71" s="44"/>
      <x:c r="Q71" s="44"/>
      <x:c r="R71" s="44"/>
      <x:c r="S71" s="44"/>
    </x:row>
    <x:row r="72">
      <x:c r="A72" s="44"/>
      <x:c r="B72" s="44"/>
      <x:c r="C72" s="44"/>
      <x:c r="D72" s="44"/>
      <x:c r="E72" s="44"/>
      <x:c r="F72" s="44"/>
      <x:c r="G72" s="44"/>
      <x:c r="H72" s="44"/>
      <x:c r="I72" s="44"/>
      <x:c r="J72" s="44"/>
      <x:c r="K72" s="44"/>
      <x:c r="L72" s="44"/>
      <x:c r="M72" s="44"/>
      <x:c r="N72" s="44"/>
      <x:c r="O72" s="44"/>
      <x:c r="P72" s="44"/>
      <x:c r="Q72" s="44"/>
      <x:c r="R72" s="44"/>
      <x:c r="S72" s="44"/>
    </x:row>
    <x:row r="73">
      <x:c r="A73" s="44"/>
      <x:c r="B73" s="44"/>
      <x:c r="C73" s="44"/>
      <x:c r="D73" s="44"/>
      <x:c r="E73" s="44"/>
      <x:c r="F73" s="44"/>
      <x:c r="G73" s="44"/>
      <x:c r="H73" s="44"/>
      <x:c r="I73" s="44"/>
      <x:c r="J73" s="44"/>
      <x:c r="K73" s="44"/>
      <x:c r="L73" s="44"/>
      <x:c r="M73" s="44"/>
      <x:c r="N73" s="44"/>
      <x:c r="O73" s="44"/>
      <x:c r="P73" s="44"/>
      <x:c r="Q73" s="44"/>
      <x:c r="R73" s="44"/>
      <x:c r="S73" s="44"/>
    </x:row>
    <x:row r="74">
      <x:c r="A74" s="44"/>
      <x:c r="B74" s="44"/>
      <x:c r="C74" s="44"/>
      <x:c r="D74" s="44"/>
      <x:c r="E74" s="44"/>
      <x:c r="F74" s="44"/>
      <x:c r="G74" s="44"/>
      <x:c r="H74" s="44"/>
      <x:c r="I74" s="44"/>
      <x:c r="J74" s="44"/>
      <x:c r="K74" s="44"/>
      <x:c r="L74" s="44"/>
      <x:c r="M74" s="44"/>
      <x:c r="N74" s="44"/>
      <x:c r="O74" s="44"/>
      <x:c r="P74" s="44"/>
      <x:c r="Q74" s="44"/>
      <x:c r="R74" s="44"/>
      <x:c r="S74" s="44"/>
    </x:row>
    <x:row r="75">
      <x:c r="A75" s="44"/>
      <x:c r="B75" s="44"/>
      <x:c r="C75" s="44"/>
      <x:c r="D75" s="44"/>
      <x:c r="E75" s="44"/>
      <x:c r="F75" s="44"/>
      <x:c r="G75" s="44"/>
      <x:c r="H75" s="44"/>
      <x:c r="I75" s="44"/>
      <x:c r="J75" s="44"/>
      <x:c r="K75" s="44"/>
      <x:c r="L75" s="44"/>
      <x:c r="M75" s="44"/>
      <x:c r="N75" s="44"/>
      <x:c r="O75" s="44"/>
      <x:c r="P75" s="44"/>
      <x:c r="Q75" s="44"/>
      <x:c r="R75" s="44"/>
      <x:c r="S75" s="44"/>
    </x:row>
    <x:row r="76">
      <x:c r="A76" s="44"/>
      <x:c r="B76" s="44"/>
      <x:c r="C76" s="44"/>
      <x:c r="D76" s="44"/>
      <x:c r="E76" s="44"/>
      <x:c r="F76" s="44"/>
      <x:c r="G76" s="44"/>
      <x:c r="H76" s="44"/>
      <x:c r="I76" s="44"/>
      <x:c r="J76" s="44"/>
      <x:c r="K76" s="44"/>
      <x:c r="L76" s="44"/>
      <x:c r="M76" s="44"/>
      <x:c r="N76" s="44"/>
      <x:c r="O76" s="44"/>
      <x:c r="P76" s="44"/>
      <x:c r="Q76" s="44"/>
      <x:c r="R76" s="44"/>
      <x:c r="S76" s="44"/>
    </x:row>
    <x:row r="77">
      <x:c r="A77" s="44"/>
      <x:c r="B77" s="44"/>
      <x:c r="C77" s="44"/>
      <x:c r="D77" s="44"/>
      <x:c r="E77" s="44"/>
      <x:c r="F77" s="44"/>
      <x:c r="G77" s="44"/>
      <x:c r="H77" s="44"/>
      <x:c r="I77" s="44"/>
      <x:c r="J77" s="44"/>
      <x:c r="K77" s="44"/>
      <x:c r="L77" s="44"/>
      <x:c r="M77" s="44"/>
      <x:c r="N77" s="44"/>
      <x:c r="O77" s="44"/>
      <x:c r="P77" s="44"/>
      <x:c r="Q77" s="44"/>
      <x:c r="R77" s="44"/>
      <x:c r="S77" s="44"/>
    </x:row>
    <x:row r="78">
      <x:c r="A78" s="44"/>
      <x:c r="B78" s="44"/>
      <x:c r="C78" s="44"/>
      <x:c r="D78" s="44"/>
      <x:c r="E78" s="44"/>
      <x:c r="F78" s="44"/>
      <x:c r="G78" s="44"/>
      <x:c r="H78" s="44"/>
      <x:c r="I78" s="44"/>
      <x:c r="J78" s="44"/>
      <x:c r="K78" s="44"/>
      <x:c r="L78" s="44"/>
      <x:c r="M78" s="44"/>
      <x:c r="N78" s="44"/>
      <x:c r="O78" s="44"/>
      <x:c r="P78" s="44"/>
      <x:c r="Q78" s="44"/>
      <x:c r="R78" s="44"/>
      <x:c r="S78" s="44"/>
    </x:row>
    <x:row r="79">
      <x:c r="A79" s="44"/>
      <x:c r="B79" s="44"/>
      <x:c r="C79" s="44"/>
      <x:c r="D79" s="44"/>
      <x:c r="E79" s="44"/>
      <x:c r="F79" s="44"/>
      <x:c r="G79" s="44"/>
      <x:c r="H79" s="44"/>
      <x:c r="I79" s="44"/>
      <x:c r="J79" s="44"/>
      <x:c r="K79" s="44"/>
      <x:c r="L79" s="44"/>
      <x:c r="M79" s="44"/>
      <x:c r="N79" s="44"/>
      <x:c r="O79" s="44"/>
      <x:c r="P79" s="44"/>
      <x:c r="Q79" s="44"/>
      <x:c r="R79" s="44"/>
      <x:c r="S79" s="44"/>
    </x:row>
    <x:row r="80">
      <x:c r="A80" s="44"/>
      <x:c r="B80" s="44"/>
      <x:c r="C80" s="44"/>
      <x:c r="D80" s="44"/>
      <x:c r="E80" s="44"/>
      <x:c r="F80" s="44"/>
      <x:c r="G80" s="44"/>
      <x:c r="H80" s="44"/>
      <x:c r="I80" s="44"/>
      <x:c r="J80" s="44"/>
      <x:c r="K80" s="44"/>
      <x:c r="L80" s="44"/>
      <x:c r="M80" s="44"/>
      <x:c r="N80" s="44"/>
      <x:c r="O80" s="44"/>
      <x:c r="P80" s="44"/>
      <x:c r="Q80" s="44"/>
      <x:c r="R80" s="44"/>
      <x:c r="S80" s="44"/>
    </x:row>
    <x:row r="81">
      <x:c r="A81" s="44"/>
      <x:c r="B81" s="44"/>
      <x:c r="C81" s="44"/>
      <x:c r="D81" s="44"/>
      <x:c r="E81" s="44"/>
      <x:c r="F81" s="44"/>
      <x:c r="G81" s="44"/>
      <x:c r="H81" s="44"/>
      <x:c r="I81" s="44"/>
      <x:c r="J81" s="44"/>
      <x:c r="K81" s="44"/>
      <x:c r="L81" s="44"/>
      <x:c r="M81" s="44"/>
      <x:c r="N81" s="44"/>
      <x:c r="O81" s="44"/>
      <x:c r="P81" s="44"/>
      <x:c r="Q81" s="44"/>
      <x:c r="R81" s="44"/>
      <x:c r="S81" s="44"/>
    </x:row>
    <x:row r="82">
      <x:c r="A82" s="44"/>
      <x:c r="B82" s="44"/>
      <x:c r="C82" s="44"/>
      <x:c r="D82" s="44"/>
      <x:c r="E82" s="44"/>
      <x:c r="F82" s="44"/>
      <x:c r="G82" s="44"/>
      <x:c r="H82" s="44"/>
      <x:c r="I82" s="44"/>
      <x:c r="J82" s="44"/>
      <x:c r="K82" s="44"/>
      <x:c r="L82" s="44"/>
      <x:c r="M82" s="44"/>
      <x:c r="N82" s="44"/>
      <x:c r="O82" s="44"/>
      <x:c r="P82" s="44"/>
      <x:c r="Q82" s="44"/>
      <x:c r="R82" s="44"/>
      <x:c r="S82" s="44"/>
    </x:row>
    <x:row r="83">
      <x:c r="A83" s="44"/>
      <x:c r="B83" s="44"/>
      <x:c r="C83" s="44"/>
      <x:c r="D83" s="44"/>
      <x:c r="E83" s="44"/>
      <x:c r="F83" s="44"/>
      <x:c r="G83" s="44"/>
      <x:c r="H83" s="44"/>
      <x:c r="I83" s="44"/>
      <x:c r="J83" s="44"/>
      <x:c r="K83" s="44"/>
      <x:c r="L83" s="44"/>
      <x:c r="M83" s="44"/>
      <x:c r="N83" s="44"/>
      <x:c r="O83" s="44"/>
      <x:c r="P83" s="44"/>
      <x:c r="Q83" s="44"/>
      <x:c r="R83" s="44"/>
      <x:c r="S83" s="44"/>
    </x:row>
    <x:row r="84">
      <x:c r="A84" s="44"/>
      <x:c r="B84" s="44"/>
      <x:c r="C84" s="44"/>
      <x:c r="D84" s="44"/>
      <x:c r="E84" s="44"/>
      <x:c r="F84" s="44"/>
      <x:c r="G84" s="44"/>
      <x:c r="H84" s="44"/>
      <x:c r="I84" s="44"/>
      <x:c r="J84" s="44"/>
      <x:c r="K84" s="44"/>
      <x:c r="L84" s="44"/>
      <x:c r="M84" s="44"/>
      <x:c r="N84" s="44"/>
      <x:c r="O84" s="44"/>
      <x:c r="P84" s="44"/>
      <x:c r="Q84" s="44"/>
      <x:c r="R84" s="44"/>
      <x:c r="S84" s="44"/>
    </x:row>
    <x:row r="85">
      <x:c r="A85" s="44"/>
      <x:c r="B85" s="44"/>
      <x:c r="C85" s="44"/>
      <x:c r="D85" s="44"/>
      <x:c r="E85" s="44"/>
      <x:c r="F85" s="44"/>
      <x:c r="G85" s="44"/>
      <x:c r="H85" s="44"/>
      <x:c r="I85" s="44"/>
      <x:c r="J85" s="44"/>
      <x:c r="K85" s="44"/>
      <x:c r="L85" s="44"/>
      <x:c r="M85" s="44"/>
      <x:c r="N85" s="44"/>
      <x:c r="O85" s="44"/>
      <x:c r="P85" s="44"/>
      <x:c r="Q85" s="44"/>
      <x:c r="R85" s="44"/>
      <x:c r="S85" s="44"/>
    </x:row>
    <x:row r="86">
      <x:c r="A86" s="44"/>
      <x:c r="B86" s="44"/>
      <x:c r="C86" s="44"/>
      <x:c r="D86" s="44"/>
      <x:c r="E86" s="44"/>
      <x:c r="F86" s="44"/>
      <x:c r="G86" s="44"/>
      <x:c r="H86" s="44"/>
      <x:c r="I86" s="44"/>
      <x:c r="J86" s="44"/>
      <x:c r="K86" s="44"/>
      <x:c r="L86" s="44"/>
      <x:c r="M86" s="44"/>
      <x:c r="N86" s="44"/>
      <x:c r="O86" s="44"/>
      <x:c r="P86" s="44"/>
      <x:c r="Q86" s="44"/>
      <x:c r="R86" s="44"/>
      <x:c r="S86" s="44"/>
    </x:row>
    <x:row r="87">
      <x:c r="A87" s="44"/>
      <x:c r="B87" s="44"/>
      <x:c r="C87" s="44"/>
      <x:c r="D87" s="44"/>
      <x:c r="E87" s="44"/>
      <x:c r="F87" s="44"/>
      <x:c r="G87" s="44"/>
      <x:c r="H87" s="44"/>
      <x:c r="I87" s="44"/>
      <x:c r="J87" s="44"/>
      <x:c r="K87" s="44"/>
      <x:c r="L87" s="44"/>
      <x:c r="M87" s="44"/>
      <x:c r="N87" s="44"/>
      <x:c r="O87" s="44"/>
      <x:c r="P87" s="44"/>
      <x:c r="Q87" s="44"/>
      <x:c r="R87" s="44"/>
      <x:c r="S87" s="44"/>
    </x:row>
    <x:row r="88">
      <x:c r="A88" s="44"/>
      <x:c r="B88" s="44"/>
      <x:c r="C88" s="44"/>
      <x:c r="D88" s="44"/>
      <x:c r="E88" s="44"/>
      <x:c r="F88" s="44"/>
      <x:c r="G88" s="44"/>
      <x:c r="H88" s="44"/>
      <x:c r="I88" s="44"/>
      <x:c r="J88" s="44"/>
      <x:c r="K88" s="44"/>
      <x:c r="L88" s="44"/>
      <x:c r="M88" s="44"/>
      <x:c r="N88" s="44"/>
      <x:c r="O88" s="44"/>
      <x:c r="P88" s="44"/>
      <x:c r="Q88" s="44"/>
      <x:c r="R88" s="44"/>
      <x:c r="S88" s="44"/>
    </x:row>
    <x:row r="89">
      <x:c r="A89" s="44"/>
      <x:c r="B89" s="44"/>
      <x:c r="C89" s="44"/>
      <x:c r="D89" s="44"/>
      <x:c r="E89" s="44"/>
      <x:c r="F89" s="44"/>
      <x:c r="G89" s="44"/>
      <x:c r="H89" s="44"/>
      <x:c r="I89" s="44"/>
      <x:c r="J89" s="44"/>
      <x:c r="K89" s="44"/>
      <x:c r="L89" s="44"/>
      <x:c r="M89" s="44"/>
      <x:c r="N89" s="44"/>
      <x:c r="O89" s="44"/>
      <x:c r="P89" s="44"/>
      <x:c r="Q89" s="44"/>
      <x:c r="R89" s="44"/>
      <x:c r="S89" s="44"/>
    </x:row>
    <x:row r="90">
      <x:c r="A90" s="44"/>
      <x:c r="B90" s="44"/>
      <x:c r="C90" s="44"/>
      <x:c r="D90" s="44"/>
      <x:c r="E90" s="44"/>
      <x:c r="F90" s="44"/>
      <x:c r="G90" s="44"/>
      <x:c r="H90" s="44"/>
      <x:c r="I90" s="44"/>
      <x:c r="J90" s="44"/>
      <x:c r="K90" s="44"/>
      <x:c r="L90" s="44"/>
      <x:c r="M90" s="44"/>
      <x:c r="N90" s="44"/>
      <x:c r="O90" s="44"/>
      <x:c r="P90" s="44"/>
      <x:c r="Q90" s="44"/>
      <x:c r="R90" s="44"/>
      <x:c r="S90" s="44"/>
    </x:row>
    <x:row r="91">
      <x:c r="A91" s="44"/>
      <x:c r="B91" s="44"/>
      <x:c r="C91" s="44"/>
      <x:c r="D91" s="44"/>
      <x:c r="E91" s="44"/>
      <x:c r="F91" s="44"/>
      <x:c r="G91" s="44"/>
      <x:c r="H91" s="44"/>
      <x:c r="I91" s="44"/>
      <x:c r="J91" s="44"/>
      <x:c r="K91" s="44"/>
      <x:c r="L91" s="44"/>
      <x:c r="M91" s="44"/>
      <x:c r="N91" s="44"/>
      <x:c r="O91" s="44"/>
      <x:c r="P91" s="44"/>
      <x:c r="Q91" s="44"/>
      <x:c r="R91" s="44"/>
      <x:c r="S91" s="44"/>
    </x:row>
    <x:row r="92">
      <x:c r="A92" s="44"/>
      <x:c r="B92" s="44"/>
      <x:c r="C92" s="44"/>
      <x:c r="D92" s="44"/>
      <x:c r="E92" s="44"/>
      <x:c r="F92" s="44"/>
      <x:c r="G92" s="44"/>
      <x:c r="H92" s="44"/>
      <x:c r="I92" s="44"/>
      <x:c r="J92" s="44"/>
      <x:c r="K92" s="44"/>
      <x:c r="L92" s="44"/>
      <x:c r="M92" s="44"/>
      <x:c r="N92" s="44"/>
      <x:c r="O92" s="44"/>
      <x:c r="P92" s="44"/>
      <x:c r="Q92" s="44"/>
      <x:c r="R92" s="44"/>
      <x:c r="S92" s="44"/>
    </x:row>
    <x:row r="93">
      <x:c r="A93" s="44"/>
      <x:c r="B93" s="44"/>
      <x:c r="C93" s="44"/>
      <x:c r="D93" s="44"/>
      <x:c r="E93" s="44"/>
      <x:c r="F93" s="44"/>
      <x:c r="G93" s="44"/>
      <x:c r="H93" s="44"/>
      <x:c r="I93" s="44"/>
      <x:c r="J93" s="44"/>
      <x:c r="K93" s="44"/>
      <x:c r="L93" s="44"/>
      <x:c r="M93" s="44"/>
      <x:c r="N93" s="44"/>
      <x:c r="O93" s="44"/>
      <x:c r="P93" s="44"/>
      <x:c r="Q93" s="44"/>
      <x:c r="R93" s="44"/>
      <x:c r="S93" s="44"/>
    </x:row>
    <x:row r="94">
      <x:c r="A94" s="44"/>
      <x:c r="B94" s="44"/>
      <x:c r="C94" s="44"/>
      <x:c r="D94" s="44"/>
      <x:c r="E94" s="44"/>
      <x:c r="F94" s="44"/>
      <x:c r="G94" s="44"/>
      <x:c r="H94" s="44"/>
      <x:c r="I94" s="44"/>
      <x:c r="J94" s="44"/>
      <x:c r="K94" s="44"/>
      <x:c r="L94" s="44"/>
      <x:c r="M94" s="44"/>
      <x:c r="N94" s="44"/>
      <x:c r="O94" s="44"/>
      <x:c r="P94" s="44"/>
      <x:c r="Q94" s="44"/>
      <x:c r="R94" s="44"/>
      <x:c r="S94" s="44"/>
    </x:row>
    <x:row r="95">
      <x:c r="A95" s="44"/>
      <x:c r="B95" s="44"/>
      <x:c r="C95" s="44"/>
      <x:c r="D95" s="44"/>
      <x:c r="E95" s="44"/>
      <x:c r="F95" s="44"/>
      <x:c r="G95" s="44"/>
      <x:c r="H95" s="44"/>
      <x:c r="I95" s="44"/>
      <x:c r="J95" s="44"/>
      <x:c r="K95" s="44"/>
      <x:c r="L95" s="44"/>
      <x:c r="M95" s="44"/>
      <x:c r="N95" s="44"/>
      <x:c r="O95" s="44"/>
      <x:c r="P95" s="44"/>
      <x:c r="Q95" s="44"/>
      <x:c r="R95" s="44"/>
      <x:c r="S95" s="44"/>
    </x:row>
    <x:row r="96">
      <x:c r="A96" s="44"/>
      <x:c r="B96" s="44"/>
      <x:c r="C96" s="44"/>
      <x:c r="D96" s="44"/>
      <x:c r="E96" s="44"/>
      <x:c r="F96" s="44"/>
      <x:c r="G96" s="44"/>
      <x:c r="H96" s="44"/>
      <x:c r="I96" s="44"/>
      <x:c r="J96" s="44"/>
      <x:c r="K96" s="44"/>
      <x:c r="L96" s="44"/>
      <x:c r="M96" s="44"/>
      <x:c r="N96" s="44"/>
      <x:c r="O96" s="44"/>
      <x:c r="P96" s="44"/>
      <x:c r="Q96" s="44"/>
      <x:c r="R96" s="44"/>
      <x:c r="S96" s="44"/>
    </x:row>
    <x:row r="97">
      <x:c r="A97" s="44"/>
      <x:c r="B97" s="44"/>
      <x:c r="C97" s="44"/>
      <x:c r="D97" s="44"/>
      <x:c r="E97" s="44"/>
      <x:c r="F97" s="44"/>
      <x:c r="G97" s="44"/>
      <x:c r="H97" s="44"/>
      <x:c r="I97" s="44"/>
      <x:c r="J97" s="44"/>
      <x:c r="K97" s="44"/>
      <x:c r="L97" s="44"/>
      <x:c r="M97" s="44"/>
      <x:c r="N97" s="44"/>
      <x:c r="O97" s="44"/>
      <x:c r="P97" s="44"/>
      <x:c r="Q97" s="44"/>
      <x:c r="R97" s="44"/>
      <x:c r="S97" s="44"/>
    </x:row>
    <x:row r="98">
      <x:c r="A98" s="44"/>
      <x:c r="B98" s="44"/>
      <x:c r="C98" s="44"/>
      <x:c r="D98" s="44"/>
      <x:c r="E98" s="44"/>
      <x:c r="F98" s="44"/>
      <x:c r="G98" s="44"/>
      <x:c r="H98" s="44"/>
      <x:c r="I98" s="44"/>
      <x:c r="J98" s="44"/>
      <x:c r="K98" s="44"/>
      <x:c r="L98" s="44"/>
      <x:c r="M98" s="44"/>
      <x:c r="N98" s="44"/>
      <x:c r="O98" s="44"/>
      <x:c r="P98" s="44"/>
      <x:c r="Q98" s="44"/>
      <x:c r="R98" s="44"/>
      <x:c r="S98" s="44"/>
    </x:row>
    <x:row r="99">
      <x:c r="A99" s="44"/>
      <x:c r="B99" s="44"/>
      <x:c r="C99" s="44"/>
      <x:c r="D99" s="44"/>
      <x:c r="E99" s="44"/>
      <x:c r="F99" s="44"/>
      <x:c r="G99" s="44"/>
      <x:c r="H99" s="44"/>
      <x:c r="I99" s="44"/>
      <x:c r="J99" s="44"/>
      <x:c r="K99" s="44"/>
      <x:c r="L99" s="44"/>
      <x:c r="M99" s="44"/>
      <x:c r="N99" s="44"/>
      <x:c r="O99" s="44"/>
      <x:c r="P99" s="44"/>
      <x:c r="Q99" s="44"/>
      <x:c r="R99" s="44"/>
      <x:c r="S99" s="44"/>
    </x:row>
    <x:row r="100">
      <x:c r="A100" s="44"/>
      <x:c r="B100" s="44"/>
      <x:c r="C100" s="44"/>
      <x:c r="D100" s="44"/>
      <x:c r="E100" s="44"/>
      <x:c r="F100" s="44"/>
      <x:c r="G100" s="44"/>
      <x:c r="H100" s="44"/>
      <x:c r="I100" s="44"/>
      <x:c r="J100" s="44"/>
      <x:c r="K100" s="44"/>
      <x:c r="L100" s="44"/>
      <x:c r="M100" s="44"/>
      <x:c r="N100" s="44"/>
      <x:c r="O100" s="44"/>
      <x:c r="P100" s="44"/>
      <x:c r="Q100" s="44"/>
      <x:c r="R100" s="44"/>
      <x:c r="S100" s="44"/>
    </x:row>
    <x:row r="101">
      <x:c r="A101" s="44"/>
      <x:c r="B101" s="44"/>
      <x:c r="C101" s="44"/>
      <x:c r="D101" s="44"/>
      <x:c r="E101" s="44"/>
      <x:c r="F101" s="44"/>
      <x:c r="G101" s="44"/>
      <x:c r="H101" s="44"/>
      <x:c r="I101" s="44"/>
      <x:c r="J101" s="44"/>
      <x:c r="K101" s="44"/>
      <x:c r="L101" s="44"/>
      <x:c r="M101" s="44"/>
      <x:c r="N101" s="44"/>
      <x:c r="O101" s="44"/>
      <x:c r="P101" s="44"/>
      <x:c r="Q101" s="44"/>
      <x:c r="R101" s="44"/>
      <x:c r="S101" s="44"/>
    </x:row>
    <x:row r="102">
      <x:c r="A102" s="44"/>
      <x:c r="B102" s="44"/>
      <x:c r="C102" s="44"/>
      <x:c r="D102" s="44"/>
      <x:c r="E102" s="44"/>
      <x:c r="F102" s="44"/>
      <x:c r="G102" s="44"/>
      <x:c r="H102" s="44"/>
      <x:c r="I102" s="44"/>
      <x:c r="J102" s="44"/>
      <x:c r="K102" s="44"/>
      <x:c r="L102" s="44"/>
      <x:c r="M102" s="44"/>
      <x:c r="N102" s="44"/>
      <x:c r="O102" s="44"/>
      <x:c r="P102" s="44"/>
      <x:c r="Q102" s="44"/>
      <x:c r="R102" s="44"/>
      <x:c r="S102" s="44"/>
    </x:row>
    <x:row r="103">
      <x:c r="A103" s="44"/>
      <x:c r="B103" s="44"/>
      <x:c r="C103" s="44"/>
      <x:c r="D103" s="44"/>
      <x:c r="E103" s="44"/>
      <x:c r="F103" s="44"/>
      <x:c r="G103" s="44"/>
      <x:c r="H103" s="44"/>
      <x:c r="I103" s="44"/>
      <x:c r="J103" s="44"/>
      <x:c r="K103" s="44"/>
      <x:c r="L103" s="44"/>
      <x:c r="M103" s="44"/>
      <x:c r="N103" s="44"/>
      <x:c r="O103" s="44"/>
      <x:c r="P103" s="44"/>
      <x:c r="Q103" s="44"/>
      <x:c r="R103" s="44"/>
      <x:c r="S103" s="44"/>
    </x:row>
    <x:row r="104">
      <x:c r="A104" s="44"/>
      <x:c r="B104" s="44"/>
      <x:c r="C104" s="44"/>
      <x:c r="D104" s="44"/>
      <x:c r="E104" s="44"/>
      <x:c r="F104" s="44"/>
      <x:c r="G104" s="44"/>
      <x:c r="H104" s="44"/>
      <x:c r="I104" s="44"/>
      <x:c r="J104" s="44"/>
      <x:c r="K104" s="44"/>
      <x:c r="L104" s="44"/>
      <x:c r="M104" s="44"/>
      <x:c r="N104" s="44"/>
      <x:c r="O104" s="44"/>
      <x:c r="P104" s="44"/>
      <x:c r="Q104" s="44"/>
      <x:c r="R104" s="44"/>
      <x:c r="S104" s="44"/>
    </x:row>
    <x:row r="105">
      <x:c r="A105" s="44"/>
      <x:c r="B105" s="44"/>
      <x:c r="C105" s="44"/>
      <x:c r="D105" s="44"/>
      <x:c r="E105" s="44"/>
      <x:c r="F105" s="44"/>
      <x:c r="G105" s="44"/>
      <x:c r="H105" s="44"/>
      <x:c r="I105" s="44"/>
      <x:c r="J105" s="44"/>
      <x:c r="K105" s="44"/>
      <x:c r="L105" s="44"/>
      <x:c r="M105" s="44"/>
      <x:c r="N105" s="44"/>
      <x:c r="O105" s="44"/>
      <x:c r="P105" s="44"/>
      <x:c r="Q105" s="44"/>
      <x:c r="R105" s="44"/>
      <x:c r="S105" s="44"/>
    </x:row>
    <x:row r="106">
      <x:c r="A106" s="44"/>
      <x:c r="B106" s="44"/>
      <x:c r="C106" s="44"/>
      <x:c r="D106" s="44"/>
      <x:c r="E106" s="44"/>
      <x:c r="F106" s="44"/>
      <x:c r="G106" s="44"/>
      <x:c r="H106" s="44"/>
      <x:c r="I106" s="44"/>
      <x:c r="J106" s="44"/>
      <x:c r="K106" s="44"/>
      <x:c r="L106" s="44"/>
      <x:c r="M106" s="44"/>
      <x:c r="N106" s="44"/>
      <x:c r="O106" s="44"/>
      <x:c r="P106" s="44"/>
      <x:c r="Q106" s="44"/>
      <x:c r="R106" s="44"/>
      <x:c r="S106" s="44"/>
    </x:row>
    <x:row r="107">
      <x:c r="A107" s="44"/>
      <x:c r="B107" s="44"/>
      <x:c r="C107" s="44"/>
      <x:c r="D107" s="44"/>
      <x:c r="E107" s="44"/>
      <x:c r="F107" s="44"/>
      <x:c r="G107" s="44"/>
      <x:c r="H107" s="44"/>
      <x:c r="I107" s="44"/>
      <x:c r="J107" s="44"/>
      <x:c r="K107" s="44"/>
      <x:c r="L107" s="44"/>
      <x:c r="M107" s="44"/>
      <x:c r="N107" s="44"/>
      <x:c r="O107" s="44"/>
      <x:c r="P107" s="44"/>
      <x:c r="Q107" s="44"/>
      <x:c r="R107" s="44"/>
      <x:c r="S107" s="44"/>
    </x:row>
    <x:row r="108">
      <x:c r="A108" s="44"/>
      <x:c r="B108" s="44"/>
      <x:c r="C108" s="44"/>
      <x:c r="D108" s="44"/>
      <x:c r="E108" s="44"/>
      <x:c r="F108" s="44"/>
      <x:c r="G108" s="44"/>
      <x:c r="H108" s="44"/>
      <x:c r="I108" s="44"/>
      <x:c r="J108" s="44"/>
      <x:c r="K108" s="44"/>
      <x:c r="L108" s="44"/>
      <x:c r="M108" s="44"/>
      <x:c r="N108" s="44"/>
      <x:c r="O108" s="44"/>
      <x:c r="P108" s="44"/>
      <x:c r="Q108" s="44"/>
      <x:c r="R108" s="44"/>
      <x:c r="S108" s="44"/>
    </x:row>
    <x:row r="109">
      <x:c r="A109" s="44"/>
      <x:c r="B109" s="44"/>
      <x:c r="C109" s="44"/>
      <x:c r="D109" s="44"/>
      <x:c r="E109" s="44"/>
      <x:c r="F109" s="44"/>
      <x:c r="G109" s="44"/>
      <x:c r="H109" s="44"/>
      <x:c r="I109" s="44"/>
      <x:c r="J109" s="44"/>
      <x:c r="K109" s="44"/>
      <x:c r="L109" s="44"/>
      <x:c r="M109" s="44"/>
      <x:c r="N109" s="44"/>
      <x:c r="O109" s="44"/>
      <x:c r="P109" s="44"/>
      <x:c r="Q109" s="44"/>
      <x:c r="R109" s="44"/>
      <x:c r="S109" s="44"/>
    </x:row>
    <x:row r="110">
      <x:c r="A110" s="44"/>
      <x:c r="B110" s="44"/>
      <x:c r="C110" s="44"/>
      <x:c r="D110" s="44"/>
      <x:c r="E110" s="44"/>
      <x:c r="F110" s="44"/>
      <x:c r="G110" s="44"/>
      <x:c r="H110" s="44"/>
      <x:c r="I110" s="44"/>
      <x:c r="J110" s="44"/>
      <x:c r="K110" s="44"/>
      <x:c r="L110" s="44"/>
      <x:c r="M110" s="44"/>
      <x:c r="N110" s="44"/>
      <x:c r="O110" s="44"/>
      <x:c r="P110" s="44"/>
      <x:c r="Q110" s="44"/>
      <x:c r="R110" s="44"/>
      <x:c r="S110" s="44"/>
    </x:row>
    <x:row r="111">
      <x:c r="A111" s="44"/>
      <x:c r="B111" s="44"/>
      <x:c r="C111" s="44"/>
      <x:c r="D111" s="44"/>
      <x:c r="E111" s="44"/>
      <x:c r="F111" s="44"/>
      <x:c r="G111" s="44"/>
      <x:c r="H111" s="44"/>
      <x:c r="I111" s="44"/>
      <x:c r="J111" s="44"/>
      <x:c r="K111" s="44"/>
      <x:c r="L111" s="44"/>
      <x:c r="M111" s="44"/>
      <x:c r="N111" s="44"/>
      <x:c r="O111" s="44"/>
      <x:c r="P111" s="44"/>
      <x:c r="Q111" s="44"/>
      <x:c r="R111" s="44"/>
      <x:c r="S111" s="44"/>
    </x:row>
    <x:row r="112">
      <x:c r="A112" s="44"/>
      <x:c r="B112" s="44"/>
      <x:c r="C112" s="44"/>
      <x:c r="D112" s="44"/>
      <x:c r="E112" s="44"/>
      <x:c r="F112" s="44"/>
      <x:c r="G112" s="44"/>
      <x:c r="H112" s="44"/>
      <x:c r="I112" s="44"/>
      <x:c r="J112" s="44"/>
      <x:c r="K112" s="44"/>
      <x:c r="L112" s="44"/>
      <x:c r="M112" s="44"/>
      <x:c r="N112" s="44"/>
      <x:c r="O112" s="44"/>
      <x:c r="P112" s="44"/>
      <x:c r="Q112" s="44"/>
      <x:c r="R112" s="44"/>
      <x:c r="S112" s="44"/>
    </x:row>
    <x:row r="113">
      <x:c r="A113" s="44"/>
      <x:c r="B113" s="44"/>
      <x:c r="C113" s="44"/>
      <x:c r="D113" s="44"/>
      <x:c r="E113" s="44"/>
      <x:c r="F113" s="44"/>
      <x:c r="G113" s="44"/>
      <x:c r="H113" s="44"/>
      <x:c r="I113" s="44"/>
      <x:c r="J113" s="44"/>
      <x:c r="K113" s="44"/>
      <x:c r="L113" s="44"/>
      <x:c r="M113" s="44"/>
      <x:c r="N113" s="44"/>
      <x:c r="O113" s="44"/>
      <x:c r="P113" s="44"/>
      <x:c r="Q113" s="44"/>
      <x:c r="R113" s="44"/>
      <x:c r="S113" s="44"/>
    </x:row>
    <x:row r="114">
      <x:c r="A114" s="44"/>
      <x:c r="B114" s="44"/>
      <x:c r="C114" s="44"/>
      <x:c r="D114" s="44"/>
      <x:c r="E114" s="44"/>
      <x:c r="F114" s="44"/>
      <x:c r="G114" s="44"/>
      <x:c r="H114" s="44"/>
      <x:c r="I114" s="44"/>
      <x:c r="J114" s="44"/>
      <x:c r="K114" s="44"/>
      <x:c r="L114" s="44"/>
      <x:c r="M114" s="44"/>
      <x:c r="N114" s="44"/>
      <x:c r="O114" s="44"/>
      <x:c r="P114" s="44"/>
      <x:c r="Q114" s="44"/>
      <x:c r="R114" s="44"/>
      <x:c r="S114" s="44"/>
    </x:row>
    <x:row r="115">
      <x:c r="A115" s="44"/>
      <x:c r="B115" s="44"/>
      <x:c r="C115" s="44"/>
      <x:c r="D115" s="44"/>
      <x:c r="E115" s="44"/>
      <x:c r="F115" s="44"/>
      <x:c r="G115" s="44"/>
      <x:c r="H115" s="44"/>
      <x:c r="I115" s="44"/>
      <x:c r="J115" s="44"/>
      <x:c r="K115" s="44"/>
      <x:c r="L115" s="44"/>
      <x:c r="M115" s="44"/>
      <x:c r="N115" s="44"/>
      <x:c r="O115" s="44"/>
      <x:c r="P115" s="44"/>
      <x:c r="Q115" s="44"/>
      <x:c r="R115" s="44"/>
      <x:c r="S115" s="44"/>
    </x:row>
    <x:row r="116">
      <x:c r="A116" s="44"/>
      <x:c r="B116" s="44"/>
      <x:c r="C116" s="44"/>
      <x:c r="D116" s="44"/>
      <x:c r="E116" s="44"/>
      <x:c r="F116" s="44"/>
      <x:c r="G116" s="44"/>
      <x:c r="H116" s="44"/>
      <x:c r="I116" s="44"/>
      <x:c r="J116" s="44"/>
      <x:c r="K116" s="44"/>
      <x:c r="L116" s="44"/>
      <x:c r="M116" s="44"/>
      <x:c r="N116" s="44"/>
      <x:c r="O116" s="44"/>
      <x:c r="P116" s="44"/>
      <x:c r="Q116" s="44"/>
      <x:c r="R116" s="44"/>
      <x:c r="S116" s="44"/>
    </x:row>
    <x:row r="117">
      <x:c r="A117" s="44"/>
      <x:c r="B117" s="44"/>
      <x:c r="C117" s="44"/>
      <x:c r="D117" s="44"/>
      <x:c r="E117" s="44"/>
      <x:c r="F117" s="44"/>
      <x:c r="G117" s="44"/>
      <x:c r="H117" s="44"/>
      <x:c r="I117" s="44"/>
      <x:c r="J117" s="44"/>
      <x:c r="K117" s="44"/>
      <x:c r="L117" s="44"/>
      <x:c r="M117" s="44"/>
      <x:c r="N117" s="44"/>
      <x:c r="O117" s="44"/>
      <x:c r="P117" s="44"/>
      <x:c r="Q117" s="44"/>
      <x:c r="R117" s="44"/>
      <x:c r="S117" s="44"/>
    </x:row>
    <x:row r="118">
      <x:c r="A118" s="44"/>
      <x:c r="B118" s="44"/>
      <x:c r="C118" s="44"/>
      <x:c r="D118" s="44"/>
      <x:c r="E118" s="44"/>
      <x:c r="F118" s="44"/>
      <x:c r="G118" s="44"/>
      <x:c r="H118" s="44"/>
      <x:c r="I118" s="44"/>
      <x:c r="J118" s="44"/>
      <x:c r="K118" s="44"/>
      <x:c r="L118" s="44"/>
      <x:c r="M118" s="44"/>
      <x:c r="N118" s="44"/>
      <x:c r="O118" s="44"/>
      <x:c r="P118" s="44"/>
      <x:c r="Q118" s="44"/>
      <x:c r="R118" s="44"/>
      <x:c r="S118" s="44"/>
    </x:row>
    <x:row r="119">
      <x:c r="A119" s="44"/>
      <x:c r="B119" s="44"/>
      <x:c r="C119" s="44"/>
      <x:c r="D119" s="44"/>
      <x:c r="E119" s="44"/>
      <x:c r="F119" s="44"/>
      <x:c r="G119" s="44"/>
      <x:c r="H119" s="44"/>
      <x:c r="I119" s="44"/>
      <x:c r="J119" s="44"/>
      <x:c r="K119" s="44"/>
      <x:c r="L119" s="44"/>
      <x:c r="M119" s="44"/>
      <x:c r="N119" s="44"/>
      <x:c r="O119" s="44"/>
      <x:c r="P119" s="44"/>
      <x:c r="Q119" s="44"/>
      <x:c r="R119" s="44"/>
      <x:c r="S119" s="44"/>
    </x:row>
    <x:row r="120">
      <x:c r="A120" s="44"/>
      <x:c r="B120" s="44"/>
      <x:c r="C120" s="44"/>
      <x:c r="D120" s="44"/>
      <x:c r="E120" s="44"/>
      <x:c r="F120" s="44"/>
      <x:c r="G120" s="44"/>
      <x:c r="H120" s="44"/>
      <x:c r="I120" s="44"/>
      <x:c r="J120" s="44"/>
      <x:c r="K120" s="44"/>
      <x:c r="L120" s="44"/>
      <x:c r="M120" s="44"/>
      <x:c r="N120" s="44"/>
      <x:c r="O120" s="44"/>
      <x:c r="P120" s="44"/>
      <x:c r="Q120" s="44"/>
      <x:c r="R120" s="44"/>
      <x:c r="S120" s="44"/>
    </x:row>
    <x:row r="121">
      <x:c r="A121" s="44"/>
      <x:c r="B121" s="44"/>
      <x:c r="C121" s="44"/>
      <x:c r="D121" s="44"/>
      <x:c r="E121" s="44"/>
      <x:c r="F121" s="44"/>
      <x:c r="G121" s="44"/>
      <x:c r="H121" s="44"/>
      <x:c r="I121" s="44"/>
      <x:c r="J121" s="44"/>
      <x:c r="K121" s="44"/>
      <x:c r="L121" s="44"/>
      <x:c r="M121" s="44"/>
      <x:c r="N121" s="44"/>
      <x:c r="O121" s="44"/>
      <x:c r="P121" s="44"/>
      <x:c r="Q121" s="44"/>
      <x:c r="R121" s="44"/>
      <x:c r="S121" s="44"/>
    </x:row>
    <x:row r="122">
      <x:c r="A122" s="44"/>
      <x:c r="B122" s="44"/>
      <x:c r="C122" s="44"/>
      <x:c r="D122" s="44"/>
      <x:c r="E122" s="44"/>
      <x:c r="F122" s="44"/>
      <x:c r="G122" s="44"/>
      <x:c r="H122" s="44"/>
      <x:c r="I122" s="44"/>
      <x:c r="J122" s="44"/>
      <x:c r="K122" s="44"/>
      <x:c r="L122" s="44"/>
      <x:c r="M122" s="44"/>
      <x:c r="N122" s="44"/>
      <x:c r="O122" s="44"/>
      <x:c r="P122" s="44"/>
      <x:c r="Q122" s="44"/>
      <x:c r="R122" s="44"/>
      <x:c r="S122" s="44"/>
    </x:row>
    <x:row r="123">
      <x:c r="A123" s="44"/>
      <x:c r="B123" s="44"/>
      <x:c r="C123" s="44"/>
      <x:c r="D123" s="44"/>
      <x:c r="E123" s="44"/>
      <x:c r="F123" s="44"/>
      <x:c r="G123" s="44"/>
      <x:c r="H123" s="44"/>
      <x:c r="I123" s="44"/>
      <x:c r="J123" s="44"/>
      <x:c r="K123" s="44"/>
      <x:c r="L123" s="44"/>
      <x:c r="M123" s="44"/>
      <x:c r="N123" s="44"/>
      <x:c r="O123" s="44"/>
      <x:c r="P123" s="44"/>
      <x:c r="Q123" s="44"/>
      <x:c r="R123" s="44"/>
      <x:c r="S123" s="44"/>
    </x:row>
    <x:row r="124">
      <x:c r="A124" s="44"/>
      <x:c r="B124" s="44"/>
      <x:c r="C124" s="44"/>
      <x:c r="D124" s="44"/>
      <x:c r="E124" s="44"/>
      <x:c r="F124" s="44"/>
      <x:c r="G124" s="44"/>
      <x:c r="H124" s="44"/>
      <x:c r="I124" s="44"/>
      <x:c r="J124" s="44"/>
      <x:c r="K124" s="44"/>
      <x:c r="L124" s="44"/>
      <x:c r="M124" s="44"/>
      <x:c r="N124" s="44"/>
      <x:c r="O124" s="44"/>
      <x:c r="P124" s="44"/>
      <x:c r="Q124" s="44"/>
      <x:c r="R124" s="44"/>
      <x:c r="S124" s="44"/>
    </x:row>
    <x:row r="125">
      <x:c r="A125" s="44"/>
      <x:c r="B125" s="44"/>
      <x:c r="C125" s="44"/>
      <x:c r="D125" s="44"/>
      <x:c r="E125" s="44"/>
      <x:c r="F125" s="44"/>
      <x:c r="G125" s="44"/>
      <x:c r="H125" s="44"/>
      <x:c r="I125" s="44"/>
      <x:c r="J125" s="44"/>
      <x:c r="K125" s="44"/>
      <x:c r="L125" s="44"/>
      <x:c r="M125" s="44"/>
      <x:c r="N125" s="44"/>
      <x:c r="O125" s="44"/>
      <x:c r="P125" s="44"/>
      <x:c r="Q125" s="44"/>
      <x:c r="R125" s="44"/>
      <x:c r="S125" s="44"/>
    </x:row>
    <x:row r="126">
      <x:c r="A126" s="44"/>
      <x:c r="B126" s="44"/>
      <x:c r="C126" s="44"/>
      <x:c r="D126" s="44"/>
      <x:c r="E126" s="44"/>
      <x:c r="F126" s="44"/>
      <x:c r="G126" s="44"/>
      <x:c r="H126" s="44"/>
      <x:c r="I126" s="44"/>
      <x:c r="J126" s="44"/>
      <x:c r="K126" s="44"/>
      <x:c r="L126" s="44"/>
      <x:c r="M126" s="44"/>
      <x:c r="N126" s="44"/>
      <x:c r="O126" s="44"/>
      <x:c r="P126" s="44"/>
      <x:c r="Q126" s="44"/>
      <x:c r="R126" s="44"/>
      <x:c r="S126" s="44"/>
    </x:row>
    <x:row r="127">
      <x:c r="A127" s="44"/>
      <x:c r="B127" s="44"/>
      <x:c r="C127" s="44"/>
      <x:c r="D127" s="44"/>
      <x:c r="E127" s="44"/>
      <x:c r="F127" s="44"/>
      <x:c r="G127" s="44"/>
      <x:c r="H127" s="44"/>
      <x:c r="I127" s="44"/>
      <x:c r="J127" s="44"/>
      <x:c r="K127" s="44"/>
      <x:c r="L127" s="44"/>
      <x:c r="M127" s="44"/>
      <x:c r="N127" s="44"/>
      <x:c r="O127" s="44"/>
      <x:c r="P127" s="44"/>
      <x:c r="Q127" s="44"/>
      <x:c r="R127" s="44"/>
      <x:c r="S127" s="44"/>
    </x:row>
    <x:row r="128">
      <x:c r="A128" s="44"/>
      <x:c r="B128" s="44"/>
      <x:c r="C128" s="44"/>
      <x:c r="D128" s="44"/>
      <x:c r="E128" s="44"/>
      <x:c r="F128" s="44"/>
      <x:c r="G128" s="44"/>
      <x:c r="H128" s="44"/>
      <x:c r="I128" s="44"/>
      <x:c r="J128" s="44"/>
      <x:c r="K128" s="44"/>
      <x:c r="L128" s="44"/>
      <x:c r="M128" s="44"/>
      <x:c r="N128" s="44"/>
      <x:c r="O128" s="44"/>
      <x:c r="P128" s="44"/>
      <x:c r="Q128" s="44"/>
      <x:c r="R128" s="44"/>
      <x:c r="S128" s="44"/>
    </x:row>
    <x:row r="129">
      <x:c r="A129" s="44"/>
      <x:c r="B129" s="44"/>
      <x:c r="C129" s="44"/>
      <x:c r="D129" s="44"/>
      <x:c r="E129" s="44"/>
      <x:c r="F129" s="44"/>
      <x:c r="G129" s="44"/>
      <x:c r="H129" s="44"/>
      <x:c r="I129" s="44"/>
      <x:c r="J129" s="44"/>
      <x:c r="K129" s="44"/>
      <x:c r="L129" s="44"/>
      <x:c r="M129" s="44"/>
      <x:c r="N129" s="44"/>
      <x:c r="O129" s="44"/>
      <x:c r="P129" s="44"/>
      <x:c r="Q129" s="44"/>
      <x:c r="R129" s="44"/>
      <x:c r="S129" s="44"/>
    </x:row>
    <x:row r="130">
      <x:c r="A130" s="44"/>
      <x:c r="B130" s="44"/>
      <x:c r="C130" s="44"/>
      <x:c r="D130" s="44"/>
      <x:c r="E130" s="44"/>
      <x:c r="F130" s="44"/>
      <x:c r="G130" s="44"/>
      <x:c r="H130" s="44"/>
      <x:c r="I130" s="44"/>
      <x:c r="J130" s="44"/>
      <x:c r="K130" s="44"/>
      <x:c r="L130" s="44"/>
      <x:c r="M130" s="44"/>
      <x:c r="N130" s="44"/>
      <x:c r="O130" s="44"/>
      <x:c r="P130" s="44"/>
      <x:c r="Q130" s="44"/>
      <x:c r="R130" s="44"/>
      <x:c r="S130" s="44"/>
    </x:row>
    <x:row r="131">
      <x:c r="A131" s="44"/>
      <x:c r="B131" s="44"/>
      <x:c r="C131" s="44"/>
      <x:c r="D131" s="44"/>
      <x:c r="E131" s="44"/>
      <x:c r="F131" s="44"/>
      <x:c r="G131" s="44"/>
      <x:c r="H131" s="44"/>
      <x:c r="I131" s="44"/>
      <x:c r="J131" s="44"/>
      <x:c r="K131" s="44"/>
      <x:c r="L131" s="44"/>
      <x:c r="M131" s="44"/>
      <x:c r="N131" s="44"/>
      <x:c r="O131" s="44"/>
      <x:c r="P131" s="44"/>
      <x:c r="Q131" s="44"/>
      <x:c r="R131" s="44"/>
      <x:c r="S131" s="44"/>
    </x:row>
    <x:row r="132">
      <x:c r="A132" s="44"/>
      <x:c r="B132" s="44"/>
      <x:c r="C132" s="44"/>
      <x:c r="D132" s="44"/>
      <x:c r="E132" s="44"/>
      <x:c r="F132" s="44"/>
      <x:c r="G132" s="44"/>
      <x:c r="H132" s="44"/>
      <x:c r="I132" s="44"/>
      <x:c r="J132" s="44"/>
      <x:c r="K132" s="44"/>
      <x:c r="L132" s="44"/>
      <x:c r="M132" s="44"/>
      <x:c r="N132" s="44"/>
      <x:c r="O132" s="44"/>
      <x:c r="P132" s="44"/>
      <x:c r="Q132" s="44"/>
      <x:c r="R132" s="44"/>
      <x:c r="S132" s="44"/>
    </x:row>
    <x:row r="133">
      <x:c r="A133" s="44"/>
      <x:c r="B133" s="44"/>
      <x:c r="C133" s="44"/>
      <x:c r="D133" s="44"/>
      <x:c r="E133" s="44"/>
      <x:c r="F133" s="44"/>
      <x:c r="G133" s="44"/>
      <x:c r="H133" s="44"/>
      <x:c r="I133" s="44"/>
      <x:c r="J133" s="44"/>
      <x:c r="K133" s="44"/>
      <x:c r="L133" s="44"/>
      <x:c r="M133" s="44"/>
      <x:c r="N133" s="44"/>
      <x:c r="O133" s="44"/>
      <x:c r="P133" s="44"/>
      <x:c r="Q133" s="44"/>
      <x:c r="R133" s="44"/>
      <x:c r="S133" s="44"/>
    </x:row>
    <x:row r="134">
      <x:c r="A134" s="44"/>
      <x:c r="B134" s="44"/>
      <x:c r="C134" s="44"/>
      <x:c r="D134" s="44"/>
      <x:c r="E134" s="44"/>
      <x:c r="F134" s="44"/>
      <x:c r="G134" s="44"/>
      <x:c r="H134" s="44"/>
      <x:c r="I134" s="44"/>
      <x:c r="J134" s="44"/>
      <x:c r="K134" s="44"/>
      <x:c r="L134" s="44"/>
      <x:c r="M134" s="44"/>
      <x:c r="N134" s="44"/>
      <x:c r="O134" s="44"/>
      <x:c r="P134" s="44"/>
      <x:c r="Q134" s="44"/>
      <x:c r="R134" s="44"/>
      <x:c r="S134" s="44"/>
    </x:row>
    <x:row r="135">
      <x:c r="A135" s="44"/>
      <x:c r="B135" s="44"/>
      <x:c r="C135" s="44"/>
      <x:c r="D135" s="44"/>
      <x:c r="E135" s="44"/>
      <x:c r="F135" s="44"/>
      <x:c r="G135" s="44"/>
      <x:c r="H135" s="44"/>
      <x:c r="I135" s="44"/>
      <x:c r="J135" s="44"/>
      <x:c r="K135" s="44"/>
      <x:c r="L135" s="44"/>
      <x:c r="M135" s="44"/>
      <x:c r="N135" s="44"/>
      <x:c r="O135" s="44"/>
      <x:c r="P135" s="44"/>
      <x:c r="Q135" s="44"/>
      <x:c r="R135" s="44"/>
      <x:c r="S135" s="44"/>
    </x:row>
    <x:row r="136">
      <x:c r="A136" s="44"/>
      <x:c r="B136" s="44"/>
      <x:c r="C136" s="44"/>
      <x:c r="D136" s="44"/>
      <x:c r="E136" s="44"/>
      <x:c r="F136" s="44"/>
      <x:c r="G136" s="44"/>
      <x:c r="H136" s="44"/>
      <x:c r="I136" s="44"/>
      <x:c r="J136" s="44"/>
      <x:c r="K136" s="44"/>
      <x:c r="L136" s="44"/>
      <x:c r="M136" s="44"/>
      <x:c r="N136" s="44"/>
      <x:c r="O136" s="44"/>
      <x:c r="P136" s="44"/>
      <x:c r="Q136" s="44"/>
      <x:c r="R136" s="44"/>
      <x:c r="S136" s="44"/>
    </x:row>
    <x:row r="137">
      <x:c r="A137" s="44"/>
      <x:c r="B137" s="44"/>
      <x:c r="C137" s="44"/>
      <x:c r="D137" s="44"/>
      <x:c r="E137" s="44"/>
      <x:c r="F137" s="44"/>
      <x:c r="G137" s="44"/>
      <x:c r="H137" s="44"/>
      <x:c r="I137" s="44"/>
      <x:c r="J137" s="44"/>
      <x:c r="K137" s="44"/>
      <x:c r="L137" s="44"/>
      <x:c r="M137" s="44"/>
      <x:c r="N137" s="44"/>
      <x:c r="O137" s="44"/>
      <x:c r="P137" s="44"/>
      <x:c r="Q137" s="44"/>
      <x:c r="R137" s="44"/>
      <x:c r="S137" s="44"/>
    </x:row>
    <x:row r="138">
      <x:c r="A138" s="44"/>
      <x:c r="B138" s="44"/>
      <x:c r="C138" s="44"/>
      <x:c r="D138" s="44"/>
      <x:c r="E138" s="44"/>
      <x:c r="F138" s="44"/>
      <x:c r="G138" s="44"/>
      <x:c r="H138" s="44"/>
      <x:c r="I138" s="44"/>
      <x:c r="J138" s="44"/>
      <x:c r="K138" s="44"/>
      <x:c r="L138" s="44"/>
      <x:c r="M138" s="44"/>
      <x:c r="N138" s="44"/>
      <x:c r="O138" s="44"/>
      <x:c r="P138" s="44"/>
      <x:c r="Q138" s="44"/>
      <x:c r="R138" s="44"/>
      <x:c r="S138" s="44"/>
    </x:row>
    <x:row r="139">
      <x:c r="A139" s="44"/>
      <x:c r="B139" s="44"/>
      <x:c r="C139" s="44"/>
      <x:c r="D139" s="44"/>
      <x:c r="E139" s="44"/>
      <x:c r="F139" s="44"/>
      <x:c r="G139" s="44"/>
      <x:c r="H139" s="44"/>
      <x:c r="I139" s="44"/>
      <x:c r="J139" s="44"/>
      <x:c r="K139" s="44"/>
      <x:c r="L139" s="44"/>
      <x:c r="M139" s="44"/>
      <x:c r="N139" s="44"/>
      <x:c r="O139" s="44"/>
      <x:c r="P139" s="44"/>
      <x:c r="Q139" s="44"/>
      <x:c r="R139" s="44"/>
      <x:c r="S139" s="44"/>
    </x:row>
    <x:row r="140">
      <x:c r="A140" s="44"/>
      <x:c r="B140" s="44"/>
      <x:c r="C140" s="44"/>
      <x:c r="D140" s="44"/>
      <x:c r="E140" s="44"/>
      <x:c r="F140" s="44"/>
      <x:c r="G140" s="44"/>
      <x:c r="H140" s="44"/>
      <x:c r="I140" s="44"/>
      <x:c r="J140" s="44"/>
      <x:c r="K140" s="44"/>
      <x:c r="L140" s="44"/>
      <x:c r="M140" s="44"/>
      <x:c r="N140" s="44"/>
      <x:c r="O140" s="44"/>
      <x:c r="P140" s="44"/>
      <x:c r="Q140" s="44"/>
      <x:c r="R140" s="44"/>
      <x:c r="S140" s="44"/>
    </x:row>
    <x:row r="141">
      <x:c r="A141" s="44"/>
      <x:c r="B141" s="44"/>
      <x:c r="C141" s="44"/>
      <x:c r="D141" s="44"/>
      <x:c r="E141" s="44"/>
      <x:c r="F141" s="44"/>
      <x:c r="G141" s="44"/>
      <x:c r="H141" s="44"/>
      <x:c r="I141" s="44"/>
      <x:c r="J141" s="44"/>
      <x:c r="K141" s="44"/>
      <x:c r="L141" s="44"/>
      <x:c r="M141" s="44"/>
      <x:c r="N141" s="44"/>
      <x:c r="O141" s="44"/>
      <x:c r="P141" s="44"/>
      <x:c r="Q141" s="44"/>
      <x:c r="R141" s="44"/>
      <x:c r="S141" s="44"/>
    </x:row>
    <x:row r="142">
      <x:c r="A142" s="44"/>
      <x:c r="B142" s="44"/>
      <x:c r="C142" s="44"/>
      <x:c r="D142" s="44"/>
      <x:c r="E142" s="44"/>
      <x:c r="F142" s="44"/>
      <x:c r="G142" s="44"/>
      <x:c r="H142" s="44"/>
      <x:c r="I142" s="44"/>
      <x:c r="J142" s="44"/>
      <x:c r="K142" s="44"/>
      <x:c r="L142" s="44"/>
      <x:c r="M142" s="44"/>
      <x:c r="N142" s="44"/>
      <x:c r="O142" s="44"/>
      <x:c r="P142" s="44"/>
      <x:c r="Q142" s="44"/>
      <x:c r="R142" s="44"/>
      <x:c r="S142" s="44"/>
    </x:row>
    <x:row r="143">
      <x:c r="A143" s="44"/>
      <x:c r="B143" s="44"/>
      <x:c r="C143" s="44"/>
      <x:c r="D143" s="44"/>
      <x:c r="E143" s="44"/>
      <x:c r="F143" s="44"/>
      <x:c r="G143" s="44"/>
      <x:c r="H143" s="44"/>
      <x:c r="I143" s="44"/>
      <x:c r="J143" s="44"/>
      <x:c r="K143" s="44"/>
      <x:c r="L143" s="44"/>
      <x:c r="M143" s="44"/>
      <x:c r="N143" s="44"/>
      <x:c r="O143" s="44"/>
      <x:c r="P143" s="44"/>
      <x:c r="Q143" s="44"/>
      <x:c r="R143" s="44"/>
      <x:c r="S143" s="44"/>
    </x:row>
    <x:row r="144">
      <x:c r="A144" s="44"/>
      <x:c r="B144" s="44"/>
      <x:c r="C144" s="44"/>
      <x:c r="D144" s="44"/>
      <x:c r="E144" s="44"/>
      <x:c r="F144" s="44"/>
      <x:c r="G144" s="44"/>
      <x:c r="H144" s="44"/>
      <x:c r="I144" s="44"/>
      <x:c r="J144" s="44"/>
      <x:c r="K144" s="44"/>
      <x:c r="L144" s="44"/>
      <x:c r="M144" s="44"/>
      <x:c r="N144" s="44"/>
      <x:c r="O144" s="44"/>
      <x:c r="P144" s="44"/>
      <x:c r="Q144" s="44"/>
      <x:c r="R144" s="44"/>
      <x:c r="S144" s="44"/>
    </x:row>
    <x:row r="145">
      <x:c r="A145" s="44"/>
      <x:c r="B145" s="44"/>
      <x:c r="C145" s="44"/>
      <x:c r="D145" s="44"/>
      <x:c r="E145" s="44"/>
      <x:c r="F145" s="44"/>
      <x:c r="G145" s="44"/>
      <x:c r="H145" s="44"/>
      <x:c r="I145" s="44"/>
      <x:c r="J145" s="44"/>
      <x:c r="K145" s="44"/>
      <x:c r="L145" s="44"/>
      <x:c r="M145" s="44"/>
      <x:c r="N145" s="44"/>
      <x:c r="O145" s="44"/>
      <x:c r="P145" s="44"/>
      <x:c r="Q145" s="44"/>
      <x:c r="R145" s="44"/>
      <x:c r="S145" s="44"/>
    </x:row>
    <x:row r="146">
      <x:c r="A146" s="44"/>
      <x:c r="B146" s="44"/>
      <x:c r="C146" s="44"/>
      <x:c r="D146" s="44"/>
      <x:c r="E146" s="44"/>
      <x:c r="F146" s="44"/>
      <x:c r="G146" s="44"/>
      <x:c r="H146" s="44"/>
      <x:c r="I146" s="44"/>
      <x:c r="J146" s="44"/>
      <x:c r="K146" s="44"/>
      <x:c r="L146" s="44"/>
      <x:c r="M146" s="44"/>
      <x:c r="N146" s="44"/>
      <x:c r="O146" s="44"/>
      <x:c r="P146" s="44"/>
      <x:c r="Q146" s="44"/>
      <x:c r="R146" s="44"/>
      <x:c r="S146" s="44"/>
    </x:row>
    <x:row r="147">
      <x:c r="A147" s="44"/>
      <x:c r="B147" s="44"/>
      <x:c r="C147" s="44"/>
      <x:c r="D147" s="44"/>
      <x:c r="E147" s="44"/>
      <x:c r="F147" s="44"/>
      <x:c r="G147" s="44"/>
      <x:c r="H147" s="44"/>
      <x:c r="I147" s="44"/>
      <x:c r="J147" s="44"/>
      <x:c r="K147" s="44"/>
      <x:c r="L147" s="44"/>
      <x:c r="M147" s="44"/>
      <x:c r="N147" s="44"/>
      <x:c r="O147" s="44"/>
      <x:c r="P147" s="44"/>
      <x:c r="Q147" s="44"/>
      <x:c r="R147" s="44"/>
      <x:c r="S147" s="44"/>
    </x:row>
    <x:row r="148">
      <x:c r="A148" s="44"/>
      <x:c r="B148" s="44"/>
      <x:c r="C148" s="44"/>
      <x:c r="D148" s="44"/>
      <x:c r="E148" s="44"/>
      <x:c r="F148" s="44"/>
      <x:c r="G148" s="44"/>
      <x:c r="H148" s="44"/>
      <x:c r="I148" s="44"/>
      <x:c r="J148" s="44"/>
      <x:c r="K148" s="44"/>
      <x:c r="L148" s="44"/>
      <x:c r="M148" s="44"/>
      <x:c r="N148" s="44"/>
      <x:c r="O148" s="44"/>
      <x:c r="P148" s="44"/>
      <x:c r="Q148" s="44"/>
      <x:c r="R148" s="44"/>
      <x:c r="S148" s="44"/>
    </x:row>
    <x:row r="149">
      <x:c r="A149" s="44"/>
      <x:c r="B149" s="44"/>
      <x:c r="C149" s="44"/>
      <x:c r="D149" s="44"/>
      <x:c r="E149" s="44"/>
      <x:c r="F149" s="44"/>
      <x:c r="G149" s="44"/>
      <x:c r="H149" s="44"/>
      <x:c r="I149" s="44"/>
      <x:c r="J149" s="44"/>
      <x:c r="K149" s="44"/>
      <x:c r="L149" s="44"/>
      <x:c r="M149" s="44"/>
      <x:c r="N149" s="44"/>
      <x:c r="O149" s="44"/>
      <x:c r="P149" s="44"/>
      <x:c r="Q149" s="44"/>
      <x:c r="R149" s="44"/>
      <x:c r="S149" s="44"/>
    </x:row>
    <x:row r="150">
      <x:c r="A150" s="44"/>
      <x:c r="B150" s="44"/>
      <x:c r="C150" s="44"/>
      <x:c r="D150" s="44"/>
      <x:c r="E150" s="44"/>
      <x:c r="F150" s="44"/>
      <x:c r="G150" s="44"/>
      <x:c r="H150" s="44"/>
      <x:c r="I150" s="44"/>
      <x:c r="J150" s="44"/>
      <x:c r="K150" s="44"/>
      <x:c r="L150" s="44"/>
      <x:c r="M150" s="44"/>
      <x:c r="N150" s="44"/>
      <x:c r="O150" s="44"/>
      <x:c r="P150" s="44"/>
      <x:c r="Q150" s="44"/>
      <x:c r="R150" s="44"/>
      <x:c r="S150" s="44"/>
    </x:row>
    <x:row r="151">
      <x:c r="A151" s="44"/>
      <x:c r="B151" s="44"/>
      <x:c r="C151" s="44"/>
      <x:c r="D151" s="44"/>
      <x:c r="E151" s="44"/>
      <x:c r="F151" s="44"/>
      <x:c r="G151" s="44"/>
      <x:c r="H151" s="44"/>
      <x:c r="I151" s="44"/>
      <x:c r="J151" s="44"/>
      <x:c r="K151" s="44"/>
      <x:c r="L151" s="44"/>
      <x:c r="M151" s="44"/>
      <x:c r="N151" s="44"/>
      <x:c r="O151" s="44"/>
      <x:c r="P151" s="44"/>
      <x:c r="Q151" s="44"/>
      <x:c r="R151" s="44"/>
      <x:c r="S151" s="44"/>
    </x:row>
    <x:row r="152">
      <x:c r="A152" s="44"/>
      <x:c r="B152" s="44"/>
      <x:c r="C152" s="44"/>
      <x:c r="D152" s="44"/>
      <x:c r="E152" s="44"/>
      <x:c r="F152" s="44"/>
      <x:c r="G152" s="44"/>
      <x:c r="H152" s="44"/>
      <x:c r="I152" s="44"/>
      <x:c r="J152" s="44"/>
      <x:c r="K152" s="44"/>
      <x:c r="L152" s="44"/>
      <x:c r="M152" s="44"/>
      <x:c r="N152" s="44"/>
      <x:c r="O152" s="44"/>
      <x:c r="P152" s="44"/>
      <x:c r="Q152" s="44"/>
      <x:c r="R152" s="44"/>
      <x:c r="S152" s="44"/>
    </x:row>
    <x:row r="153">
      <x:c r="A153" s="44"/>
      <x:c r="B153" s="44"/>
      <x:c r="C153" s="44"/>
      <x:c r="D153" s="44"/>
      <x:c r="E153" s="44"/>
      <x:c r="F153" s="44"/>
      <x:c r="G153" s="44"/>
      <x:c r="H153" s="44"/>
      <x:c r="I153" s="44"/>
      <x:c r="J153" s="44"/>
      <x:c r="K153" s="44"/>
      <x:c r="L153" s="44"/>
      <x:c r="M153" s="44"/>
      <x:c r="N153" s="44"/>
      <x:c r="O153" s="44"/>
      <x:c r="P153" s="44"/>
      <x:c r="Q153" s="44"/>
      <x:c r="R153" s="44"/>
      <x:c r="S153" s="44"/>
    </x:row>
    <x:row r="154">
      <x:c r="A154" s="44"/>
      <x:c r="B154" s="44"/>
      <x:c r="C154" s="44"/>
      <x:c r="D154" s="44"/>
      <x:c r="E154" s="44"/>
      <x:c r="F154" s="44"/>
      <x:c r="G154" s="44"/>
      <x:c r="H154" s="44"/>
      <x:c r="I154" s="44"/>
      <x:c r="J154" s="44"/>
      <x:c r="K154" s="44"/>
      <x:c r="L154" s="44"/>
      <x:c r="M154" s="44"/>
      <x:c r="N154" s="44"/>
      <x:c r="O154" s="44"/>
      <x:c r="P154" s="44"/>
      <x:c r="Q154" s="44"/>
      <x:c r="R154" s="44"/>
      <x:c r="S154" s="44"/>
    </x:row>
    <x:row r="155">
      <x:c r="A155" s="44"/>
      <x:c r="B155" s="44"/>
      <x:c r="C155" s="44"/>
      <x:c r="D155" s="44"/>
      <x:c r="E155" s="44"/>
      <x:c r="F155" s="44"/>
      <x:c r="G155" s="44"/>
      <x:c r="H155" s="44"/>
      <x:c r="I155" s="44"/>
      <x:c r="J155" s="44"/>
      <x:c r="K155" s="44"/>
      <x:c r="L155" s="44"/>
      <x:c r="M155" s="44"/>
      <x:c r="N155" s="44"/>
      <x:c r="O155" s="44"/>
      <x:c r="P155" s="44"/>
      <x:c r="Q155" s="44"/>
      <x:c r="R155" s="44"/>
      <x:c r="S155" s="44"/>
    </x:row>
    <x:row r="156">
      <x:c r="A156" s="44"/>
      <x:c r="B156" s="44"/>
      <x:c r="C156" s="44"/>
      <x:c r="D156" s="44"/>
      <x:c r="E156" s="44"/>
      <x:c r="F156" s="44"/>
      <x:c r="G156" s="44"/>
      <x:c r="H156" s="44"/>
      <x:c r="I156" s="44"/>
      <x:c r="J156" s="44"/>
      <x:c r="K156" s="44"/>
      <x:c r="L156" s="44"/>
      <x:c r="M156" s="44"/>
      <x:c r="N156" s="44"/>
      <x:c r="O156" s="44"/>
      <x:c r="P156" s="44"/>
      <x:c r="Q156" s="44"/>
      <x:c r="R156" s="44"/>
      <x:c r="S156" s="44"/>
    </x:row>
    <x:row r="157">
      <x:c r="A157" s="44"/>
      <x:c r="B157" s="44"/>
      <x:c r="C157" s="44"/>
      <x:c r="D157" s="44"/>
      <x:c r="E157" s="44"/>
      <x:c r="F157" s="44"/>
      <x:c r="G157" s="44"/>
      <x:c r="H157" s="44"/>
      <x:c r="I157" s="44"/>
      <x:c r="J157" s="44"/>
      <x:c r="K157" s="44"/>
      <x:c r="L157" s="44"/>
      <x:c r="M157" s="44"/>
      <x:c r="N157" s="44"/>
      <x:c r="O157" s="44"/>
      <x:c r="P157" s="44"/>
      <x:c r="Q157" s="44"/>
      <x:c r="R157" s="44"/>
      <x:c r="S157" s="44"/>
    </x:row>
    <x:row r="158">
      <x:c r="A158" s="44"/>
      <x:c r="B158" s="44"/>
      <x:c r="C158" s="44"/>
      <x:c r="D158" s="44"/>
      <x:c r="E158" s="44"/>
      <x:c r="F158" s="44"/>
      <x:c r="G158" s="44"/>
      <x:c r="H158" s="44"/>
      <x:c r="I158" s="44"/>
      <x:c r="J158" s="44"/>
      <x:c r="K158" s="44"/>
      <x:c r="L158" s="44"/>
      <x:c r="M158" s="44"/>
      <x:c r="N158" s="44"/>
      <x:c r="O158" s="44"/>
      <x:c r="P158" s="44"/>
      <x:c r="Q158" s="44"/>
      <x:c r="R158" s="44"/>
      <x:c r="S158" s="44"/>
    </x:row>
    <x:row r="159">
      <x:c r="A159" s="44"/>
      <x:c r="B159" s="44"/>
      <x:c r="C159" s="44"/>
      <x:c r="D159" s="44"/>
      <x:c r="E159" s="44"/>
      <x:c r="F159" s="44"/>
      <x:c r="G159" s="44"/>
      <x:c r="H159" s="44"/>
      <x:c r="I159" s="44"/>
      <x:c r="J159" s="44"/>
      <x:c r="K159" s="44"/>
      <x:c r="L159" s="44"/>
      <x:c r="M159" s="44"/>
      <x:c r="N159" s="44"/>
      <x:c r="O159" s="44"/>
      <x:c r="P159" s="44"/>
      <x:c r="Q159" s="44"/>
      <x:c r="R159" s="44"/>
      <x:c r="S159" s="44"/>
    </x:row>
    <x:row r="160">
      <x:c r="A160" s="44"/>
      <x:c r="B160" s="44"/>
      <x:c r="C160" s="44"/>
      <x:c r="D160" s="44"/>
      <x:c r="E160" s="44"/>
      <x:c r="F160" s="44"/>
      <x:c r="G160" s="44"/>
      <x:c r="H160" s="44"/>
      <x:c r="I160" s="44"/>
      <x:c r="J160" s="44"/>
      <x:c r="K160" s="44"/>
      <x:c r="L160" s="44"/>
      <x:c r="M160" s="44"/>
      <x:c r="N160" s="44"/>
      <x:c r="O160" s="44"/>
      <x:c r="P160" s="44"/>
      <x:c r="Q160" s="44"/>
      <x:c r="R160" s="44"/>
      <x:c r="S160" s="44"/>
    </x:row>
    <x:row r="161">
      <x:c r="A161" s="44"/>
      <x:c r="B161" s="44"/>
      <x:c r="C161" s="44"/>
      <x:c r="D161" s="44"/>
      <x:c r="E161" s="44"/>
      <x:c r="F161" s="44"/>
      <x:c r="G161" s="44"/>
      <x:c r="H161" s="44"/>
      <x:c r="I161" s="44"/>
      <x:c r="J161" s="44"/>
      <x:c r="K161" s="44"/>
      <x:c r="L161" s="44"/>
      <x:c r="M161" s="44"/>
      <x:c r="N161" s="44"/>
      <x:c r="O161" s="44"/>
      <x:c r="P161" s="44"/>
      <x:c r="Q161" s="44"/>
      <x:c r="R161" s="44"/>
      <x:c r="S161" s="44"/>
    </x:row>
    <x:row r="162">
      <x:c r="A162" s="44"/>
      <x:c r="B162" s="44"/>
      <x:c r="C162" s="44"/>
      <x:c r="D162" s="44"/>
      <x:c r="E162" s="44"/>
      <x:c r="F162" s="44"/>
      <x:c r="G162" s="44"/>
      <x:c r="H162" s="44"/>
      <x:c r="I162" s="44"/>
      <x:c r="J162" s="44"/>
      <x:c r="K162" s="44"/>
      <x:c r="L162" s="44"/>
      <x:c r="M162" s="44"/>
      <x:c r="N162" s="44"/>
      <x:c r="O162" s="44"/>
      <x:c r="P162" s="44"/>
      <x:c r="Q162" s="44"/>
      <x:c r="R162" s="44"/>
      <x:c r="S162" s="44"/>
    </x:row>
    <x:row r="163">
      <x:c r="A163" s="44"/>
      <x:c r="B163" s="44"/>
      <x:c r="C163" s="44"/>
      <x:c r="D163" s="44"/>
      <x:c r="E163" s="44"/>
      <x:c r="F163" s="44"/>
      <x:c r="G163" s="44"/>
      <x:c r="H163" s="44"/>
      <x:c r="I163" s="44"/>
      <x:c r="J163" s="44"/>
      <x:c r="K163" s="44"/>
      <x:c r="L163" s="44"/>
      <x:c r="M163" s="44"/>
      <x:c r="N163" s="44"/>
      <x:c r="O163" s="44"/>
      <x:c r="P163" s="44"/>
      <x:c r="Q163" s="44"/>
      <x:c r="R163" s="44"/>
      <x:c r="S163" s="44"/>
    </x:row>
    <x:row r="164">
      <x:c r="A164" s="44"/>
      <x:c r="B164" s="44"/>
      <x:c r="C164" s="44"/>
      <x:c r="D164" s="44"/>
      <x:c r="E164" s="44"/>
      <x:c r="F164" s="44"/>
      <x:c r="G164" s="44"/>
      <x:c r="H164" s="44"/>
      <x:c r="I164" s="44"/>
      <x:c r="J164" s="44"/>
      <x:c r="K164" s="44"/>
      <x:c r="L164" s="44"/>
      <x:c r="M164" s="44"/>
      <x:c r="N164" s="44"/>
      <x:c r="O164" s="44"/>
      <x:c r="P164" s="44"/>
      <x:c r="Q164" s="44"/>
      <x:c r="R164" s="44"/>
      <x:c r="S164" s="44"/>
    </x:row>
    <x:row r="165">
      <x:c r="A165" s="44"/>
      <x:c r="B165" s="44"/>
      <x:c r="C165" s="44"/>
      <x:c r="D165" s="44"/>
      <x:c r="E165" s="44"/>
      <x:c r="F165" s="44"/>
      <x:c r="G165" s="44"/>
      <x:c r="H165" s="44"/>
      <x:c r="I165" s="44"/>
      <x:c r="J165" s="44"/>
      <x:c r="K165" s="44"/>
      <x:c r="L165" s="44"/>
      <x:c r="M165" s="44"/>
      <x:c r="N165" s="44"/>
      <x:c r="O165" s="44"/>
      <x:c r="P165" s="44"/>
      <x:c r="Q165" s="44"/>
      <x:c r="R165" s="44"/>
      <x:c r="S165" s="44"/>
    </x:row>
    <x:row r="166">
      <x:c r="A166" s="44"/>
      <x:c r="B166" s="44"/>
      <x:c r="C166" s="44"/>
      <x:c r="D166" s="44"/>
      <x:c r="E166" s="44"/>
      <x:c r="F166" s="44"/>
      <x:c r="G166" s="44"/>
      <x:c r="H166" s="44"/>
      <x:c r="I166" s="44"/>
      <x:c r="J166" s="44"/>
      <x:c r="K166" s="44"/>
      <x:c r="L166" s="44"/>
      <x:c r="M166" s="44"/>
      <x:c r="N166" s="44"/>
      <x:c r="O166" s="44"/>
      <x:c r="P166" s="44"/>
      <x:c r="Q166" s="44"/>
      <x:c r="R166" s="44"/>
      <x:c r="S166" s="44"/>
    </x:row>
    <x:row r="167">
      <x:c r="A167" s="44"/>
      <x:c r="B167" s="44"/>
      <x:c r="C167" s="44"/>
      <x:c r="D167" s="44"/>
      <x:c r="E167" s="44"/>
      <x:c r="F167" s="44"/>
      <x:c r="G167" s="44"/>
      <x:c r="H167" s="44"/>
      <x:c r="I167" s="44"/>
      <x:c r="J167" s="44"/>
      <x:c r="K167" s="44"/>
      <x:c r="L167" s="44"/>
      <x:c r="M167" s="44"/>
      <x:c r="N167" s="44"/>
      <x:c r="O167" s="44"/>
      <x:c r="P167" s="44"/>
      <x:c r="Q167" s="44"/>
      <x:c r="R167" s="44"/>
      <x:c r="S167" s="44"/>
    </x:row>
    <x:row r="168">
      <x:c r="A168" s="44"/>
      <x:c r="B168" s="44"/>
      <x:c r="C168" s="44"/>
      <x:c r="D168" s="44"/>
      <x:c r="E168" s="44"/>
      <x:c r="F168" s="44"/>
      <x:c r="G168" s="44"/>
      <x:c r="H168" s="44"/>
      <x:c r="I168" s="44"/>
      <x:c r="J168" s="44"/>
      <x:c r="K168" s="44"/>
      <x:c r="L168" s="44"/>
      <x:c r="M168" s="44"/>
      <x:c r="N168" s="44"/>
      <x:c r="O168" s="44"/>
      <x:c r="P168" s="44"/>
      <x:c r="Q168" s="44"/>
      <x:c r="R168" s="44"/>
      <x:c r="S168" s="44"/>
    </x:row>
    <x:row r="169">
      <x:c r="A169" s="44"/>
      <x:c r="B169" s="44"/>
      <x:c r="C169" s="44"/>
      <x:c r="D169" s="44"/>
      <x:c r="E169" s="44"/>
      <x:c r="F169" s="44"/>
      <x:c r="G169" s="44"/>
      <x:c r="H169" s="44"/>
      <x:c r="I169" s="44"/>
      <x:c r="J169" s="44"/>
      <x:c r="K169" s="44"/>
      <x:c r="L169" s="44"/>
      <x:c r="M169" s="44"/>
      <x:c r="N169" s="44"/>
      <x:c r="O169" s="44"/>
      <x:c r="P169" s="44"/>
      <x:c r="Q169" s="44"/>
      <x:c r="R169" s="44"/>
      <x:c r="S169" s="44"/>
    </x:row>
    <x:row r="170">
      <x:c r="A170" s="44"/>
      <x:c r="B170" s="44"/>
      <x:c r="C170" s="44"/>
      <x:c r="D170" s="44"/>
      <x:c r="E170" s="44"/>
      <x:c r="F170" s="44"/>
      <x:c r="G170" s="44"/>
      <x:c r="H170" s="44"/>
      <x:c r="I170" s="44"/>
      <x:c r="J170" s="44"/>
      <x:c r="K170" s="44"/>
      <x:c r="L170" s="44"/>
      <x:c r="M170" s="44"/>
      <x:c r="N170" s="44"/>
      <x:c r="O170" s="44"/>
      <x:c r="P170" s="44"/>
      <x:c r="Q170" s="44"/>
      <x:c r="R170" s="44"/>
      <x:c r="S170" s="44"/>
    </x:row>
    <x:row r="171">
      <x:c r="A171" s="44"/>
      <x:c r="B171" s="44"/>
      <x:c r="C171" s="44"/>
      <x:c r="D171" s="44"/>
      <x:c r="E171" s="44"/>
      <x:c r="F171" s="44"/>
      <x:c r="G171" s="44"/>
      <x:c r="H171" s="44"/>
      <x:c r="I171" s="44"/>
      <x:c r="J171" s="44"/>
      <x:c r="K171" s="44"/>
      <x:c r="L171" s="44"/>
      <x:c r="M171" s="44"/>
      <x:c r="N171" s="44"/>
      <x:c r="O171" s="44"/>
      <x:c r="P171" s="44"/>
      <x:c r="Q171" s="44"/>
      <x:c r="R171" s="44"/>
      <x:c r="S171" s="44"/>
    </x:row>
    <x:row r="172">
      <x:c r="A172" s="44"/>
      <x:c r="B172" s="44"/>
      <x:c r="C172" s="44"/>
      <x:c r="D172" s="44"/>
      <x:c r="E172" s="44"/>
      <x:c r="F172" s="44"/>
      <x:c r="G172" s="44"/>
      <x:c r="H172" s="44"/>
      <x:c r="I172" s="44"/>
      <x:c r="J172" s="44"/>
      <x:c r="K172" s="44"/>
      <x:c r="L172" s="44"/>
      <x:c r="M172" s="44"/>
      <x:c r="N172" s="44"/>
      <x:c r="O172" s="44"/>
      <x:c r="P172" s="44"/>
      <x:c r="Q172" s="44"/>
      <x:c r="R172" s="44"/>
      <x:c r="S172" s="44"/>
    </x:row>
    <x:row r="173">
      <x:c r="A173" s="44"/>
      <x:c r="B173" s="44"/>
      <x:c r="C173" s="44"/>
      <x:c r="D173" s="44"/>
      <x:c r="E173" s="44"/>
      <x:c r="F173" s="44"/>
      <x:c r="G173" s="44"/>
      <x:c r="H173" s="44"/>
      <x:c r="I173" s="44"/>
      <x:c r="J173" s="44"/>
      <x:c r="K173" s="44"/>
      <x:c r="L173" s="44"/>
      <x:c r="M173" s="44"/>
      <x:c r="N173" s="44"/>
      <x:c r="O173" s="44"/>
      <x:c r="P173" s="44"/>
      <x:c r="Q173" s="44"/>
      <x:c r="R173" s="44"/>
      <x:c r="S173" s="44"/>
    </x:row>
    <x:row r="174">
      <x:c r="A174" s="44"/>
      <x:c r="B174" s="44"/>
      <x:c r="C174" s="44"/>
      <x:c r="D174" s="44"/>
      <x:c r="E174" s="44"/>
      <x:c r="F174" s="44"/>
      <x:c r="G174" s="44"/>
      <x:c r="H174" s="44"/>
      <x:c r="I174" s="44"/>
      <x:c r="J174" s="44"/>
      <x:c r="K174" s="44"/>
      <x:c r="L174" s="44"/>
      <x:c r="M174" s="44"/>
      <x:c r="N174" s="44"/>
      <x:c r="O174" s="44"/>
      <x:c r="P174" s="44"/>
      <x:c r="Q174" s="44"/>
      <x:c r="R174" s="44"/>
      <x:c r="S174" s="44"/>
    </x:row>
    <x:row r="175">
      <x:c r="A175" s="44"/>
      <x:c r="B175" s="44"/>
      <x:c r="C175" s="44"/>
      <x:c r="D175" s="44"/>
      <x:c r="E175" s="44"/>
      <x:c r="F175" s="44"/>
      <x:c r="G175" s="44"/>
      <x:c r="H175" s="44"/>
      <x:c r="I175" s="44"/>
      <x:c r="J175" s="44"/>
      <x:c r="K175" s="44"/>
      <x:c r="L175" s="44"/>
      <x:c r="M175" s="44"/>
      <x:c r="N175" s="44"/>
      <x:c r="O175" s="44"/>
      <x:c r="P175" s="44"/>
      <x:c r="Q175" s="44"/>
      <x:c r="R175" s="44"/>
      <x:c r="S175" s="44"/>
    </x:row>
    <x:row r="176">
      <x:c r="A176" s="44"/>
      <x:c r="B176" s="44"/>
      <x:c r="C176" s="44"/>
      <x:c r="D176" s="44"/>
      <x:c r="E176" s="44"/>
      <x:c r="F176" s="44"/>
      <x:c r="G176" s="44"/>
      <x:c r="H176" s="44"/>
      <x:c r="I176" s="44"/>
      <x:c r="J176" s="44"/>
      <x:c r="K176" s="44"/>
      <x:c r="L176" s="44"/>
      <x:c r="M176" s="44"/>
      <x:c r="N176" s="44"/>
      <x:c r="O176" s="44"/>
      <x:c r="P176" s="44"/>
      <x:c r="Q176" s="44"/>
      <x:c r="R176" s="44"/>
      <x:c r="S176" s="44"/>
    </x:row>
    <x:row r="177">
      <x:c r="A177" s="44"/>
      <x:c r="B177" s="44"/>
      <x:c r="C177" s="44"/>
      <x:c r="D177" s="44"/>
      <x:c r="E177" s="44"/>
      <x:c r="F177" s="44"/>
      <x:c r="G177" s="44"/>
      <x:c r="H177" s="44"/>
      <x:c r="I177" s="44"/>
      <x:c r="J177" s="44"/>
      <x:c r="K177" s="44"/>
      <x:c r="L177" s="44"/>
      <x:c r="M177" s="44"/>
      <x:c r="N177" s="44"/>
      <x:c r="O177" s="44"/>
      <x:c r="P177" s="44"/>
      <x:c r="Q177" s="44"/>
      <x:c r="R177" s="44"/>
      <x:c r="S177" s="44"/>
    </x:row>
    <x:row r="178">
      <x:c r="A178" s="44"/>
      <x:c r="B178" s="44"/>
      <x:c r="C178" s="44"/>
      <x:c r="D178" s="44"/>
      <x:c r="E178" s="44"/>
      <x:c r="F178" s="44"/>
      <x:c r="G178" s="44"/>
      <x:c r="H178" s="44"/>
      <x:c r="I178" s="44"/>
      <x:c r="J178" s="44"/>
      <x:c r="K178" s="44"/>
      <x:c r="L178" s="44"/>
      <x:c r="M178" s="44"/>
      <x:c r="N178" s="44"/>
      <x:c r="O178" s="44"/>
      <x:c r="P178" s="44"/>
      <x:c r="Q178" s="44"/>
      <x:c r="R178" s="44"/>
      <x:c r="S178" s="44"/>
    </x:row>
    <x:row r="179">
      <x:c r="A179" s="44"/>
      <x:c r="B179" s="44"/>
      <x:c r="C179" s="44"/>
      <x:c r="D179" s="44"/>
      <x:c r="E179" s="44"/>
      <x:c r="F179" s="44"/>
      <x:c r="G179" s="44"/>
      <x:c r="H179" s="44"/>
      <x:c r="I179" s="44"/>
      <x:c r="J179" s="44"/>
      <x:c r="K179" s="44"/>
      <x:c r="L179" s="44"/>
      <x:c r="M179" s="44"/>
      <x:c r="N179" s="44"/>
      <x:c r="O179" s="44"/>
      <x:c r="P179" s="44"/>
      <x:c r="Q179" s="44"/>
      <x:c r="R179" s="44"/>
      <x:c r="S179" s="44"/>
    </x:row>
    <x:row r="180">
      <x:c r="A180" s="44"/>
      <x:c r="B180" s="44"/>
      <x:c r="C180" s="44"/>
      <x:c r="D180" s="44"/>
      <x:c r="E180" s="44"/>
      <x:c r="F180" s="44"/>
      <x:c r="G180" s="44"/>
      <x:c r="H180" s="44"/>
      <x:c r="I180" s="44"/>
      <x:c r="J180" s="44"/>
      <x:c r="K180" s="44"/>
      <x:c r="L180" s="44"/>
      <x:c r="M180" s="44"/>
      <x:c r="N180" s="44"/>
      <x:c r="O180" s="44"/>
      <x:c r="P180" s="44"/>
      <x:c r="Q180" s="44"/>
      <x:c r="R180" s="44"/>
      <x:c r="S180" s="44"/>
    </x:row>
    <x:row r="181">
      <x:c r="A181" s="44"/>
      <x:c r="B181" s="44"/>
      <x:c r="C181" s="44"/>
      <x:c r="D181" s="44"/>
      <x:c r="E181" s="44"/>
      <x:c r="F181" s="44"/>
      <x:c r="G181" s="44"/>
      <x:c r="H181" s="44"/>
      <x:c r="I181" s="44"/>
      <x:c r="J181" s="44"/>
      <x:c r="K181" s="44"/>
      <x:c r="L181" s="44"/>
      <x:c r="M181" s="44"/>
      <x:c r="N181" s="44"/>
      <x:c r="O181" s="44"/>
      <x:c r="P181" s="44"/>
      <x:c r="Q181" s="44"/>
      <x:c r="R181" s="44"/>
      <x:c r="S181" s="44"/>
    </x:row>
    <x:row r="182">
      <x:c r="A182" s="44"/>
      <x:c r="B182" s="44"/>
      <x:c r="C182" s="44"/>
      <x:c r="D182" s="44"/>
      <x:c r="E182" s="44"/>
      <x:c r="F182" s="44"/>
      <x:c r="G182" s="44"/>
      <x:c r="H182" s="44"/>
      <x:c r="I182" s="44"/>
      <x:c r="J182" s="44"/>
      <x:c r="K182" s="44"/>
      <x:c r="L182" s="44"/>
      <x:c r="M182" s="44"/>
      <x:c r="N182" s="44"/>
      <x:c r="O182" s="44"/>
      <x:c r="P182" s="44"/>
      <x:c r="Q182" s="44"/>
      <x:c r="R182" s="44"/>
      <x:c r="S182" s="44"/>
    </x:row>
    <x:row r="183">
      <x:c r="A183" s="44"/>
      <x:c r="B183" s="44"/>
      <x:c r="C183" s="44"/>
      <x:c r="D183" s="44"/>
      <x:c r="E183" s="44"/>
      <x:c r="F183" s="44"/>
      <x:c r="G183" s="44"/>
      <x:c r="H183" s="44"/>
      <x:c r="I183" s="44"/>
      <x:c r="J183" s="44"/>
      <x:c r="K183" s="44"/>
      <x:c r="L183" s="44"/>
      <x:c r="M183" s="44"/>
      <x:c r="N183" s="44"/>
      <x:c r="O183" s="44"/>
      <x:c r="P183" s="44"/>
      <x:c r="Q183" s="44"/>
      <x:c r="R183" s="44"/>
      <x:c r="S183" s="44"/>
    </x:row>
    <x:row r="184">
      <x:c r="A184" s="44"/>
      <x:c r="B184" s="44"/>
      <x:c r="C184" s="44"/>
      <x:c r="D184" s="44"/>
      <x:c r="E184" s="44"/>
      <x:c r="F184" s="44"/>
      <x:c r="G184" s="44"/>
      <x:c r="H184" s="44"/>
      <x:c r="I184" s="44"/>
      <x:c r="J184" s="44"/>
      <x:c r="K184" s="44"/>
      <x:c r="L184" s="44"/>
      <x:c r="M184" s="44"/>
      <x:c r="N184" s="44"/>
      <x:c r="O184" s="44"/>
      <x:c r="P184" s="44"/>
      <x:c r="Q184" s="44"/>
      <x:c r="R184" s="44"/>
      <x:c r="S184" s="44"/>
    </x:row>
    <x:row r="185">
      <x:c r="A185" s="44"/>
      <x:c r="B185" s="44"/>
      <x:c r="C185" s="44"/>
      <x:c r="D185" s="44"/>
      <x:c r="E185" s="44"/>
      <x:c r="F185" s="44"/>
      <x:c r="G185" s="44"/>
      <x:c r="H185" s="44"/>
      <x:c r="I185" s="44"/>
      <x:c r="J185" s="44"/>
      <x:c r="K185" s="44"/>
      <x:c r="L185" s="44"/>
      <x:c r="M185" s="44"/>
      <x:c r="N185" s="44"/>
      <x:c r="O185" s="44"/>
      <x:c r="P185" s="44"/>
      <x:c r="Q185" s="44"/>
      <x:c r="R185" s="44"/>
      <x:c r="S185" s="44"/>
    </x:row>
    <x:row r="186">
      <x:c r="A186" s="44"/>
      <x:c r="B186" s="44"/>
      <x:c r="C186" s="44"/>
      <x:c r="D186" s="44"/>
      <x:c r="E186" s="44"/>
      <x:c r="F186" s="44"/>
      <x:c r="G186" s="44"/>
      <x:c r="H186" s="44"/>
      <x:c r="I186" s="44"/>
      <x:c r="J186" s="44"/>
      <x:c r="K186" s="44"/>
      <x:c r="L186" s="44"/>
      <x:c r="M186" s="44"/>
      <x:c r="N186" s="44"/>
      <x:c r="O186" s="44"/>
      <x:c r="P186" s="44"/>
      <x:c r="Q186" s="44"/>
      <x:c r="R186" s="44"/>
      <x:c r="S186" s="44"/>
    </x:row>
    <x:row r="187">
      <x:c r="A187" s="44"/>
      <x:c r="B187" s="44"/>
      <x:c r="C187" s="44"/>
      <x:c r="D187" s="44"/>
      <x:c r="E187" s="44"/>
      <x:c r="F187" s="44"/>
      <x:c r="G187" s="44"/>
      <x:c r="H187" s="44"/>
      <x:c r="I187" s="44"/>
      <x:c r="J187" s="44"/>
      <x:c r="K187" s="44"/>
      <x:c r="L187" s="44"/>
      <x:c r="M187" s="44"/>
      <x:c r="N187" s="44"/>
      <x:c r="O187" s="44"/>
      <x:c r="P187" s="44"/>
      <x:c r="Q187" s="44"/>
      <x:c r="R187" s="44"/>
      <x:c r="S187" s="44"/>
    </x:row>
    <x:row r="188">
      <x:c r="A188" s="44"/>
      <x:c r="B188" s="44"/>
      <x:c r="C188" s="44"/>
      <x:c r="D188" s="44"/>
      <x:c r="E188" s="44"/>
      <x:c r="F188" s="44"/>
      <x:c r="G188" s="44"/>
      <x:c r="H188" s="44"/>
      <x:c r="I188" s="44"/>
      <x:c r="J188" s="44"/>
      <x:c r="K188" s="44"/>
      <x:c r="L188" s="44"/>
      <x:c r="M188" s="44"/>
      <x:c r="N188" s="44"/>
      <x:c r="O188" s="44"/>
      <x:c r="P188" s="44"/>
      <x:c r="Q188" s="44"/>
      <x:c r="R188" s="44"/>
      <x:c r="S188" s="44"/>
    </x:row>
    <x:row r="189">
      <x:c r="A189" s="44"/>
      <x:c r="B189" s="44"/>
      <x:c r="C189" s="44"/>
      <x:c r="D189" s="44"/>
      <x:c r="E189" s="44"/>
      <x:c r="F189" s="44"/>
      <x:c r="G189" s="44"/>
      <x:c r="H189" s="44"/>
      <x:c r="I189" s="44"/>
      <x:c r="J189" s="44"/>
      <x:c r="K189" s="44"/>
      <x:c r="L189" s="44"/>
      <x:c r="M189" s="44"/>
      <x:c r="N189" s="44"/>
      <x:c r="O189" s="44"/>
      <x:c r="P189" s="44"/>
      <x:c r="Q189" s="44"/>
      <x:c r="R189" s="44"/>
      <x:c r="S189" s="44"/>
    </x:row>
    <x:row r="190">
      <x:c r="A190" s="44"/>
      <x:c r="B190" s="44"/>
      <x:c r="C190" s="44"/>
      <x:c r="D190" s="44"/>
      <x:c r="E190" s="44"/>
      <x:c r="F190" s="44"/>
      <x:c r="G190" s="44"/>
      <x:c r="H190" s="44"/>
      <x:c r="I190" s="44"/>
      <x:c r="J190" s="44"/>
      <x:c r="K190" s="44"/>
      <x:c r="L190" s="44"/>
      <x:c r="M190" s="44"/>
      <x:c r="N190" s="44"/>
      <x:c r="O190" s="44"/>
      <x:c r="P190" s="44"/>
      <x:c r="Q190" s="44"/>
      <x:c r="R190" s="44"/>
      <x:c r="S190" s="44"/>
    </x:row>
    <x:row r="191">
      <x:c r="A191" s="44"/>
      <x:c r="B191" s="44"/>
      <x:c r="C191" s="44"/>
      <x:c r="D191" s="44"/>
      <x:c r="E191" s="44"/>
      <x:c r="F191" s="44"/>
      <x:c r="G191" s="44"/>
      <x:c r="H191" s="44"/>
      <x:c r="I191" s="44"/>
      <x:c r="J191" s="44"/>
      <x:c r="K191" s="44"/>
      <x:c r="L191" s="44"/>
      <x:c r="M191" s="44"/>
      <x:c r="N191" s="44"/>
      <x:c r="O191" s="44"/>
      <x:c r="P191" s="44"/>
      <x:c r="Q191" s="44"/>
      <x:c r="R191" s="44"/>
      <x:c r="S191" s="44"/>
    </x:row>
    <x:row r="192">
      <x:c r="A192" s="44"/>
      <x:c r="B192" s="44"/>
      <x:c r="C192" s="44"/>
      <x:c r="D192" s="44"/>
      <x:c r="E192" s="44"/>
      <x:c r="F192" s="44"/>
      <x:c r="G192" s="44"/>
      <x:c r="H192" s="44"/>
      <x:c r="I192" s="44"/>
      <x:c r="J192" s="44"/>
      <x:c r="K192" s="44"/>
      <x:c r="L192" s="44"/>
      <x:c r="M192" s="44"/>
      <x:c r="N192" s="44"/>
      <x:c r="O192" s="44"/>
      <x:c r="P192" s="44"/>
      <x:c r="Q192" s="44"/>
      <x:c r="R192" s="44"/>
      <x:c r="S192" s="44"/>
    </x:row>
    <x:row r="193">
      <x:c r="A193" s="44"/>
      <x:c r="B193" s="44"/>
      <x:c r="C193" s="44"/>
      <x:c r="D193" s="44"/>
      <x:c r="E193" s="44"/>
      <x:c r="F193" s="44"/>
      <x:c r="G193" s="44"/>
      <x:c r="H193" s="44"/>
      <x:c r="I193" s="44"/>
      <x:c r="J193" s="44"/>
      <x:c r="K193" s="44"/>
      <x:c r="L193" s="44"/>
      <x:c r="M193" s="44"/>
      <x:c r="N193" s="44"/>
      <x:c r="O193" s="44"/>
      <x:c r="P193" s="44"/>
      <x:c r="Q193" s="44"/>
      <x:c r="R193" s="44"/>
      <x:c r="S193" s="44"/>
    </x:row>
    <x:row r="194">
      <x:c r="A194" s="44"/>
      <x:c r="B194" s="44"/>
      <x:c r="C194" s="44"/>
      <x:c r="D194" s="44"/>
      <x:c r="E194" s="44"/>
      <x:c r="F194" s="44"/>
      <x:c r="G194" s="44"/>
      <x:c r="H194" s="44"/>
      <x:c r="I194" s="44"/>
      <x:c r="J194" s="44"/>
      <x:c r="K194" s="44"/>
      <x:c r="L194" s="44"/>
      <x:c r="M194" s="44"/>
      <x:c r="N194" s="44"/>
      <x:c r="O194" s="44"/>
      <x:c r="P194" s="44"/>
      <x:c r="Q194" s="44"/>
      <x:c r="R194" s="44"/>
      <x:c r="S194" s="44"/>
    </x:row>
    <x:row r="195">
      <x:c r="A195" s="44"/>
      <x:c r="B195" s="44"/>
      <x:c r="C195" s="44"/>
      <x:c r="D195" s="44"/>
      <x:c r="E195" s="44"/>
      <x:c r="F195" s="44"/>
      <x:c r="G195" s="44"/>
      <x:c r="H195" s="44"/>
      <x:c r="I195" s="44"/>
      <x:c r="J195" s="44"/>
      <x:c r="K195" s="44"/>
      <x:c r="L195" s="44"/>
      <x:c r="M195" s="44"/>
      <x:c r="N195" s="44"/>
      <x:c r="O195" s="44"/>
      <x:c r="P195" s="44"/>
      <x:c r="Q195" s="44"/>
      <x:c r="R195" s="44"/>
      <x:c r="S195" s="44"/>
    </x:row>
    <x:row r="196">
      <x:c r="A196" s="44"/>
      <x:c r="B196" s="44"/>
      <x:c r="C196" s="44"/>
      <x:c r="D196" s="44"/>
      <x:c r="E196" s="44"/>
      <x:c r="F196" s="44"/>
      <x:c r="G196" s="44"/>
      <x:c r="H196" s="44"/>
      <x:c r="I196" s="44"/>
      <x:c r="J196" s="44"/>
      <x:c r="K196" s="44"/>
      <x:c r="L196" s="44"/>
      <x:c r="M196" s="44"/>
      <x:c r="N196" s="44"/>
      <x:c r="O196" s="44"/>
      <x:c r="P196" s="44"/>
      <x:c r="Q196" s="44"/>
      <x:c r="R196" s="44"/>
      <x:c r="S196" s="44"/>
    </x:row>
    <x:row r="197">
      <x:c r="A197" s="44"/>
      <x:c r="B197" s="44"/>
      <x:c r="C197" s="44"/>
      <x:c r="D197" s="44"/>
      <x:c r="E197" s="44"/>
      <x:c r="F197" s="44"/>
      <x:c r="G197" s="44"/>
      <x:c r="H197" s="44"/>
      <x:c r="I197" s="44"/>
      <x:c r="J197" s="44"/>
      <x:c r="K197" s="44"/>
      <x:c r="L197" s="44"/>
      <x:c r="M197" s="44"/>
      <x:c r="N197" s="44"/>
      <x:c r="O197" s="44"/>
      <x:c r="P197" s="44"/>
      <x:c r="Q197" s="44"/>
      <x:c r="R197" s="44"/>
      <x:c r="S197" s="44"/>
    </x:row>
    <x:row r="198">
      <x:c r="A198" s="44"/>
      <x:c r="B198" s="44"/>
      <x:c r="C198" s="44"/>
      <x:c r="D198" s="44"/>
      <x:c r="E198" s="44"/>
      <x:c r="F198" s="44"/>
      <x:c r="G198" s="44"/>
      <x:c r="H198" s="44"/>
      <x:c r="I198" s="44"/>
      <x:c r="J198" s="44"/>
      <x:c r="K198" s="44"/>
      <x:c r="L198" s="44"/>
      <x:c r="M198" s="44"/>
      <x:c r="N198" s="44"/>
      <x:c r="O198" s="44"/>
      <x:c r="P198" s="44"/>
      <x:c r="Q198" s="44"/>
      <x:c r="R198" s="44"/>
      <x:c r="S198" s="44"/>
    </x:row>
    <x:row r="199">
      <x:c r="A199" s="44"/>
      <x:c r="B199" s="44"/>
      <x:c r="C199" s="44"/>
      <x:c r="D199" s="44"/>
      <x:c r="E199" s="44"/>
      <x:c r="F199" s="44"/>
      <x:c r="G199" s="44"/>
      <x:c r="H199" s="44"/>
      <x:c r="I199" s="44"/>
      <x:c r="J199" s="44"/>
      <x:c r="K199" s="44"/>
      <x:c r="L199" s="44"/>
      <x:c r="M199" s="44"/>
      <x:c r="N199" s="44"/>
      <x:c r="O199" s="44"/>
      <x:c r="P199" s="44"/>
      <x:c r="Q199" s="44"/>
      <x:c r="R199" s="44"/>
      <x:c r="S199" s="44"/>
    </x:row>
    <x:row r="200">
      <x:c r="A200" s="44"/>
      <x:c r="B200" s="44"/>
      <x:c r="C200" s="44"/>
      <x:c r="D200" s="44"/>
      <x:c r="E200" s="44"/>
      <x:c r="F200" s="44"/>
      <x:c r="G200" s="44"/>
      <x:c r="H200" s="44"/>
      <x:c r="I200" s="44"/>
      <x:c r="J200" s="44"/>
      <x:c r="K200" s="44"/>
      <x:c r="L200" s="44"/>
      <x:c r="M200" s="44"/>
      <x:c r="N200" s="44"/>
      <x:c r="O200" s="44"/>
      <x:c r="P200" s="44"/>
      <x:c r="Q200" s="44"/>
      <x:c r="R200" s="44"/>
      <x:c r="S200" s="44"/>
    </x:row>
    <x:row r="201">
      <x:c r="A201" s="44"/>
      <x:c r="B201" s="44"/>
      <x:c r="C201" s="44"/>
      <x:c r="D201" s="44"/>
      <x:c r="E201" s="44"/>
      <x:c r="F201" s="44"/>
      <x:c r="G201" s="44"/>
      <x:c r="H201" s="44"/>
      <x:c r="I201" s="44"/>
      <x:c r="J201" s="44"/>
      <x:c r="K201" s="44"/>
      <x:c r="L201" s="44"/>
      <x:c r="M201" s="44"/>
      <x:c r="N201" s="44"/>
      <x:c r="O201" s="44"/>
      <x:c r="P201" s="44"/>
      <x:c r="Q201" s="44"/>
      <x:c r="R201" s="44"/>
      <x:c r="S201" s="44"/>
    </x:row>
    <x:row r="202">
      <x:c r="A202" s="44"/>
      <x:c r="B202" s="44"/>
      <x:c r="C202" s="44"/>
      <x:c r="D202" s="44"/>
      <x:c r="E202" s="44"/>
      <x:c r="F202" s="44"/>
      <x:c r="G202" s="44"/>
      <x:c r="H202" s="44"/>
      <x:c r="I202" s="44"/>
      <x:c r="J202" s="44"/>
      <x:c r="K202" s="44"/>
      <x:c r="L202" s="44"/>
      <x:c r="M202" s="44"/>
      <x:c r="N202" s="44"/>
      <x:c r="O202" s="44"/>
      <x:c r="P202" s="44"/>
      <x:c r="Q202" s="44"/>
      <x:c r="R202" s="44"/>
      <x:c r="S202" s="44"/>
    </x:row>
    <x:row r="203">
      <x:c r="A203" s="44"/>
      <x:c r="B203" s="44"/>
      <x:c r="C203" s="44"/>
      <x:c r="D203" s="44"/>
      <x:c r="E203" s="44"/>
      <x:c r="F203" s="44"/>
      <x:c r="G203" s="44"/>
      <x:c r="H203" s="44"/>
      <x:c r="I203" s="44"/>
      <x:c r="J203" s="44"/>
      <x:c r="K203" s="44"/>
      <x:c r="L203" s="44"/>
      <x:c r="M203" s="44"/>
      <x:c r="N203" s="44"/>
      <x:c r="O203" s="44"/>
      <x:c r="P203" s="44"/>
      <x:c r="Q203" s="44"/>
      <x:c r="R203" s="44"/>
      <x:c r="S203" s="44"/>
    </x:row>
    <x:row r="204">
      <x:c r="A204" s="44"/>
      <x:c r="B204" s="44"/>
      <x:c r="C204" s="44"/>
      <x:c r="D204" s="44"/>
      <x:c r="E204" s="44"/>
      <x:c r="F204" s="44"/>
      <x:c r="G204" s="44"/>
      <x:c r="H204" s="44"/>
      <x:c r="I204" s="44"/>
      <x:c r="J204" s="44"/>
      <x:c r="K204" s="44"/>
      <x:c r="L204" s="44"/>
      <x:c r="M204" s="44"/>
      <x:c r="N204" s="44"/>
      <x:c r="O204" s="44"/>
      <x:c r="P204" s="44"/>
      <x:c r="Q204" s="44"/>
      <x:c r="R204" s="44"/>
      <x:c r="S204" s="44"/>
    </x:row>
    <x:row r="205">
      <x:c r="A205" s="44"/>
      <x:c r="B205" s="44"/>
      <x:c r="C205" s="44"/>
      <x:c r="D205" s="44"/>
      <x:c r="E205" s="44"/>
      <x:c r="F205" s="44"/>
      <x:c r="G205" s="44"/>
      <x:c r="H205" s="44"/>
      <x:c r="I205" s="44"/>
      <x:c r="J205" s="44"/>
      <x:c r="K205" s="44"/>
      <x:c r="L205" s="44"/>
      <x:c r="M205" s="44"/>
      <x:c r="N205" s="44"/>
      <x:c r="O205" s="44"/>
      <x:c r="P205" s="44"/>
      <x:c r="Q205" s="44"/>
      <x:c r="R205" s="44"/>
      <x:c r="S205" s="44"/>
    </x:row>
    <x:row r="206">
      <x:c r="A206" s="44"/>
      <x:c r="B206" s="44"/>
      <x:c r="C206" s="44"/>
      <x:c r="D206" s="44"/>
      <x:c r="E206" s="44"/>
      <x:c r="F206" s="44"/>
      <x:c r="G206" s="44"/>
      <x:c r="H206" s="44"/>
      <x:c r="I206" s="44"/>
      <x:c r="J206" s="44"/>
      <x:c r="K206" s="44"/>
      <x:c r="L206" s="44"/>
      <x:c r="M206" s="44"/>
      <x:c r="N206" s="44"/>
      <x:c r="O206" s="44"/>
      <x:c r="P206" s="44"/>
      <x:c r="Q206" s="44"/>
      <x:c r="R206" s="44"/>
      <x:c r="S206" s="44"/>
    </x:row>
    <x:row r="207">
      <x:c r="A207" s="44"/>
      <x:c r="B207" s="44"/>
      <x:c r="C207" s="44"/>
      <x:c r="D207" s="44"/>
      <x:c r="E207" s="44"/>
      <x:c r="F207" s="44"/>
      <x:c r="G207" s="44"/>
      <x:c r="H207" s="44"/>
      <x:c r="I207" s="44"/>
      <x:c r="J207" s="44"/>
      <x:c r="K207" s="44"/>
      <x:c r="L207" s="44"/>
      <x:c r="M207" s="44"/>
      <x:c r="N207" s="44"/>
      <x:c r="O207" s="44"/>
      <x:c r="P207" s="44"/>
      <x:c r="Q207" s="44"/>
      <x:c r="R207" s="44"/>
      <x:c r="S207" s="44"/>
    </x:row>
    <x:row r="208">
      <x:c r="A208" s="44"/>
      <x:c r="B208" s="44"/>
      <x:c r="C208" s="44"/>
      <x:c r="D208" s="44"/>
      <x:c r="E208" s="44"/>
      <x:c r="F208" s="44"/>
      <x:c r="G208" s="44"/>
      <x:c r="H208" s="44"/>
      <x:c r="I208" s="44"/>
      <x:c r="J208" s="44"/>
      <x:c r="K208" s="44"/>
      <x:c r="L208" s="44"/>
      <x:c r="M208" s="44"/>
      <x:c r="N208" s="44"/>
      <x:c r="O208" s="44"/>
      <x:c r="P208" s="44"/>
      <x:c r="Q208" s="44"/>
      <x:c r="R208" s="44"/>
      <x:c r="S208" s="44"/>
    </x:row>
    <x:row r="209">
      <x:c r="A209" s="44"/>
      <x:c r="B209" s="44"/>
      <x:c r="C209" s="44"/>
      <x:c r="D209" s="44"/>
      <x:c r="E209" s="44"/>
      <x:c r="F209" s="44"/>
      <x:c r="G209" s="44"/>
      <x:c r="H209" s="44"/>
      <x:c r="I209" s="44"/>
      <x:c r="J209" s="44"/>
      <x:c r="K209" s="44"/>
      <x:c r="L209" s="44"/>
      <x:c r="M209" s="44"/>
      <x:c r="N209" s="44"/>
      <x:c r="O209" s="44"/>
      <x:c r="P209" s="44"/>
      <x:c r="Q209" s="44"/>
      <x:c r="R209" s="44"/>
      <x:c r="S209" s="44"/>
    </x:row>
    <x:row r="210">
      <x:c r="A210" s="44"/>
      <x:c r="B210" s="44"/>
      <x:c r="C210" s="44"/>
      <x:c r="D210" s="44"/>
      <x:c r="E210" s="44"/>
      <x:c r="F210" s="44"/>
      <x:c r="G210" s="44"/>
      <x:c r="H210" s="44"/>
      <x:c r="I210" s="44"/>
      <x:c r="J210" s="44"/>
      <x:c r="K210" s="44"/>
      <x:c r="L210" s="44"/>
      <x:c r="M210" s="44"/>
      <x:c r="N210" s="44"/>
      <x:c r="O210" s="44"/>
      <x:c r="P210" s="44"/>
      <x:c r="Q210" s="44"/>
      <x:c r="R210" s="44"/>
      <x:c r="S210" s="44"/>
    </x:row>
    <x:row r="211">
      <x:c r="A211" s="44"/>
      <x:c r="B211" s="44"/>
      <x:c r="C211" s="44"/>
      <x:c r="D211" s="44"/>
      <x:c r="E211" s="44"/>
      <x:c r="F211" s="44"/>
      <x:c r="G211" s="44"/>
      <x:c r="H211" s="44"/>
      <x:c r="I211" s="44"/>
      <x:c r="J211" s="44"/>
      <x:c r="K211" s="44"/>
      <x:c r="L211" s="44"/>
      <x:c r="M211" s="44"/>
      <x:c r="N211" s="44"/>
      <x:c r="O211" s="44"/>
      <x:c r="P211" s="44"/>
      <x:c r="Q211" s="44"/>
      <x:c r="R211" s="44"/>
      <x:c r="S211" s="44"/>
    </x:row>
    <x:row r="212">
      <x:c r="A212" s="44"/>
      <x:c r="B212" s="44"/>
      <x:c r="C212" s="44"/>
      <x:c r="D212" s="44"/>
      <x:c r="E212" s="44"/>
      <x:c r="F212" s="44"/>
      <x:c r="G212" s="44"/>
      <x:c r="H212" s="44"/>
      <x:c r="I212" s="44"/>
      <x:c r="J212" s="44"/>
      <x:c r="K212" s="44"/>
      <x:c r="L212" s="44"/>
      <x:c r="M212" s="44"/>
      <x:c r="N212" s="44"/>
      <x:c r="O212" s="44"/>
      <x:c r="P212" s="44"/>
      <x:c r="Q212" s="44"/>
      <x:c r="R212" s="44"/>
      <x:c r="S212" s="44"/>
    </x:row>
    <x:row r="213">
      <x:c r="A213" s="44"/>
      <x:c r="B213" s="44"/>
      <x:c r="C213" s="44"/>
      <x:c r="D213" s="44"/>
      <x:c r="E213" s="44"/>
      <x:c r="F213" s="44"/>
      <x:c r="G213" s="44"/>
      <x:c r="H213" s="44"/>
      <x:c r="I213" s="44"/>
      <x:c r="J213" s="44"/>
      <x:c r="K213" s="44"/>
      <x:c r="L213" s="44"/>
      <x:c r="M213" s="44"/>
      <x:c r="N213" s="44"/>
      <x:c r="O213" s="44"/>
      <x:c r="P213" s="44"/>
      <x:c r="Q213" s="44"/>
      <x:c r="R213" s="44"/>
      <x:c r="S213" s="44"/>
    </x:row>
    <x:row r="214">
      <x:c r="A214" s="44"/>
      <x:c r="B214" s="44"/>
      <x:c r="C214" s="44"/>
      <x:c r="D214" s="44"/>
      <x:c r="E214" s="44"/>
      <x:c r="F214" s="44"/>
      <x:c r="G214" s="44"/>
      <x:c r="H214" s="44"/>
      <x:c r="I214" s="44"/>
      <x:c r="J214" s="44"/>
      <x:c r="K214" s="44"/>
      <x:c r="L214" s="44"/>
      <x:c r="M214" s="44"/>
      <x:c r="N214" s="44"/>
      <x:c r="O214" s="44"/>
      <x:c r="P214" s="44"/>
      <x:c r="Q214" s="44"/>
      <x:c r="R214" s="44"/>
      <x:c r="S214" s="44"/>
    </x:row>
    <x:row r="215">
      <x:c r="A215" s="44"/>
      <x:c r="B215" s="44"/>
      <x:c r="C215" s="44"/>
      <x:c r="D215" s="44"/>
      <x:c r="E215" s="44"/>
      <x:c r="F215" s="44"/>
      <x:c r="G215" s="44"/>
      <x:c r="H215" s="44"/>
      <x:c r="I215" s="44"/>
      <x:c r="J215" s="44"/>
      <x:c r="K215" s="44"/>
      <x:c r="L215" s="44"/>
      <x:c r="M215" s="44"/>
      <x:c r="N215" s="44"/>
      <x:c r="O215" s="44"/>
      <x:c r="P215" s="44"/>
      <x:c r="Q215" s="44"/>
      <x:c r="R215" s="44"/>
      <x:c r="S215" s="44"/>
    </x:row>
    <x:row r="216">
      <x:c r="A216" s="44"/>
      <x:c r="B216" s="44"/>
      <x:c r="C216" s="44"/>
      <x:c r="D216" s="44"/>
      <x:c r="E216" s="44"/>
      <x:c r="F216" s="44"/>
      <x:c r="G216" s="44"/>
      <x:c r="H216" s="44"/>
      <x:c r="I216" s="44"/>
      <x:c r="J216" s="44"/>
      <x:c r="K216" s="44"/>
      <x:c r="L216" s="44"/>
      <x:c r="M216" s="44"/>
      <x:c r="N216" s="44"/>
      <x:c r="O216" s="44"/>
      <x:c r="P216" s="44"/>
      <x:c r="Q216" s="44"/>
      <x:c r="R216" s="44"/>
      <x:c r="S216" s="44"/>
    </x:row>
    <x:row r="217">
      <x:c r="A217" s="44"/>
      <x:c r="B217" s="44"/>
      <x:c r="C217" s="44"/>
      <x:c r="D217" s="44"/>
      <x:c r="E217" s="44"/>
      <x:c r="F217" s="44"/>
      <x:c r="G217" s="44"/>
      <x:c r="H217" s="44"/>
      <x:c r="I217" s="44"/>
      <x:c r="J217" s="44"/>
      <x:c r="K217" s="44"/>
      <x:c r="L217" s="44"/>
      <x:c r="M217" s="44"/>
      <x:c r="N217" s="44"/>
      <x:c r="O217" s="44"/>
      <x:c r="P217" s="44"/>
      <x:c r="Q217" s="44"/>
      <x:c r="R217" s="44"/>
      <x:c r="S217" s="44"/>
    </x:row>
    <x:row r="218">
      <x:c r="A218" s="44"/>
      <x:c r="B218" s="44"/>
      <x:c r="C218" s="44"/>
      <x:c r="D218" s="44"/>
      <x:c r="E218" s="44"/>
      <x:c r="F218" s="44"/>
      <x:c r="G218" s="44"/>
      <x:c r="H218" s="44"/>
      <x:c r="I218" s="44"/>
      <x:c r="J218" s="44"/>
      <x:c r="K218" s="44"/>
      <x:c r="L218" s="44"/>
      <x:c r="M218" s="44"/>
      <x:c r="N218" s="44"/>
      <x:c r="O218" s="44"/>
      <x:c r="P218" s="44"/>
      <x:c r="Q218" s="44"/>
      <x:c r="R218" s="44"/>
      <x:c r="S218" s="44"/>
    </x:row>
    <x:row r="219">
      <x:c r="A219" s="44"/>
      <x:c r="B219" s="44"/>
      <x:c r="C219" s="44"/>
      <x:c r="D219" s="44"/>
      <x:c r="E219" s="44"/>
      <x:c r="F219" s="44"/>
      <x:c r="G219" s="44"/>
      <x:c r="H219" s="44"/>
      <x:c r="I219" s="44"/>
      <x:c r="J219" s="44"/>
      <x:c r="K219" s="44"/>
      <x:c r="L219" s="44"/>
      <x:c r="M219" s="44"/>
      <x:c r="N219" s="44"/>
      <x:c r="O219" s="44"/>
      <x:c r="P219" s="44"/>
      <x:c r="Q219" s="44"/>
      <x:c r="R219" s="44"/>
      <x:c r="S219" s="44"/>
    </x:row>
    <x:row r="220">
      <x:c r="A220" s="44"/>
      <x:c r="B220" s="44"/>
      <x:c r="C220" s="44"/>
      <x:c r="D220" s="44"/>
      <x:c r="E220" s="44"/>
      <x:c r="F220" s="44"/>
      <x:c r="G220" s="44"/>
      <x:c r="H220" s="44"/>
      <x:c r="I220" s="44"/>
      <x:c r="J220" s="44"/>
      <x:c r="K220" s="44"/>
      <x:c r="L220" s="44"/>
      <x:c r="M220" s="44"/>
      <x:c r="N220" s="44"/>
      <x:c r="O220" s="44"/>
      <x:c r="P220" s="44"/>
      <x:c r="Q220" s="44"/>
      <x:c r="R220" s="44"/>
      <x:c r="S220" s="44"/>
    </x:row>
    <x:row r="221">
      <x:c r="A221" s="44"/>
      <x:c r="B221" s="44"/>
      <x:c r="C221" s="44"/>
      <x:c r="D221" s="44"/>
      <x:c r="E221" s="44"/>
      <x:c r="F221" s="44"/>
      <x:c r="G221" s="44"/>
      <x:c r="H221" s="44"/>
      <x:c r="I221" s="44"/>
      <x:c r="J221" s="44"/>
      <x:c r="K221" s="44"/>
      <x:c r="L221" s="44"/>
      <x:c r="M221" s="44"/>
      <x:c r="N221" s="44"/>
      <x:c r="O221" s="44"/>
      <x:c r="P221" s="44"/>
      <x:c r="Q221" s="44"/>
      <x:c r="R221" s="44"/>
      <x:c r="S221" s="44"/>
    </x:row>
    <x:row r="222">
      <x:c r="A222" s="44"/>
      <x:c r="B222" s="44"/>
      <x:c r="C222" s="44"/>
      <x:c r="D222" s="44"/>
      <x:c r="E222" s="44"/>
      <x:c r="F222" s="44"/>
      <x:c r="G222" s="44"/>
      <x:c r="H222" s="44"/>
      <x:c r="I222" s="44"/>
      <x:c r="J222" s="44"/>
      <x:c r="K222" s="44"/>
      <x:c r="L222" s="44"/>
      <x:c r="M222" s="44"/>
      <x:c r="N222" s="44"/>
      <x:c r="O222" s="44"/>
      <x:c r="P222" s="44"/>
      <x:c r="Q222" s="44"/>
      <x:c r="R222" s="44"/>
      <x:c r="S222" s="44"/>
    </x:row>
    <x:row r="223">
      <x:c r="A223" s="44"/>
      <x:c r="B223" s="44"/>
      <x:c r="C223" s="44"/>
      <x:c r="D223" s="44"/>
      <x:c r="E223" s="44"/>
      <x:c r="F223" s="44"/>
      <x:c r="G223" s="44"/>
      <x:c r="H223" s="44"/>
      <x:c r="I223" s="44"/>
      <x:c r="J223" s="44"/>
      <x:c r="K223" s="44"/>
      <x:c r="L223" s="44"/>
      <x:c r="M223" s="44"/>
      <x:c r="N223" s="44"/>
      <x:c r="O223" s="44"/>
      <x:c r="P223" s="44"/>
      <x:c r="Q223" s="44"/>
      <x:c r="R223" s="44"/>
      <x:c r="S223" s="44"/>
    </x:row>
    <x:row r="224">
      <x:c r="A224" s="44"/>
      <x:c r="B224" s="44"/>
      <x:c r="C224" s="44"/>
      <x:c r="D224" s="44"/>
      <x:c r="E224" s="44"/>
      <x:c r="F224" s="44"/>
      <x:c r="G224" s="44"/>
      <x:c r="H224" s="44"/>
      <x:c r="I224" s="44"/>
      <x:c r="J224" s="44"/>
      <x:c r="K224" s="44"/>
      <x:c r="L224" s="44"/>
      <x:c r="M224" s="44"/>
      <x:c r="N224" s="44"/>
      <x:c r="O224" s="44"/>
      <x:c r="P224" s="44"/>
      <x:c r="Q224" s="44"/>
      <x:c r="R224" s="44"/>
      <x:c r="S224" s="44"/>
    </x:row>
    <x:row r="225">
      <x:c r="A225" s="44"/>
      <x:c r="B225" s="44"/>
      <x:c r="C225" s="44"/>
      <x:c r="D225" s="44"/>
      <x:c r="E225" s="44"/>
      <x:c r="F225" s="44"/>
      <x:c r="G225" s="44"/>
      <x:c r="H225" s="44"/>
      <x:c r="I225" s="44"/>
      <x:c r="J225" s="44"/>
      <x:c r="K225" s="44"/>
      <x:c r="L225" s="44"/>
      <x:c r="M225" s="44"/>
      <x:c r="N225" s="44"/>
      <x:c r="O225" s="44"/>
      <x:c r="P225" s="44"/>
      <x:c r="Q225" s="44"/>
      <x:c r="R225" s="44"/>
      <x:c r="S225" s="44"/>
    </x:row>
    <x:row r="226">
      <x:c r="A226" s="44"/>
      <x:c r="B226" s="44"/>
      <x:c r="C226" s="44"/>
      <x:c r="D226" s="44"/>
      <x:c r="E226" s="44"/>
      <x:c r="F226" s="44"/>
      <x:c r="G226" s="44"/>
      <x:c r="H226" s="44"/>
      <x:c r="I226" s="44"/>
      <x:c r="J226" s="44"/>
      <x:c r="K226" s="44"/>
      <x:c r="L226" s="44"/>
      <x:c r="M226" s="44"/>
      <x:c r="N226" s="44"/>
      <x:c r="O226" s="44"/>
      <x:c r="P226" s="44"/>
      <x:c r="Q226" s="44"/>
      <x:c r="R226" s="44"/>
      <x:c r="S226" s="44"/>
    </x:row>
    <x:row r="227">
      <x:c r="A227" s="44"/>
      <x:c r="B227" s="44"/>
      <x:c r="C227" s="44"/>
      <x:c r="D227" s="44"/>
      <x:c r="E227" s="44"/>
      <x:c r="F227" s="44"/>
      <x:c r="G227" s="44"/>
      <x:c r="H227" s="44"/>
      <x:c r="I227" s="44"/>
      <x:c r="J227" s="44"/>
      <x:c r="K227" s="44"/>
      <x:c r="L227" s="44"/>
      <x:c r="M227" s="44"/>
      <x:c r="N227" s="44"/>
      <x:c r="O227" s="44"/>
      <x:c r="P227" s="44"/>
      <x:c r="Q227" s="44"/>
      <x:c r="R227" s="44"/>
      <x:c r="S227" s="44"/>
    </x:row>
    <x:row r="228">
      <x:c r="A228" s="44"/>
      <x:c r="B228" s="44"/>
      <x:c r="C228" s="44"/>
      <x:c r="D228" s="44"/>
      <x:c r="E228" s="44"/>
      <x:c r="F228" s="44"/>
      <x:c r="G228" s="44"/>
      <x:c r="H228" s="44"/>
      <x:c r="I228" s="44"/>
      <x:c r="J228" s="44"/>
      <x:c r="K228" s="44"/>
      <x:c r="L228" s="44"/>
      <x:c r="M228" s="44"/>
      <x:c r="N228" s="44"/>
      <x:c r="O228" s="44"/>
      <x:c r="P228" s="44"/>
      <x:c r="Q228" s="44"/>
      <x:c r="R228" s="44"/>
      <x:c r="S228" s="44"/>
    </x:row>
    <x:row r="229">
      <x:c r="A229" s="44"/>
      <x:c r="B229" s="44"/>
      <x:c r="C229" s="44"/>
      <x:c r="D229" s="44"/>
      <x:c r="E229" s="44"/>
      <x:c r="F229" s="44"/>
      <x:c r="G229" s="44"/>
      <x:c r="H229" s="44"/>
      <x:c r="I229" s="44"/>
      <x:c r="J229" s="44"/>
      <x:c r="K229" s="44"/>
      <x:c r="L229" s="44"/>
      <x:c r="M229" s="44"/>
      <x:c r="N229" s="44"/>
      <x:c r="O229" s="44"/>
      <x:c r="P229" s="44"/>
      <x:c r="Q229" s="44"/>
      <x:c r="R229" s="44"/>
      <x:c r="S229" s="44"/>
    </x:row>
    <x:row r="230">
      <x:c r="A230" s="44"/>
      <x:c r="B230" s="44"/>
      <x:c r="C230" s="44"/>
      <x:c r="D230" s="44"/>
      <x:c r="E230" s="44"/>
      <x:c r="F230" s="44"/>
      <x:c r="G230" s="44"/>
      <x:c r="H230" s="44"/>
      <x:c r="I230" s="44"/>
      <x:c r="J230" s="44"/>
      <x:c r="K230" s="44"/>
      <x:c r="L230" s="44"/>
      <x:c r="M230" s="44"/>
      <x:c r="N230" s="44"/>
      <x:c r="O230" s="44"/>
      <x:c r="P230" s="44"/>
      <x:c r="Q230" s="44"/>
      <x:c r="R230" s="44"/>
      <x:c r="S230" s="44"/>
    </x:row>
    <x:row r="231">
      <x:c r="A231" s="44"/>
      <x:c r="B231" s="44"/>
      <x:c r="C231" s="44"/>
      <x:c r="D231" s="44"/>
      <x:c r="E231" s="44"/>
      <x:c r="F231" s="44"/>
      <x:c r="G231" s="44"/>
      <x:c r="H231" s="44"/>
      <x:c r="I231" s="44"/>
      <x:c r="J231" s="44"/>
      <x:c r="K231" s="44"/>
      <x:c r="L231" s="44"/>
      <x:c r="M231" s="44"/>
      <x:c r="N231" s="44"/>
      <x:c r="O231" s="44"/>
      <x:c r="P231" s="44"/>
      <x:c r="Q231" s="44"/>
      <x:c r="R231" s="44"/>
      <x:c r="S231" s="44"/>
    </x:row>
    <x:row r="232">
      <x:c r="A232" s="44"/>
      <x:c r="B232" s="44"/>
      <x:c r="C232" s="44"/>
      <x:c r="D232" s="44"/>
      <x:c r="E232" s="44"/>
      <x:c r="F232" s="44"/>
      <x:c r="G232" s="44"/>
      <x:c r="H232" s="44"/>
      <x:c r="I232" s="44"/>
      <x:c r="J232" s="44"/>
      <x:c r="K232" s="44"/>
      <x:c r="L232" s="44"/>
      <x:c r="M232" s="44"/>
      <x:c r="N232" s="44"/>
      <x:c r="O232" s="44"/>
      <x:c r="P232" s="44"/>
      <x:c r="Q232" s="44"/>
      <x:c r="R232" s="44"/>
      <x:c r="S232" s="44"/>
    </x:row>
    <x:row r="233">
      <x:c r="A233" s="44"/>
      <x:c r="B233" s="44"/>
      <x:c r="C233" s="44"/>
      <x:c r="D233" s="44"/>
      <x:c r="E233" s="44"/>
      <x:c r="F233" s="44"/>
      <x:c r="G233" s="44"/>
      <x:c r="H233" s="44"/>
      <x:c r="I233" s="44"/>
      <x:c r="J233" s="44"/>
      <x:c r="K233" s="44"/>
      <x:c r="L233" s="44"/>
      <x:c r="M233" s="44"/>
      <x:c r="N233" s="44"/>
      <x:c r="O233" s="44"/>
      <x:c r="P233" s="44"/>
      <x:c r="Q233" s="44"/>
      <x:c r="R233" s="44"/>
      <x:c r="S233" s="44"/>
    </x:row>
    <x:row r="234">
      <x:c r="A234" s="44"/>
      <x:c r="B234" s="44"/>
      <x:c r="C234" s="44"/>
      <x:c r="D234" s="44"/>
      <x:c r="E234" s="44"/>
      <x:c r="F234" s="44"/>
      <x:c r="G234" s="44"/>
      <x:c r="H234" s="44"/>
      <x:c r="I234" s="44"/>
      <x:c r="J234" s="44"/>
      <x:c r="K234" s="44"/>
      <x:c r="L234" s="44"/>
      <x:c r="M234" s="44"/>
      <x:c r="N234" s="44"/>
      <x:c r="O234" s="44"/>
      <x:c r="P234" s="44"/>
      <x:c r="Q234" s="44"/>
      <x:c r="R234" s="44"/>
      <x:c r="S234" s="44"/>
    </x:row>
    <x:row r="235">
      <x:c r="A235" s="44"/>
      <x:c r="B235" s="44"/>
      <x:c r="C235" s="44"/>
      <x:c r="D235" s="44"/>
      <x:c r="E235" s="44"/>
      <x:c r="F235" s="44"/>
      <x:c r="G235" s="44"/>
      <x:c r="H235" s="44"/>
      <x:c r="I235" s="44"/>
      <x:c r="J235" s="44"/>
      <x:c r="K235" s="44"/>
      <x:c r="L235" s="44"/>
      <x:c r="M235" s="44"/>
      <x:c r="N235" s="44"/>
      <x:c r="O235" s="44"/>
      <x:c r="P235" s="44"/>
      <x:c r="Q235" s="44"/>
      <x:c r="R235" s="44"/>
      <x:c r="S235" s="44"/>
    </x:row>
    <x:row r="236">
      <x:c r="A236" s="44"/>
      <x:c r="B236" s="44"/>
      <x:c r="C236" s="44"/>
      <x:c r="D236" s="44"/>
      <x:c r="E236" s="44"/>
      <x:c r="F236" s="44"/>
      <x:c r="G236" s="44"/>
      <x:c r="H236" s="44"/>
      <x:c r="I236" s="44"/>
      <x:c r="J236" s="44"/>
      <x:c r="K236" s="44"/>
      <x:c r="L236" s="44"/>
      <x:c r="M236" s="44"/>
      <x:c r="N236" s="44"/>
      <x:c r="O236" s="44"/>
      <x:c r="P236" s="44"/>
      <x:c r="Q236" s="44"/>
      <x:c r="R236" s="44"/>
      <x:c r="S236" s="44"/>
    </x:row>
    <x:row r="237">
      <x:c r="A237" s="44"/>
      <x:c r="B237" s="44"/>
      <x:c r="C237" s="44"/>
      <x:c r="D237" s="44"/>
      <x:c r="E237" s="44"/>
      <x:c r="F237" s="44"/>
      <x:c r="G237" s="44"/>
      <x:c r="H237" s="44"/>
      <x:c r="I237" s="44"/>
      <x:c r="J237" s="44"/>
      <x:c r="K237" s="44"/>
      <x:c r="L237" s="44"/>
      <x:c r="M237" s="44"/>
      <x:c r="N237" s="44"/>
      <x:c r="O237" s="44"/>
      <x:c r="P237" s="44"/>
      <x:c r="Q237" s="44"/>
      <x:c r="R237" s="44"/>
      <x:c r="S237" s="44"/>
    </x:row>
    <x:row r="238">
      <x:c r="A238" s="44"/>
      <x:c r="B238" s="44"/>
      <x:c r="C238" s="44"/>
      <x:c r="D238" s="44"/>
      <x:c r="E238" s="44"/>
      <x:c r="F238" s="44"/>
      <x:c r="G238" s="44"/>
      <x:c r="H238" s="44"/>
      <x:c r="I238" s="44"/>
      <x:c r="J238" s="44"/>
      <x:c r="K238" s="44"/>
      <x:c r="L238" s="44"/>
      <x:c r="M238" s="44"/>
      <x:c r="N238" s="44"/>
      <x:c r="O238" s="44"/>
      <x:c r="P238" s="44"/>
      <x:c r="Q238" s="44"/>
      <x:c r="R238" s="44"/>
      <x:c r="S238" s="44"/>
    </x:row>
    <x:row r="239">
      <x:c r="A239" s="44"/>
      <x:c r="B239" s="44"/>
      <x:c r="C239" s="44"/>
      <x:c r="D239" s="44"/>
      <x:c r="E239" s="44"/>
      <x:c r="F239" s="44"/>
      <x:c r="G239" s="44"/>
      <x:c r="H239" s="44"/>
      <x:c r="I239" s="44"/>
      <x:c r="J239" s="44"/>
      <x:c r="K239" s="44"/>
      <x:c r="L239" s="44"/>
      <x:c r="M239" s="44"/>
      <x:c r="N239" s="44"/>
      <x:c r="O239" s="44"/>
      <x:c r="P239" s="44"/>
      <x:c r="Q239" s="44"/>
      <x:c r="R239" s="44"/>
      <x:c r="S239" s="44"/>
    </x:row>
    <x:row r="240">
      <x:c r="A240" s="44"/>
      <x:c r="B240" s="44"/>
      <x:c r="C240" s="44"/>
      <x:c r="D240" s="44"/>
      <x:c r="E240" s="44"/>
      <x:c r="F240" s="44"/>
      <x:c r="G240" s="44"/>
      <x:c r="H240" s="44"/>
      <x:c r="I240" s="44"/>
      <x:c r="J240" s="44"/>
      <x:c r="K240" s="44"/>
      <x:c r="L240" s="44"/>
      <x:c r="M240" s="44"/>
      <x:c r="N240" s="44"/>
      <x:c r="O240" s="44"/>
      <x:c r="P240" s="44"/>
      <x:c r="Q240" s="44"/>
      <x:c r="R240" s="44"/>
      <x:c r="S240" s="44"/>
    </x:row>
    <x:row r="241">
      <x:c r="A241" s="44"/>
      <x:c r="B241" s="44"/>
      <x:c r="C241" s="44"/>
      <x:c r="D241" s="44"/>
      <x:c r="E241" s="44"/>
      <x:c r="F241" s="44"/>
      <x:c r="G241" s="44"/>
      <x:c r="H241" s="44"/>
      <x:c r="I241" s="44"/>
      <x:c r="J241" s="44"/>
      <x:c r="K241" s="44"/>
      <x:c r="L241" s="44"/>
      <x:c r="M241" s="44"/>
      <x:c r="N241" s="44"/>
      <x:c r="O241" s="44"/>
      <x:c r="P241" s="44"/>
      <x:c r="Q241" s="44"/>
      <x:c r="R241" s="44"/>
      <x:c r="S241" s="44"/>
    </x:row>
    <x:row r="242">
      <x:c r="A242" s="44"/>
      <x:c r="B242" s="44"/>
      <x:c r="C242" s="44"/>
      <x:c r="D242" s="44"/>
      <x:c r="E242" s="44"/>
      <x:c r="F242" s="44"/>
      <x:c r="G242" s="44"/>
      <x:c r="H242" s="44"/>
      <x:c r="I242" s="44"/>
      <x:c r="J242" s="44"/>
      <x:c r="K242" s="44"/>
      <x:c r="L242" s="44"/>
      <x:c r="M242" s="44"/>
      <x:c r="N242" s="44"/>
      <x:c r="O242" s="44"/>
      <x:c r="P242" s="44"/>
      <x:c r="Q242" s="44"/>
      <x:c r="R242" s="44"/>
      <x:c r="S242" s="44"/>
    </x:row>
    <x:row r="243">
      <x:c r="A243" s="44"/>
      <x:c r="B243" s="44"/>
      <x:c r="C243" s="44"/>
      <x:c r="D243" s="44"/>
      <x:c r="E243" s="44"/>
      <x:c r="F243" s="44"/>
      <x:c r="G243" s="44"/>
      <x:c r="H243" s="44"/>
      <x:c r="I243" s="44"/>
      <x:c r="J243" s="44"/>
      <x:c r="K243" s="44"/>
      <x:c r="L243" s="44"/>
      <x:c r="M243" s="44"/>
      <x:c r="N243" s="44"/>
      <x:c r="O243" s="44"/>
      <x:c r="P243" s="44"/>
      <x:c r="Q243" s="44"/>
      <x:c r="R243" s="44"/>
      <x:c r="S243" s="44"/>
    </x:row>
    <x:row r="244">
      <x:c r="A244" s="44"/>
      <x:c r="B244" s="44"/>
      <x:c r="C244" s="44"/>
      <x:c r="D244" s="44"/>
      <x:c r="E244" s="44"/>
      <x:c r="F244" s="44"/>
      <x:c r="G244" s="44"/>
      <x:c r="H244" s="44"/>
      <x:c r="I244" s="44"/>
      <x:c r="J244" s="44"/>
      <x:c r="K244" s="44"/>
      <x:c r="L244" s="44"/>
      <x:c r="M244" s="44"/>
      <x:c r="N244" s="44"/>
      <x:c r="O244" s="44"/>
      <x:c r="P244" s="44"/>
      <x:c r="Q244" s="44"/>
      <x:c r="R244" s="44"/>
      <x:c r="S244" s="44"/>
    </x:row>
    <x:row r="245">
      <x:c r="A245" s="44"/>
      <x:c r="B245" s="44"/>
      <x:c r="C245" s="44"/>
      <x:c r="D245" s="44"/>
      <x:c r="E245" s="44"/>
      <x:c r="F245" s="44"/>
      <x:c r="G245" s="44"/>
      <x:c r="H245" s="44"/>
      <x:c r="I245" s="44"/>
      <x:c r="J245" s="44"/>
      <x:c r="K245" s="44"/>
      <x:c r="L245" s="44"/>
      <x:c r="M245" s="44"/>
      <x:c r="N245" s="44"/>
      <x:c r="O245" s="44"/>
      <x:c r="P245" s="44"/>
      <x:c r="Q245" s="44"/>
      <x:c r="R245" s="44"/>
      <x:c r="S245" s="44"/>
    </x:row>
    <x:row r="246">
      <x:c r="A246" s="44"/>
      <x:c r="B246" s="44"/>
      <x:c r="C246" s="44"/>
      <x:c r="D246" s="44"/>
      <x:c r="E246" s="44"/>
      <x:c r="F246" s="44"/>
      <x:c r="G246" s="44"/>
      <x:c r="H246" s="44"/>
      <x:c r="I246" s="44"/>
      <x:c r="J246" s="44"/>
      <x:c r="K246" s="44"/>
      <x:c r="L246" s="44"/>
      <x:c r="M246" s="44"/>
      <x:c r="N246" s="44"/>
      <x:c r="O246" s="44"/>
      <x:c r="P246" s="44"/>
      <x:c r="Q246" s="44"/>
      <x:c r="R246" s="44"/>
      <x:c r="S246" s="44"/>
    </x:row>
    <x:row r="247">
      <x:c r="A247" s="44"/>
      <x:c r="B247" s="44"/>
      <x:c r="C247" s="44"/>
      <x:c r="D247" s="44"/>
      <x:c r="E247" s="44"/>
      <x:c r="F247" s="44"/>
      <x:c r="G247" s="44"/>
      <x:c r="H247" s="44"/>
      <x:c r="I247" s="44"/>
      <x:c r="J247" s="44"/>
      <x:c r="K247" s="44"/>
      <x:c r="L247" s="44"/>
      <x:c r="M247" s="44"/>
      <x:c r="N247" s="44"/>
      <x:c r="O247" s="44"/>
      <x:c r="P247" s="44"/>
      <x:c r="Q247" s="44"/>
      <x:c r="R247" s="44"/>
      <x:c r="S247" s="44"/>
    </x:row>
    <x:row r="248">
      <x:c r="A248" s="44"/>
      <x:c r="B248" s="44"/>
      <x:c r="C248" s="44"/>
      <x:c r="D248" s="44"/>
      <x:c r="E248" s="44"/>
      <x:c r="F248" s="44"/>
      <x:c r="G248" s="44"/>
      <x:c r="H248" s="44"/>
      <x:c r="I248" s="44"/>
      <x:c r="J248" s="44"/>
      <x:c r="K248" s="44"/>
      <x:c r="L248" s="44"/>
      <x:c r="M248" s="44"/>
      <x:c r="N248" s="44"/>
      <x:c r="O248" s="44"/>
      <x:c r="P248" s="44"/>
      <x:c r="Q248" s="44"/>
      <x:c r="R248" s="44"/>
      <x:c r="S248" s="44"/>
    </x:row>
    <x:row r="249">
      <x:c r="A249" s="44"/>
      <x:c r="B249" s="44"/>
      <x:c r="C249" s="44"/>
      <x:c r="D249" s="44"/>
      <x:c r="E249" s="44"/>
      <x:c r="F249" s="44"/>
      <x:c r="G249" s="44"/>
      <x:c r="H249" s="44"/>
      <x:c r="I249" s="44"/>
      <x:c r="J249" s="44"/>
      <x:c r="K249" s="44"/>
      <x:c r="L249" s="44"/>
      <x:c r="M249" s="44"/>
      <x:c r="N249" s="44"/>
      <x:c r="O249" s="44"/>
      <x:c r="P249" s="44"/>
      <x:c r="Q249" s="44"/>
      <x:c r="R249" s="44"/>
      <x:c r="S249" s="44"/>
    </x:row>
    <x:row r="250">
      <x:c r="A250" s="45"/>
      <x:c r="B250" s="45"/>
      <x:c r="C250" s="45"/>
      <x:c r="D250" s="45"/>
      <x:c r="E250" s="45"/>
      <x:c r="F250" s="45"/>
      <x:c r="G250" s="45"/>
      <x:c r="H250" s="45"/>
      <x:c r="I250" s="45"/>
      <x:c r="J250" s="45"/>
      <x:c r="K250" s="45"/>
      <x:c r="L250" s="45"/>
      <x:c r="M250" s="45"/>
      <x:c r="N250" s="45"/>
      <x:c r="O250" s="45"/>
      <x:c r="P250" s="45"/>
      <x:c r="Q250" s="45"/>
      <x:c r="R250" s="45"/>
      <x:c r="S250" s="45"/>
    </x:row>
  </x:sheetData>
  <x:mergeCells>
    <x:mergeCell ref="A1:S1"/>
    <x:mergeCell ref="A2:S2"/>
  </x:mergeCells>
  <x:dataValidations count="3">
    <x:dataValidation type="list" sqref="C5:C250">
      <x:formula1>"Herramienta,Taller,Asesoría,Diagnóstico,Acompañamiento,Recurso digital,Otro"</x:formula1>
    </x:dataValidation>
    <x:dataValidation type="list" sqref="I5:I250">
      <x:formula1>"Autogestión,IA,En vivo,Híbrida,Asincrónica,Presencial,Virtual"</x:formula1>
    </x:dataValidation>
    <x:dataValidation type="list" sqref="R5:R250">
      <x:formula1>"Preliminar,Por validar CEDIA,Validado CEDIA,No vigente"</x:formula1>
    </x:dataValidation>
  </x:dataValidations>
  <x:pageMargins left="0.7" right="0.7" top="0.75" bottom="0.75" header="0.3" footer="0.3"/>
  <x:tableParts count="1">
    <x:tablePart xmlns:r="http://schemas.openxmlformats.org/officeDocument/2006/relationships" r:id="Re9a1e80b101045a5"/>
  </x:tableParts>
</x:worksheet>
</file>

<file path=xl/worksheets/sheet10.xml><?xml version="1.0" encoding="utf-8"?>
<x:worksheet xmlns:x="http://schemas.openxmlformats.org/spreadsheetml/2006/main">
  <x:sheetFormatPr defaultRowHeight="15"/>
  <x:cols>
    <x:col min="1" max="1" width="10" hidden="0" customWidth="1"/>
    <x:col min="2" max="2" width="25" hidden="0" customWidth="1"/>
    <x:col min="3" max="3" width="18" hidden="0" customWidth="1"/>
    <x:col min="4" max="4" width="18" hidden="0" customWidth="1"/>
    <x:col min="5" max="5" width="34" hidden="0" customWidth="1"/>
    <x:col min="6" max="6" width="11" hidden="0" customWidth="1"/>
    <x:col min="7" max="7" width="11" hidden="0" customWidth="1"/>
    <x:col min="8" max="8" width="48" hidden="0" customWidth="1"/>
    <x:col min="9" max="9" width="27" hidden="0" customWidth="1"/>
    <x:col min="10" max="10" width="38" hidden="0" customWidth="1"/>
    <x:col min="11" max="11" width="38" hidden="0" customWidth="1"/>
    <x:col min="12" max="12" width="40" hidden="0" customWidth="1"/>
    <x:col min="13" max="13" width="14" hidden="0" customWidth="1"/>
    <x:col min="14" max="14" width="36" hidden="0" customWidth="1"/>
    <x:col min="15" max="15" width="36" hidden="0" customWidth="1"/>
    <x:col min="16" max="16" width="70" hidden="0" customWidth="1"/>
    <x:col min="17" max="17" width="24" hidden="0" customWidth="1"/>
    <x:col min="18" max="18" width="36" hidden="0" customWidth="1"/>
    <x:col min="20" max="20" width="42" hidden="0" customWidth="1"/>
    <x:col min="21" max="21" width="34" hidden="0" customWidth="1"/>
    <x:col min="22" max="22" width="24" hidden="0" customWidth="1"/>
  </x:cols>
  <x:sheetData>
    <x:row r="1" ht="28" customHeight="1">
      <x:c r="A1" s="6" t="str">
        <x:v>09 — CASOS DE PRUEBA DEL MOTOR</x:v>
      </x:c>
      <x:c r="B1" s="6" t="str">
        <x:v>09 — CASOS DE PRUEBA DEL MOTOR</x:v>
      </x:c>
      <x:c r="C1" s="6" t="str">
        <x:v>09 — CASOS DE PRUEBA DEL MOTOR</x:v>
      </x:c>
      <x:c r="D1" s="6" t="str">
        <x:v>09 — CASOS DE PRUEBA DEL MOTOR</x:v>
      </x:c>
      <x:c r="E1" s="6" t="str">
        <x:v>09 — CASOS DE PRUEBA DEL MOTOR</x:v>
      </x:c>
      <x:c r="F1" s="6" t="str">
        <x:v>09 — CASOS DE PRUEBA DEL MOTOR</x:v>
      </x:c>
      <x:c r="G1" s="6" t="str">
        <x:v>09 — CASOS DE PRUEBA DEL MOTOR</x:v>
      </x:c>
      <x:c r="H1" s="6" t="str">
        <x:v>09 — CASOS DE PRUEBA DEL MOTOR</x:v>
      </x:c>
      <x:c r="I1" s="6" t="str">
        <x:v>09 — CASOS DE PRUEBA DEL MOTOR</x:v>
      </x:c>
      <x:c r="J1" s="6" t="str">
        <x:v>09 — CASOS DE PRUEBA DEL MOTOR</x:v>
      </x:c>
      <x:c r="K1" s="6" t="str">
        <x:v>09 — CASOS DE PRUEBA DEL MOTOR</x:v>
      </x:c>
      <x:c r="L1" s="6" t="str">
        <x:v>09 — CASOS DE PRUEBA DEL MOTOR</x:v>
      </x:c>
      <x:c r="M1" s="6" t="str">
        <x:v>09 — CASOS DE PRUEBA DEL MOTOR</x:v>
      </x:c>
      <x:c r="N1" s="6" t="str">
        <x:v>09 — CASOS DE PRUEBA DEL MOTOR</x:v>
      </x:c>
      <x:c r="O1" s="6" t="str">
        <x:v>09 — CASOS DE PRUEBA DEL MOTOR</x:v>
      </x:c>
      <x:c r="P1" s="6" t="str">
        <x:v>09 — CASOS DE PRUEBA DEL MOTOR</x:v>
      </x:c>
      <x:c r="Q1" s="6" t="str">
        <x:v>09 — CASOS DE PRUEBA DEL MOTOR</x:v>
      </x:c>
      <x:c r="R1" s="6" t="str">
        <x:v>09 — CASOS DE PRUEBA DEL MOTOR</x:v>
      </x:c>
    </x:row>
    <x:row r="2" ht="42" customHeight="1">
      <x:c r="A2" s="336" t="str">
        <x:v>SIMULADOR AUTOMÁTICO: llena B–J. H (brecha principal) e I (estado de evidencia) son obligatorios para que el Excel pueda recomendar. K es tu ruta esperada y se llena ANTES de mirar L. L, M, P y Q se calculan automáticamente.</x:v>
      </x:c>
      <x:c r="B2" s="336" t="str">
        <x:v>SIMULADOR AUTOMÁTICO: llena B–J. H (brecha principal) e I (estado de evidencia) son obligatorios para que el Excel pueda recomendar. K es tu ruta esperada y se llena ANTES de mirar L. L, M, P y Q se calculan automáticamente.</x:v>
      </x:c>
      <x:c r="C2" s="336" t="str">
        <x:v>SIMULADOR AUTOMÁTICO: llena B–J. H (brecha principal) e I (estado de evidencia) son obligatorios para que el Excel pueda recomendar. K es tu ruta esperada y se llena ANTES de mirar L. L, M, P y Q se calculan automáticamente.</x:v>
      </x:c>
      <x:c r="D2" s="336" t="str">
        <x:v>SIMULADOR AUTOMÁTICO: llena B–J. H (brecha principal) e I (estado de evidencia) son obligatorios para que el Excel pueda recomendar. K es tu ruta esperada y se llena ANTES de mirar L. L, M, P y Q se calculan automáticamente.</x:v>
      </x:c>
      <x:c r="E2" s="336" t="str">
        <x:v>SIMULADOR AUTOMÁTICO: llena B–J. H (brecha principal) e I (estado de evidencia) son obligatorios para que el Excel pueda recomendar. K es tu ruta esperada y se llena ANTES de mirar L. L, M, P y Q se calculan automáticamente.</x:v>
      </x:c>
      <x:c r="F2" s="336" t="str">
        <x:v>SIMULADOR AUTOMÁTICO: llena B–J. H (brecha principal) e I (estado de evidencia) son obligatorios para que el Excel pueda recomendar. K es tu ruta esperada y se llena ANTES de mirar L. L, M, P y Q se calculan automáticamente.</x:v>
      </x:c>
      <x:c r="G2" s="336" t="str">
        <x:v>SIMULADOR AUTOMÁTICO: llena B–J. H (brecha principal) e I (estado de evidencia) son obligatorios para que el Excel pueda recomendar. K es tu ruta esperada y se llena ANTES de mirar L. L, M, P y Q se calculan automáticamente.</x:v>
      </x:c>
      <x:c r="H2" s="336" t="str">
        <x:v>SIMULADOR AUTOMÁTICO: llena B–J. H (brecha principal) e I (estado de evidencia) son obligatorios para que el Excel pueda recomendar. K es tu ruta esperada y se llena ANTES de mirar L. L, M, P y Q se calculan automáticamente.</x:v>
      </x:c>
      <x:c r="I2" s="336" t="str">
        <x:v>SIMULADOR AUTOMÁTICO: llena B–J. H (brecha principal) e I (estado de evidencia) son obligatorios para que el Excel pueda recomendar. K es tu ruta esperada y se llena ANTES de mirar L. L, M, P y Q se calculan automáticamente.</x:v>
      </x:c>
      <x:c r="J2" s="336" t="str">
        <x:v>SIMULADOR AUTOMÁTICO: llena B–J. H (brecha principal) e I (estado de evidencia) son obligatorios para que el Excel pueda recomendar. K es tu ruta esperada y se llena ANTES de mirar L. L, M, P y Q se calculan automáticamente.</x:v>
      </x:c>
      <x:c r="K2" s="336" t="str">
        <x:v>SIMULADOR AUTOMÁTICO: llena B–J. H (brecha principal) e I (estado de evidencia) son obligatorios para que el Excel pueda recomendar. K es tu ruta esperada y se llena ANTES de mirar L. L, M, P y Q se calculan automáticamente.</x:v>
      </x:c>
      <x:c r="L2" s="336" t="str">
        <x:v>SIMULADOR AUTOMÁTICO: llena B–J. H (brecha principal) e I (estado de evidencia) son obligatorios para que el Excel pueda recomendar. K es tu ruta esperada y se llena ANTES de mirar L. L, M, P y Q se calculan automáticamente.</x:v>
      </x:c>
      <x:c r="M2" s="336" t="str">
        <x:v>SIMULADOR AUTOMÁTICO: llena B–J. H (brecha principal) e I (estado de evidencia) son obligatorios para que el Excel pueda recomendar. K es tu ruta esperada y se llena ANTES de mirar L. L, M, P y Q se calculan automáticamente.</x:v>
      </x:c>
      <x:c r="N2" s="336" t="str">
        <x:v>SIMULADOR AUTOMÁTICO: llena B–J. H (brecha principal) e I (estado de evidencia) son obligatorios para que el Excel pueda recomendar. K es tu ruta esperada y se llena ANTES de mirar L. L, M, P y Q se calculan automáticamente.</x:v>
      </x:c>
      <x:c r="O2" s="336" t="str">
        <x:v>SIMULADOR AUTOMÁTICO: llena B–J. H (brecha principal) e I (estado de evidencia) son obligatorios para que el Excel pueda recomendar. K es tu ruta esperada y se llena ANTES de mirar L. L, M, P y Q se calculan automáticamente.</x:v>
      </x:c>
      <x:c r="P2" s="336" t="str">
        <x:v>SIMULADOR AUTOMÁTICO: llena B–J. H (brecha principal) e I (estado de evidencia) son obligatorios para que el Excel pueda recomendar. K es tu ruta esperada y se llena ANTES de mirar L. L, M, P y Q se calculan automáticamente.</x:v>
      </x:c>
      <x:c r="Q2" s="336" t="str">
        <x:v>SIMULADOR AUTOMÁTICO: llena B–J. H (brecha principal) e I (estado de evidencia) son obligatorios para que el Excel pueda recomendar. K es tu ruta esperada y se llena ANTES de mirar L. L, M, P y Q se calculan automáticamente.</x:v>
      </x:c>
      <x:c r="R2" s="336" t="str">
        <x:v>SIMULADOR AUTOMÁTICO: llena B–J. H (brecha principal) e I (estado de evidencia) son obligatorios para que el Excel pueda recomendar. K es tu ruta esperada y se llena ANTES de mirar L. L, M, P y Q se calculan automáticamente.</x:v>
      </x:c>
    </x:row>
    <x:row r="3" ht="36" customHeight="1">
      <x:c r="A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B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C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D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E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F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G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H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I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J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K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L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M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N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O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P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Q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c r="R3" s="340" t="str">
        <x:v>Nota: CRL 1–9 corresponde a la calculadora CEDIA. En este simulador se permite 0 únicamente como convención de «no evaluado / no aplica aún»; 0 no es un nivel CRL CEDIA. Cada fila prueba UNA brecha principal. Para probar varias brechas del mismo proyecto, duplica el caso en otra fila.</x:v>
      </x:c>
    </x:row>
    <x:row r="4" ht="38" customHeight="1">
      <x:c r="A4" s="342" t="str">
        <x:v>ID_CASO</x:v>
      </x:c>
      <x:c r="B4" s="342" t="str">
        <x:v>NOMBRE_PROYECTO</x:v>
      </x:c>
      <x:c r="C4" s="342" t="str">
        <x:v>TIPO_PROYECTO</x:v>
      </x:c>
      <x:c r="D4" s="342" t="str">
        <x:v>SECTOR</x:v>
      </x:c>
      <x:c r="E4" s="342" t="str">
        <x:v>DESCRIPCION</x:v>
      </x:c>
      <x:c r="F4" s="342" t="str">
        <x:v>TRL_INICIAL</x:v>
      </x:c>
      <x:c r="G4" s="342" t="str">
        <x:v>CRL_INICIAL</x:v>
      </x:c>
      <x:c r="H4" s="342" t="str">
        <x:v>BRECHA_PRINCIPAL</x:v>
      </x:c>
      <x:c r="I4" s="342" t="str">
        <x:v>ESTADO_EVIDENCIA</x:v>
      </x:c>
      <x:c r="J4" s="342" t="str">
        <x:v>OBJETIVO_USUARIO</x:v>
      </x:c>
      <x:c r="K4" s="342" t="str">
        <x:v>RUTA_ESPERADA (manual)</x:v>
      </x:c>
      <x:c r="L4" s="342" t="str">
        <x:v>RUTA_GENERADA (automática)</x:v>
      </x:c>
      <x:c r="M4" s="342" t="str">
        <x:v>COINCIDE (auto)</x:v>
      </x:c>
      <x:c r="N4" s="342" t="str">
        <x:v>FALLA_DETECTADA (manual)</x:v>
      </x:c>
      <x:c r="O4" s="342" t="str">
        <x:v>AJUSTE_REGLA (manual)</x:v>
      </x:c>
      <x:c r="P4" s="342" t="str">
        <x:v>RESULTADO_FINAL (auto)</x:v>
      </x:c>
      <x:c r="Q4" s="342" t="str">
        <x:v>ESTADO_PRUEBA (auto)</x:v>
      </x:c>
      <x:c r="R4" s="342" t="str">
        <x:v>NOTAS</x:v>
      </x:c>
      <x:c r="T4" s="349" t="str">
        <x:v>QUÉ LLENAS TÚ</x:v>
      </x:c>
      <x:c r="U4" s="349" t="str">
        <x:v>QUÉ CALCULA EXCEL</x:v>
      </x:c>
      <x:c r="V4" s="349" t="str">
        <x:v>OBLIGATORIO</x:v>
      </x:c>
    </x:row>
    <x:row r="5">
      <x:c r="A5" s="44" t="n">
        <x:f>IF(B5="","",ROW()-4)</x:f>
        <x:v>1</x:v>
      </x:c>
      <x:c r="B5" s="44" t="str">
        <x:v>Envases biodegradables</x:v>
      </x:c>
      <x:c r="C5" s="44" t="str">
        <x:v>Producto</x:v>
      </x:c>
      <x:c r="D5" s="44" t="str">
        <x:v>Agronegocio</x:v>
      </x:c>
      <x:c r="E5" s="44" t="str">
        <x:v>Envases que no sean dañinos para el medio ambiente</x:v>
      </x:c>
      <x:c r="F5" s="44" t="n">
        <x:v>1</x:v>
      </x:c>
      <x:c r="G5" s="44" t="n">
        <x:v>0</x:v>
      </x:c>
      <x:c r="H5" s="343"/>
      <x:c r="I5" s="343"/>
      <x:c r="J5" s="44"/>
      <x:c r="K5" s="344"/>
      <x:c r="L5" s="345" t="str">
        <x:f>IF(B5="","",IF(H5="","⚠ Selecciona BRECHA_PRINCIPAL",IF(I5="","⚠ Selecciona ESTADO_EVIDENCIA",IFERROR(IF(I5="Válida y vigente","NO RECOMENDAR — evidencia suficiente",IF(I5="Válida pero requiere actualización",IF(INDEX('21_SIMULADOR_AUX'!$L$5:$L$38,MATCH(H5,'21_SIMULADOR_AUX'!$A$5:$A$38,0))="Sí","ACTUALIZAR: "&amp;INDEX('21_SIMULADOR_AUX'!$F$5:$F$38,MATCH(H5,'21_SIMULADOR_AUX'!$A$5:$A$38,0)),"REVISIÓN MANUAL"),INDEX('21_SIMULADOR_AUX'!$F$5:$F$38,MATCH(H5,'21_SIMULADOR_AUX'!$A$5:$A$38,0)))),"⚠ Brecha no reconocida"))))</x:f>
        <x:v>⚠ Selecciona BRECHA_PRINCIPAL</x:v>
      </x:c>
      <x:c r="M5" s="345" t="str">
        <x:f>IF(OR(K5="",L5=""),"",IF(K5=L5,"Sí","No"))</x:f>
      </x:c>
      <x:c r="N5" s="44"/>
      <x:c r="O5" s="44"/>
      <x:c r="P5" s="346" t="str">
        <x:f>IF(B5="","",IF(OR(H5="",I5=""),"Completa H e I para generar el resultado.",IF(I5="Válida y vigente","Evidencia suficiente: no repetir la herramienta. Reevaluar la brecha y el objetivo.",L5)))</x:f>
        <x:v>Completa H e I para generar el resultado.</x:v>
      </x:c>
      <x:c r="Q5" s="346" t="str">
        <x:f>IF(B5="","",IF(OR(H5="",I5=""),"Pendiente de completar",IF(K5="","Ruta generada; falta ruta esperada",IF(M5="Sí","APROBADA","REVISAR"))))</x:f>
        <x:v>Pendiente de completar</x:v>
      </x:c>
      <x:c r="R5" s="44"/>
      <x:c r="T5" s="207" t="str">
        <x:v>B–G: proyecto, tipo, sector, descripción, TRL/CRL</x:v>
      </x:c>
      <x:c r="U5" s="207" t="str">
        <x:v>A: ID del caso</x:v>
      </x:c>
      <x:c r="V5" s="207" t="str">
        <x:v>B–G necesarios para contexto</x:v>
      </x:c>
    </x:row>
    <x:row r="6">
      <x:c r="A6" s="44" t="str">
        <x:f>IF(B6="","",ROW()-4)</x:f>
      </x:c>
      <x:c r="B6" s="44"/>
      <x:c r="C6" s="44"/>
      <x:c r="D6" s="44"/>
      <x:c r="E6" s="44"/>
      <x:c r="F6" s="44"/>
      <x:c r="G6" s="44"/>
      <x:c r="H6" s="343"/>
      <x:c r="I6" s="343"/>
      <x:c r="J6" s="44"/>
      <x:c r="K6" s="344"/>
      <x:c r="L6" s="345" t="str">
        <x:f>IF(B6="","",IF(H6="","⚠ Selecciona BRECHA_PRINCIPAL",IF(I6="","⚠ Selecciona ESTADO_EVIDENCIA",IFERROR(IF(I6="Válida y vigente","NO RECOMENDAR — evidencia suficiente",IF(I6="Válida pero requiere actualización",IF(INDEX('21_SIMULADOR_AUX'!$L$5:$L$38,MATCH(H6,'21_SIMULADOR_AUX'!$A$5:$A$38,0))="Sí","ACTUALIZAR: "&amp;INDEX('21_SIMULADOR_AUX'!$F$5:$F$38,MATCH(H6,'21_SIMULADOR_AUX'!$A$5:$A$38,0)),"REVISIÓN MANUAL"),INDEX('21_SIMULADOR_AUX'!$F$5:$F$38,MATCH(H6,'21_SIMULADOR_AUX'!$A$5:$A$38,0)))),"⚠ Brecha no reconocida"))))</x:f>
      </x:c>
      <x:c r="M6" s="345" t="str">
        <x:f>IF(OR(K6="",L6=""),"",IF(K6=L6,"Sí","No"))</x:f>
      </x:c>
      <x:c r="N6" s="44"/>
      <x:c r="O6" s="44"/>
      <x:c r="P6" s="346" t="str">
        <x:f>IF(B6="","",IF(OR(H6="",I6=""),"Completa H e I para generar el resultado.",IF(I6="Válida y vigente","Evidencia suficiente: no repetir la herramienta. Reevaluar la brecha y el objetivo.",L6)))</x:f>
      </x:c>
      <x:c r="Q6" s="346" t="str">
        <x:f>IF(B6="","",IF(OR(H6="",I6=""),"Pendiente de completar",IF(K6="","Ruta generada; falta ruta esperada",IF(M6="Sí","APROBADA","REVISAR"))))</x:f>
      </x:c>
      <x:c r="R6" s="44"/>
      <x:c r="T6" s="207" t="str">
        <x:v>H: brecha principal</x:v>
      </x:c>
      <x:c r="U6" s="207" t="str">
        <x:v>L: ruta generada</x:v>
      </x:c>
      <x:c r="V6" s="207" t="str">
        <x:v>Sí</x:v>
      </x:c>
    </x:row>
    <x:row r="7">
      <x:c r="A7" s="44" t="str">
        <x:f>IF(B7="","",ROW()-4)</x:f>
      </x:c>
      <x:c r="B7" s="44"/>
      <x:c r="C7" s="44"/>
      <x:c r="D7" s="44"/>
      <x:c r="E7" s="44"/>
      <x:c r="F7" s="44"/>
      <x:c r="G7" s="44"/>
      <x:c r="H7" s="343"/>
      <x:c r="I7" s="343"/>
      <x:c r="J7" s="44"/>
      <x:c r="K7" s="344"/>
      <x:c r="L7" s="345" t="str">
        <x:f>IF(B7="","",IF(H7="","⚠ Selecciona BRECHA_PRINCIPAL",IF(I7="","⚠ Selecciona ESTADO_EVIDENCIA",IFERROR(IF(I7="Válida y vigente","NO RECOMENDAR — evidencia suficiente",IF(I7="Válida pero requiere actualización",IF(INDEX('21_SIMULADOR_AUX'!$L$5:$L$38,MATCH(H7,'21_SIMULADOR_AUX'!$A$5:$A$38,0))="Sí","ACTUALIZAR: "&amp;INDEX('21_SIMULADOR_AUX'!$F$5:$F$38,MATCH(H7,'21_SIMULADOR_AUX'!$A$5:$A$38,0)),"REVISIÓN MANUAL"),INDEX('21_SIMULADOR_AUX'!$F$5:$F$38,MATCH(H7,'21_SIMULADOR_AUX'!$A$5:$A$38,0)))),"⚠ Brecha no reconocida"))))</x:f>
      </x:c>
      <x:c r="M7" s="345" t="str">
        <x:f>IF(OR(K7="",L7=""),"",IF(K7=L7,"Sí","No"))</x:f>
      </x:c>
      <x:c r="N7" s="44"/>
      <x:c r="O7" s="44"/>
      <x:c r="P7" s="346" t="str">
        <x:f>IF(B7="","",IF(OR(H7="",I7=""),"Completa H e I para generar el resultado.",IF(I7="Válida y vigente","Evidencia suficiente: no repetir la herramienta. Reevaluar la brecha y el objetivo.",L7)))</x:f>
      </x:c>
      <x:c r="Q7" s="346" t="str">
        <x:f>IF(B7="","",IF(OR(H7="",I7=""),"Pendiente de completar",IF(K7="","Ruta generada; falta ruta esperada",IF(M7="Sí","APROBADA","REVISAR"))))</x:f>
      </x:c>
      <x:c r="R7" s="44"/>
      <x:c r="T7" s="207" t="str">
        <x:v>I: estado de evidencia</x:v>
      </x:c>
      <x:c r="U7" s="207" t="str">
        <x:v>P: resultado detallado</x:v>
      </x:c>
      <x:c r="V7" s="207" t="str">
        <x:v>Sí</x:v>
      </x:c>
    </x:row>
    <x:row r="8">
      <x:c r="A8" s="44" t="str">
        <x:f>IF(B8="","",ROW()-4)</x:f>
      </x:c>
      <x:c r="B8" s="44"/>
      <x:c r="C8" s="44"/>
      <x:c r="D8" s="44"/>
      <x:c r="E8" s="44"/>
      <x:c r="F8" s="44"/>
      <x:c r="G8" s="44"/>
      <x:c r="H8" s="343"/>
      <x:c r="I8" s="343"/>
      <x:c r="J8" s="44"/>
      <x:c r="K8" s="344"/>
      <x:c r="L8" s="345" t="str">
        <x:f>IF(B8="","",IF(H8="","⚠ Selecciona BRECHA_PRINCIPAL",IF(I8="","⚠ Selecciona ESTADO_EVIDENCIA",IFERROR(IF(I8="Válida y vigente","NO RECOMENDAR — evidencia suficiente",IF(I8="Válida pero requiere actualización",IF(INDEX('21_SIMULADOR_AUX'!$L$5:$L$38,MATCH(H8,'21_SIMULADOR_AUX'!$A$5:$A$38,0))="Sí","ACTUALIZAR: "&amp;INDEX('21_SIMULADOR_AUX'!$F$5:$F$38,MATCH(H8,'21_SIMULADOR_AUX'!$A$5:$A$38,0)),"REVISIÓN MANUAL"),INDEX('21_SIMULADOR_AUX'!$F$5:$F$38,MATCH(H8,'21_SIMULADOR_AUX'!$A$5:$A$38,0)))),"⚠ Brecha no reconocida"))))</x:f>
      </x:c>
      <x:c r="M8" s="345" t="str">
        <x:f>IF(OR(K8="",L8=""),"",IF(K8=L8,"Sí","No"))</x:f>
      </x:c>
      <x:c r="N8" s="44"/>
      <x:c r="O8" s="44"/>
      <x:c r="P8" s="346" t="str">
        <x:f>IF(B8="","",IF(OR(H8="",I8=""),"Completa H e I para generar el resultado.",IF(I8="Válida y vigente","Evidencia suficiente: no repetir la herramienta. Reevaluar la brecha y el objetivo.",L8)))</x:f>
      </x:c>
      <x:c r="Q8" s="346" t="str">
        <x:f>IF(B8="","",IF(OR(H8="",I8=""),"Pendiente de completar",IF(K8="","Ruta generada; falta ruta esperada",IF(M8="Sí","APROBADA","REVISAR"))))</x:f>
      </x:c>
      <x:c r="R8" s="44"/>
      <x:c r="T8" s="207" t="str">
        <x:v>J: objetivo del usuario</x:v>
      </x:c>
      <x:c r="U8" s="207" t="str">
        <x:v>Q: estado de prueba</x:v>
      </x:c>
      <x:c r="V8" s="207" t="str">
        <x:v>Recomendado</x:v>
      </x:c>
    </x:row>
    <x:row r="9">
      <x:c r="A9" s="44" t="str">
        <x:f>IF(B9="","",ROW()-4)</x:f>
      </x:c>
      <x:c r="B9" s="44"/>
      <x:c r="C9" s="44"/>
      <x:c r="D9" s="44"/>
      <x:c r="E9" s="44"/>
      <x:c r="F9" s="44"/>
      <x:c r="G9" s="44"/>
      <x:c r="H9" s="343"/>
      <x:c r="I9" s="343"/>
      <x:c r="J9" s="44"/>
      <x:c r="K9" s="344"/>
      <x:c r="L9" s="345" t="str">
        <x:f>IF(B9="","",IF(H9="","⚠ Selecciona BRECHA_PRINCIPAL",IF(I9="","⚠ Selecciona ESTADO_EVIDENCIA",IFERROR(IF(I9="Válida y vigente","NO RECOMENDAR — evidencia suficiente",IF(I9="Válida pero requiere actualización",IF(INDEX('21_SIMULADOR_AUX'!$L$5:$L$38,MATCH(H9,'21_SIMULADOR_AUX'!$A$5:$A$38,0))="Sí","ACTUALIZAR: "&amp;INDEX('21_SIMULADOR_AUX'!$F$5:$F$38,MATCH(H9,'21_SIMULADOR_AUX'!$A$5:$A$38,0)),"REVISIÓN MANUAL"),INDEX('21_SIMULADOR_AUX'!$F$5:$F$38,MATCH(H9,'21_SIMULADOR_AUX'!$A$5:$A$38,0)))),"⚠ Brecha no reconocida"))))</x:f>
      </x:c>
      <x:c r="M9" s="345" t="str">
        <x:f>IF(OR(K9="",L9=""),"",IF(K9=L9,"Sí","No"))</x:f>
      </x:c>
      <x:c r="N9" s="44"/>
      <x:c r="O9" s="44"/>
      <x:c r="P9" s="346" t="str">
        <x:f>IF(B9="","",IF(OR(H9="",I9=""),"Completa H e I para generar el resultado.",IF(I9="Válida y vigente","Evidencia suficiente: no repetir la herramienta. Reevaluar la brecha y el objetivo.",L9)))</x:f>
      </x:c>
      <x:c r="Q9" s="346" t="str">
        <x:f>IF(B9="","",IF(OR(H9="",I9=""),"Pendiente de completar",IF(K9="","Ruta generada; falta ruta esperada",IF(M9="Sí","APROBADA","REVISAR"))))</x:f>
      </x:c>
      <x:c r="R9" s="44"/>
      <x:c r="T9" s="207" t="str">
        <x:v>K: ruta esperada, antes de revisar L</x:v>
      </x:c>
      <x:c r="U9" s="207" t="str">
        <x:v>M: coincide/no coincide</x:v>
      </x:c>
      <x:c r="V9" s="207" t="str">
        <x:v>Para validar el motor</x:v>
      </x:c>
    </x:row>
    <x:row r="10">
      <x:c r="A10" s="44" t="str">
        <x:f>IF(B10="","",ROW()-4)</x:f>
      </x:c>
      <x:c r="B10" s="44"/>
      <x:c r="C10" s="44"/>
      <x:c r="D10" s="44"/>
      <x:c r="E10" s="44"/>
      <x:c r="F10" s="44"/>
      <x:c r="G10" s="44"/>
      <x:c r="H10" s="343"/>
      <x:c r="I10" s="343"/>
      <x:c r="J10" s="44"/>
      <x:c r="K10" s="344"/>
      <x:c r="L10" s="345" t="str">
        <x:f>IF(B10="","",IF(H10="","⚠ Selecciona BRECHA_PRINCIPAL",IF(I10="","⚠ Selecciona ESTADO_EVIDENCIA",IFERROR(IF(I10="Válida y vigente","NO RECOMENDAR — evidencia suficiente",IF(I10="Válida pero requiere actualización",IF(INDEX('21_SIMULADOR_AUX'!$L$5:$L$38,MATCH(H10,'21_SIMULADOR_AUX'!$A$5:$A$38,0))="Sí","ACTUALIZAR: "&amp;INDEX('21_SIMULADOR_AUX'!$F$5:$F$38,MATCH(H10,'21_SIMULADOR_AUX'!$A$5:$A$38,0)),"REVISIÓN MANUAL"),INDEX('21_SIMULADOR_AUX'!$F$5:$F$38,MATCH(H10,'21_SIMULADOR_AUX'!$A$5:$A$38,0)))),"⚠ Brecha no reconocida"))))</x:f>
      </x:c>
      <x:c r="M10" s="345" t="str">
        <x:f>IF(OR(K10="",L10=""),"",IF(K10=L10,"Sí","No"))</x:f>
      </x:c>
      <x:c r="N10" s="44"/>
      <x:c r="O10" s="44"/>
      <x:c r="P10" s="346" t="str">
        <x:f>IF(B10="","",IF(OR(H10="",I10=""),"Completa H e I para generar el resultado.",IF(I10="Válida y vigente","Evidencia suficiente: no repetir la herramienta. Reevaluar la brecha y el objetivo.",L10)))</x:f>
      </x:c>
      <x:c r="Q10" s="346" t="str">
        <x:f>IF(B10="","",IF(OR(H10="",I10=""),"Pendiente de completar",IF(K10="","Ruta generada; falta ruta esperada",IF(M10="Sí","APROBADA","REVISAR"))))</x:f>
      </x:c>
      <x:c r="R10" s="44"/>
      <x:c r="T10" s="207" t="str">
        <x:v>N/O/R: análisis manual si falla</x:v>
      </x:c>
      <x:c r="U10" s="207" t="str">
        <x:v>—</x:v>
      </x:c>
      <x:c r="V10" s="207" t="str">
        <x:v>Solo cuando haya discrepancia</x:v>
      </x:c>
    </x:row>
    <x:row r="11">
      <x:c r="A11" s="44" t="n">
        <x:f>IF(B11="","",ROW()-4)</x:f>
        <x:v>7</x:v>
      </x:c>
      <x:c r="B11" s="408" t="str">
        <x:v>Proyecto de empaques sostenibles</x:v>
      </x:c>
      <x:c r="C11" s="408" t="str">
        <x:v>Producto</x:v>
      </x:c>
      <x:c r="D11" s="408" t="str">
        <x:v>Alimentos</x:v>
      </x:c>
      <x:c r="E11" s="408" t="str">
        <x:v>La propuesta ya tiene BMC y prototipo conceptual, pero hay muchas suposiciones sobre cliente, costo y factibilidad.</x:v>
      </x:c>
      <x:c r="F11" s="408" t="n">
        <x:v>3</x:v>
      </x:c>
      <x:c r="G11" s="408" t="n">
        <x:v>2</x:v>
      </x:c>
      <x:c r="H11" s="408" t="str">
        <x:v>B-HIP-001 — Supuestos críticos no priorizados</x:v>
      </x:c>
      <x:c r="I11" s="408" t="str">
        <x:v>No existe</x:v>
      </x:c>
      <x:c r="J11" s="408" t="str">
        <x:v>Priorizar qué incertidumbre probar primero</x:v>
      </x:c>
      <x:c r="K11" s="408" t="str">
        <x:v>VAL-001 — Mapa de Supuestos e Hipótesis Críticas</x:v>
      </x:c>
      <x:c r="L11" s="408" t="str">
        <x:f>IF(B11="","",IF(H11="","⚠ Selecciona BRECHA_PRINCIPAL",IF(I11="","⚠ Selecciona ESTADO_EVIDENCIA",IFERROR(IF(I11="Válida y vigente","NO RECOMENDAR — evidencia suficiente",IF(I11="Válida pero requiere actualización",IF(INDEX('21_SIMULADOR_AUX'!$L$5:$L$38,MATCH(H11,'21_SIMULADOR_AUX'!$A$5:$A$38,0))="Sí","ACTUALIZAR: "&amp;INDEX('21_SIMULADOR_AUX'!$F$5:$F$38,MATCH(H11,'21_SIMULADOR_AUX'!$A$5:$A$38,0)),"REVISIÓN MANUAL"),INDEX('21_SIMULADOR_AUX'!$F$5:$F$38,MATCH(H11,'21_SIMULADOR_AUX'!$A$5:$A$38,0)))),"⚠ Brecha no reconocida"))))</x:f>
        <x:v>VAL-001 — Mapa de Supuestos e Hipótesis Críticas</x:v>
      </x:c>
      <x:c r="M11" s="408" t="str">
        <x:f>IF(OR(K11="",L11=""),"",IF(K11=L11,"Sí","No"))</x:f>
        <x:v>Sí</x:v>
      </x:c>
      <x:c r="N11" s="408"/>
      <x:c r="O11" s="408"/>
      <x:c r="P11" s="408" t="str">
        <x:f>IF(B11="","",IF(OR(H11="",I11=""),"Completa H e I para generar el resultado.",IF(I11="Válida y vigente","Evidencia suficiente: no repetir la herramienta. Reevaluar la brecha y el objetivo.",L11)))</x:f>
        <x:v>VAL-001 — Mapa de Supuestos e Hipótesis Críticas</x:v>
      </x:c>
      <x:c r="Q11" s="408" t="str">
        <x:f>IF(B11="","",IF(OR(H11="",I11=""),"Pendiente de completar",IF(K11="","Ruta generada; falta ruta esperada",IF(M11="Sí","APROBADA","REVISAR"))))</x:f>
        <x:v>APROBADA</x:v>
      </x:c>
      <x:c r="R11" s="44"/>
    </x:row>
    <x:row r="12">
      <x:c r="A12" s="44" t="n">
        <x:f>IF(B12="","",ROW()-4)</x:f>
        <x:v>8</x:v>
      </x:c>
      <x:c r="B12" s="408" t="str">
        <x:v>Sensor agrícola</x:v>
      </x:c>
      <x:c r="C12" s="408" t="str">
        <x:v>Tecnología / Producto</x:v>
      </x:c>
      <x:c r="D12" s="408" t="str">
        <x:v>Agronegocio</x:v>
      </x:c>
      <x:c r="E12" s="408" t="str">
        <x:v>El equipo cree que agricultores pagarían por alertas tempranas, pero no definió cómo probarlo.</x:v>
      </x:c>
      <x:c r="F12" s="408" t="n">
        <x:v>4</x:v>
      </x:c>
      <x:c r="G12" s="408" t="n">
        <x:v>2</x:v>
      </x:c>
      <x:c r="H12" s="408" t="str">
        <x:v>B-VAL-002 — Hipótesis crítica sin experimento definido</x:v>
      </x:c>
      <x:c r="I12" s="408" t="str">
        <x:v>No existe</x:v>
      </x:c>
      <x:c r="J12" s="408" t="str">
        <x:v>Diseñar una prueba medible</x:v>
      </x:c>
      <x:c r="K12" s="408" t="str">
        <x:v>VAL-002 — Tarjeta de Experimento (Test Card)</x:v>
      </x:c>
      <x:c r="L12" s="408" t="str">
        <x:f>IF(B12="","",IF(H12="","⚠ Selecciona BRECHA_PRINCIPAL",IF(I12="","⚠ Selecciona ESTADO_EVIDENCIA",IFERROR(IF(I12="Válida y vigente","NO RECOMENDAR — evidencia suficiente",IF(I12="Válida pero requiere actualización",IF(INDEX('21_SIMULADOR_AUX'!$L$5:$L$38,MATCH(H12,'21_SIMULADOR_AUX'!$A$5:$A$38,0))="Sí","ACTUALIZAR: "&amp;INDEX('21_SIMULADOR_AUX'!$F$5:$F$38,MATCH(H12,'21_SIMULADOR_AUX'!$A$5:$A$38,0)),"REVISIÓN MANUAL"),INDEX('21_SIMULADOR_AUX'!$F$5:$F$38,MATCH(H12,'21_SIMULADOR_AUX'!$A$5:$A$38,0)))),"⚠ Brecha no reconocida"))))</x:f>
        <x:v>VAL-002 — Tarjeta de Experimento (Test Card)</x:v>
      </x:c>
      <x:c r="M12" s="408" t="str">
        <x:f>IF(OR(K12="",L12=""),"",IF(K12=L12,"Sí","No"))</x:f>
        <x:v>Sí</x:v>
      </x:c>
      <x:c r="N12" s="408"/>
      <x:c r="O12" s="408"/>
      <x:c r="P12" s="408" t="str">
        <x:f>IF(B12="","",IF(OR(H12="",I12=""),"Completa H e I para generar el resultado.",IF(I12="Válida y vigente","Evidencia suficiente: no repetir la herramienta. Reevaluar la brecha y el objetivo.",L12)))</x:f>
        <x:v>VAL-002 — Tarjeta de Experimento (Test Card)</x:v>
      </x:c>
      <x:c r="Q12" s="408" t="str">
        <x:f>IF(B12="","",IF(OR(H12="",I12=""),"Pendiente de completar",IF(K12="","Ruta generada; falta ruta esperada",IF(M12="Sí","APROBADA","REVISAR"))))</x:f>
        <x:v>APROBADA</x:v>
      </x:c>
      <x:c r="R12" s="44"/>
    </x:row>
    <x:row r="13">
      <x:c r="A13" s="44" t="n">
        <x:f>IF(B13="","",ROW()-4)</x:f>
        <x:v>9</x:v>
      </x:c>
      <x:c r="B13" s="408" t="str">
        <x:v>Plataforma universitaria</x:v>
      </x:c>
      <x:c r="C13" s="408" t="str">
        <x:v>Software</x:v>
      </x:c>
      <x:c r="D13" s="408" t="str">
        <x:v>Educación</x:v>
      </x:c>
      <x:c r="E13" s="408" t="str">
        <x:v>Se ejecutó una prueba piloto, pero los resultados están en notas y no existe una decisión documentada.</x:v>
      </x:c>
      <x:c r="F13" s="408" t="n">
        <x:v>5</x:v>
      </x:c>
      <x:c r="G13" s="408" t="n">
        <x:v>3</x:v>
      </x:c>
      <x:c r="H13" s="408" t="str">
        <x:v>B-VAL-003 — Experimentos sin aprendizaje ni decisión trazable</x:v>
      </x:c>
      <x:c r="I13" s="408" t="str">
        <x:v>Existe parcialmente</x:v>
      </x:c>
      <x:c r="J13" s="408" t="str">
        <x:v>Convertir la prueba en aprendizaje</x:v>
      </x:c>
      <x:c r="K13" s="408" t="str">
        <x:v>VAL-003 — Tarjeta de Aprendizaje (Learning Card)</x:v>
      </x:c>
      <x:c r="L13" s="408" t="str">
        <x:f>IF(B13="","",IF(H13="","⚠ Selecciona BRECHA_PRINCIPAL",IF(I13="","⚠ Selecciona ESTADO_EVIDENCIA",IFERROR(IF(I13="Válida y vigente","NO RECOMENDAR — evidencia suficiente",IF(I13="Válida pero requiere actualización",IF(INDEX('21_SIMULADOR_AUX'!$L$5:$L$38,MATCH(H13,'21_SIMULADOR_AUX'!$A$5:$A$38,0))="Sí","ACTUALIZAR: "&amp;INDEX('21_SIMULADOR_AUX'!$F$5:$F$38,MATCH(H13,'21_SIMULADOR_AUX'!$A$5:$A$38,0)),"REVISIÓN MANUAL"),INDEX('21_SIMULADOR_AUX'!$F$5:$F$38,MATCH(H13,'21_SIMULADOR_AUX'!$A$5:$A$38,0)))),"⚠ Brecha no reconocida"))))</x:f>
        <x:v>VAL-003 — Tarjeta de Aprendizaje (Learning Card)</x:v>
      </x:c>
      <x:c r="M13" s="408" t="str">
        <x:f>IF(OR(K13="",L13=""),"",IF(K13=L13,"Sí","No"))</x:f>
        <x:v>Sí</x:v>
      </x:c>
      <x:c r="N13" s="408"/>
      <x:c r="O13" s="408"/>
      <x:c r="P13" s="408" t="str">
        <x:f>IF(B13="","",IF(OR(H13="",I13=""),"Completa H e I para generar el resultado.",IF(I13="Válida y vigente","Evidencia suficiente: no repetir la herramienta. Reevaluar la brecha y el objetivo.",L13)))</x:f>
        <x:v>VAL-003 — Tarjeta de Aprendizaje (Learning Card)</x:v>
      </x:c>
      <x:c r="Q13" s="408" t="str">
        <x:f>IF(B13="","",IF(OR(H13="",I13=""),"Pendiente de completar",IF(K13="","Ruta generada; falta ruta esperada",IF(M13="Sí","APROBADA","REVISAR"))))</x:f>
        <x:v>APROBADA</x:v>
      </x:c>
      <x:c r="R13" s="44"/>
    </x:row>
    <x:row r="14">
      <x:c r="A14" s="44" t="n">
        <x:f>IF(B14="","",ROW()-4)</x:f>
        <x:v>10</x:v>
      </x:c>
      <x:c r="B14" s="408" t="str">
        <x:v>Biomaterial</x:v>
      </x:c>
      <x:c r="C14" s="408" t="str">
        <x:v>Tecnología / Producto</x:v>
      </x:c>
      <x:c r="D14" s="408" t="str">
        <x:v>Materiales</x:v>
      </x:c>
      <x:c r="E14" s="408" t="str">
        <x:v>TRL actual estimado 4; se necesita llegar a 6 pero no existe roadmap de pruebas ni hitos.</x:v>
      </x:c>
      <x:c r="F14" s="408" t="n">
        <x:v>4</x:v>
      </x:c>
      <x:c r="G14" s="408" t="n">
        <x:v>1</x:v>
      </x:c>
      <x:c r="H14" s="408" t="str">
        <x:v>B-MAD-001 — Brecha TRL sin plan de maduración</x:v>
      </x:c>
      <x:c r="I14" s="408" t="str">
        <x:v>No existe</x:v>
      </x:c>
      <x:c r="J14" s="408" t="str">
        <x:v>Planificar avance de madurez</x:v>
      </x:c>
      <x:c r="K14" s="408" t="str">
        <x:v>MAD-001 — Plan de Maduración Tecnológica</x:v>
      </x:c>
      <x:c r="L14" s="408" t="str">
        <x:f>IF(B14="","",IF(H14="","⚠ Selecciona BRECHA_PRINCIPAL",IF(I14="","⚠ Selecciona ESTADO_EVIDENCIA",IFERROR(IF(I14="Válida y vigente","NO RECOMENDAR — evidencia suficiente",IF(I14="Válida pero requiere actualización",IF(INDEX('21_SIMULADOR_AUX'!$L$5:$L$38,MATCH(H14,'21_SIMULADOR_AUX'!$A$5:$A$38,0))="Sí","ACTUALIZAR: "&amp;INDEX('21_SIMULADOR_AUX'!$F$5:$F$38,MATCH(H14,'21_SIMULADOR_AUX'!$A$5:$A$38,0)),"REVISIÓN MANUAL"),INDEX('21_SIMULADOR_AUX'!$F$5:$F$38,MATCH(H14,'21_SIMULADOR_AUX'!$A$5:$A$38,0)))),"⚠ Brecha no reconocida"))))</x:f>
        <x:v>MAD-001 — Plan de Maduración Tecnológica</x:v>
      </x:c>
      <x:c r="M14" s="408" t="str">
        <x:f>IF(OR(K14="",L14=""),"",IF(K14=L14,"Sí","No"))</x:f>
        <x:v>Sí</x:v>
      </x:c>
      <x:c r="N14" s="408"/>
      <x:c r="O14" s="408"/>
      <x:c r="P14" s="408" t="str">
        <x:f>IF(B14="","",IF(OR(H14="",I14=""),"Completa H e I para generar el resultado.",IF(I14="Válida y vigente","Evidencia suficiente: no repetir la herramienta. Reevaluar la brecha y el objetivo.",L14)))</x:f>
        <x:v>MAD-001 — Plan de Maduración Tecnológica</x:v>
      </x:c>
      <x:c r="Q14" s="408" t="str">
        <x:f>IF(B14="","",IF(OR(H14="",I14=""),"Pendiente de completar",IF(K14="","Ruta generada; falta ruta esperada",IF(M14="Sí","APROBADA","REVISAR"))))</x:f>
        <x:v>APROBADA</x:v>
      </x:c>
      <x:c r="R14" s="44"/>
    </x:row>
    <x:row r="15">
      <x:c r="A15" s="44" t="n">
        <x:f>IF(B15="","",ROW()-4)</x:f>
        <x:v>11</x:v>
      </x:c>
      <x:c r="B15" s="408" t="str">
        <x:v>Dispositivo de laboratorio</x:v>
      </x:c>
      <x:c r="C15" s="408" t="str">
        <x:v>Tecnología / Producto</x:v>
      </x:c>
      <x:c r="D15" s="408" t="str">
        <x:v>Salud</x:v>
      </x:c>
      <x:c r="E15" s="408" t="str">
        <x:v>Existe prototipo y mercado objetivo, pero no se ha revisado PI de terceros.</x:v>
      </x:c>
      <x:c r="F15" s="408" t="n">
        <x:v>5</x:v>
      </x:c>
      <x:c r="G15" s="408" t="n">
        <x:v>3</x:v>
      </x:c>
      <x:c r="H15" s="408" t="str">
        <x:v>B-PI-001 — Libertad de operación no evaluada</x:v>
      </x:c>
      <x:c r="I15" s="408" t="str">
        <x:v>No existe</x:v>
      </x:c>
      <x:c r="J15" s="408" t="str">
        <x:v>Detectar riesgos de PI de terceros</x:v>
      </x:c>
      <x:c r="K15" s="408" t="str">
        <x:v>TRA-001 — Libertad de Operación (Freedom to Operate)</x:v>
      </x:c>
      <x:c r="L15" s="408" t="str">
        <x:f>IF(B15="","",IF(H15="","⚠ Selecciona BRECHA_PRINCIPAL",IF(I15="","⚠ Selecciona ESTADO_EVIDENCIA",IFERROR(IF(I15="Válida y vigente","NO RECOMENDAR — evidencia suficiente",IF(I15="Válida pero requiere actualización",IF(INDEX('21_SIMULADOR_AUX'!$L$5:$L$38,MATCH(H15,'21_SIMULADOR_AUX'!$A$5:$A$38,0))="Sí","ACTUALIZAR: "&amp;INDEX('21_SIMULADOR_AUX'!$F$5:$F$38,MATCH(H15,'21_SIMULADOR_AUX'!$A$5:$A$38,0)),"REVISIÓN MANUAL"),INDEX('21_SIMULADOR_AUX'!$F$5:$F$38,MATCH(H15,'21_SIMULADOR_AUX'!$A$5:$A$38,0)))),"⚠ Brecha no reconocida"))))</x:f>
        <x:v>TRA-001 — Libertad de Operación (Freedom to Operate)</x:v>
      </x:c>
      <x:c r="M15" s="408" t="str">
        <x:f>IF(OR(K15="",L15=""),"",IF(K15=L15,"Sí","No"))</x:f>
        <x:v>Sí</x:v>
      </x:c>
      <x:c r="N15" s="408"/>
      <x:c r="O15" s="408"/>
      <x:c r="P15" s="408" t="str">
        <x:f>IF(B15="","",IF(OR(H15="",I15=""),"Completa H e I para generar el resultado.",IF(I15="Válida y vigente","Evidencia suficiente: no repetir la herramienta. Reevaluar la brecha y el objetivo.",L15)))</x:f>
        <x:v>TRA-001 — Libertad de Operación (Freedom to Operate)</x:v>
      </x:c>
      <x:c r="Q15" s="408" t="str">
        <x:f>IF(B15="","",IF(OR(H15="",I15=""),"Pendiente de completar",IF(K15="","Ruta generada; falta ruta esperada",IF(M15="Sí","APROBADA","REVISAR"))))</x:f>
        <x:v>APROBADA</x:v>
      </x:c>
      <x:c r="R15" s="44"/>
    </x:row>
    <x:row r="16">
      <x:c r="A16" s="44" t="n">
        <x:f>IF(B16="","",ROW()-4)</x:f>
        <x:v>12</x:v>
      </x:c>
      <x:c r="B16" s="408" t="str">
        <x:v>Tecnología de tratamiento</x:v>
      </x:c>
      <x:c r="C16" s="408" t="str">
        <x:v>Tecnología / Producto</x:v>
      </x:c>
      <x:c r="D16" s="408" t="str">
        <x:v>Ambiente</x:v>
      </x:c>
      <x:c r="E16" s="408" t="str">
        <x:v>La solución funciona, pero no está claro quién fabricará, certificará, distribuirá o dará soporte.</x:v>
      </x:c>
      <x:c r="F16" s="408" t="n">
        <x:v>6</x:v>
      </x:c>
      <x:c r="G16" s="408" t="n">
        <x:v>3</x:v>
      </x:c>
      <x:c r="H16" s="408" t="str">
        <x:v>B-ECO-001 — Cadena de valor y actores críticos no mapeados</x:v>
      </x:c>
      <x:c r="I16" s="408" t="str">
        <x:v>No existe</x:v>
      </x:c>
      <x:c r="J16" s="408" t="str">
        <x:v>Mapear capacidades y socios</x:v>
      </x:c>
      <x:c r="K16" s="408" t="str">
        <x:v>TRA-002 — Mapa de Cadena de Valor y Actores</x:v>
      </x:c>
      <x:c r="L16" s="408" t="str">
        <x:f>IF(B16="","",IF(H16="","⚠ Selecciona BRECHA_PRINCIPAL",IF(I16="","⚠ Selecciona ESTADO_EVIDENCIA",IFERROR(IF(I16="Válida y vigente","NO RECOMENDAR — evidencia suficiente",IF(I16="Válida pero requiere actualización",IF(INDEX('21_SIMULADOR_AUX'!$L$5:$L$38,MATCH(H16,'21_SIMULADOR_AUX'!$A$5:$A$38,0))="Sí","ACTUALIZAR: "&amp;INDEX('21_SIMULADOR_AUX'!$F$5:$F$38,MATCH(H16,'21_SIMULADOR_AUX'!$A$5:$A$38,0)),"REVISIÓN MANUAL"),INDEX('21_SIMULADOR_AUX'!$F$5:$F$38,MATCH(H16,'21_SIMULADOR_AUX'!$A$5:$A$38,0)))),"⚠ Brecha no reconocida"))))</x:f>
        <x:v>TRA-002 — Mapa de Cadena de Valor y Actores</x:v>
      </x:c>
      <x:c r="M16" s="408" t="str">
        <x:f>IF(OR(K16="",L16=""),"",IF(K16=L16,"Sí","No"))</x:f>
        <x:v>Sí</x:v>
      </x:c>
      <x:c r="N16" s="408"/>
      <x:c r="O16" s="408"/>
      <x:c r="P16" s="408" t="str">
        <x:f>IF(B16="","",IF(OR(H16="",I16=""),"Completa H e I para generar el resultado.",IF(I16="Válida y vigente","Evidencia suficiente: no repetir la herramienta. Reevaluar la brecha y el objetivo.",L16)))</x:f>
        <x:v>TRA-002 — Mapa de Cadena de Valor y Actores</x:v>
      </x:c>
      <x:c r="Q16" s="408" t="str">
        <x:f>IF(B16="","",IF(OR(H16="",I16=""),"Pendiente de completar",IF(K16="","Ruta generada; falta ruta esperada",IF(M16="Sí","APROBADA","REVISAR"))))</x:f>
        <x:v>APROBADA</x:v>
      </x:c>
      <x:c r="R16" s="44"/>
    </x:row>
    <x:row r="17">
      <x:c r="A17" s="44" t="n">
        <x:f>IF(B17="","",ROW()-4)</x:f>
        <x:v>13</x:v>
      </x:c>
      <x:c r="B17" s="408" t="str">
        <x:v>Resultado de investigación patentable</x:v>
      </x:c>
      <x:c r="C17" s="408" t="str">
        <x:v>Tecnología / Producto</x:v>
      </x:c>
      <x:c r="D17" s="408" t="str">
        <x:v>Universidad</x:v>
      </x:c>
      <x:c r="E17" s="408" t="str">
        <x:v>Hay resultados experimentales e inventores identificados, pero la OTRI aún no ha recibido un expediente formal.</x:v>
      </x:c>
      <x:c r="F17" s="408" t="n">
        <x:v>4</x:v>
      </x:c>
      <x:c r="G17" s="408" t="n">
        <x:v>1</x:v>
      </x:c>
      <x:c r="H17" s="408" t="str">
        <x:v>B-PI-002 — Invención no divulgada institucionalmente</x:v>
      </x:c>
      <x:c r="I17" s="408" t="str">
        <x:v>No existe</x:v>
      </x:c>
      <x:c r="J17" s="408" t="str">
        <x:v>Iniciar evaluación de transferencia</x:v>
      </x:c>
      <x:c r="K17" s="408" t="str">
        <x:v>TRA-003 — Ficha de Divulgación de Invención</x:v>
      </x:c>
      <x:c r="L17" s="408" t="str">
        <x:f>IF(B17="","",IF(H17="","⚠ Selecciona BRECHA_PRINCIPAL",IF(I17="","⚠ Selecciona ESTADO_EVIDENCIA",IFERROR(IF(I17="Válida y vigente","NO RECOMENDAR — evidencia suficiente",IF(I17="Válida pero requiere actualización",IF(INDEX('21_SIMULADOR_AUX'!$L$5:$L$38,MATCH(H17,'21_SIMULADOR_AUX'!$A$5:$A$38,0))="Sí","ACTUALIZAR: "&amp;INDEX('21_SIMULADOR_AUX'!$F$5:$F$38,MATCH(H17,'21_SIMULADOR_AUX'!$A$5:$A$38,0)),"REVISIÓN MANUAL"),INDEX('21_SIMULADOR_AUX'!$F$5:$F$38,MATCH(H17,'21_SIMULADOR_AUX'!$A$5:$A$38,0)))),"⚠ Brecha no reconocida"))))</x:f>
        <x:v>TRA-003 — Ficha de Divulgación de Invención</x:v>
      </x:c>
      <x:c r="M17" s="408" t="str">
        <x:f>IF(OR(K17="",L17=""),"",IF(K17=L17,"Sí","No"))</x:f>
        <x:v>Sí</x:v>
      </x:c>
      <x:c r="N17" s="408"/>
      <x:c r="O17" s="408"/>
      <x:c r="P17" s="408" t="str">
        <x:f>IF(B17="","",IF(OR(H17="",I17=""),"Completa H e I para generar el resultado.",IF(I17="Válida y vigente","Evidencia suficiente: no repetir la herramienta. Reevaluar la brecha y el objetivo.",L17)))</x:f>
        <x:v>TRA-003 — Ficha de Divulgación de Invención</x:v>
      </x:c>
      <x:c r="Q17" s="408" t="str">
        <x:f>IF(B17="","",IF(OR(H17="",I17=""),"Pendiente de completar",IF(K17="","Ruta generada; falta ruta esperada",IF(M17="Sí","APROBADA","REVISAR"))))</x:f>
        <x:v>APROBADA</x:v>
      </x:c>
      <x:c r="R17" s="44"/>
    </x:row>
    <x:row r="18">
      <x:c r="A18" s="44" t="n">
        <x:f>IF(B18="","",ROW()-4)</x:f>
        <x:v>14</x:v>
      </x:c>
      <x:c r="B18" s="408" t="str">
        <x:v>Solución energética</x:v>
      </x:c>
      <x:c r="C18" s="408" t="str">
        <x:v>Tecnología / Producto</x:v>
      </x:c>
      <x:c r="D18" s="408" t="str">
        <x:v>Energía</x:v>
      </x:c>
      <x:c r="E18" s="408" t="str">
        <x:v>TRL 7 con demostración exitosa, pero existen dudas sobre demanda, cadena de suministro, permisos y aceptación.</x:v>
      </x:c>
      <x:c r="F18" s="408" t="n">
        <x:v>7</x:v>
      </x:c>
      <x:c r="G18" s="408" t="n">
        <x:v>4</x:v>
      </x:c>
      <x:c r="H18" s="408" t="str">
        <x:v>B-ADO-001 — Riesgos no técnicos de adopción no evaluados</x:v>
      </x:c>
      <x:c r="I18" s="408" t="str">
        <x:v>No existe</x:v>
      </x:c>
      <x:c r="J18" s="408" t="str">
        <x:v>Priorizar barreras de adopción</x:v>
      </x:c>
      <x:c r="K18" s="408" t="str">
        <x:v>ADO-001 — Mapa de Riesgos de Adopción / Comercialización</x:v>
      </x:c>
      <x:c r="L18" s="408" t="str">
        <x:f>IF(B18="","",IF(H18="","⚠ Selecciona BRECHA_PRINCIPAL",IF(I18="","⚠ Selecciona ESTADO_EVIDENCIA",IFERROR(IF(I18="Válida y vigente","NO RECOMENDAR — evidencia suficiente",IF(I18="Válida pero requiere actualización",IF(INDEX('21_SIMULADOR_AUX'!$L$5:$L$38,MATCH(H18,'21_SIMULADOR_AUX'!$A$5:$A$38,0))="Sí","ACTUALIZAR: "&amp;INDEX('21_SIMULADOR_AUX'!$F$5:$F$38,MATCH(H18,'21_SIMULADOR_AUX'!$A$5:$A$38,0)),"REVISIÓN MANUAL"),INDEX('21_SIMULADOR_AUX'!$F$5:$F$38,MATCH(H18,'21_SIMULADOR_AUX'!$A$5:$A$38,0)))),"⚠ Brecha no reconocida"))))</x:f>
        <x:v>ADO-001 — Mapa de Riesgos de Adopción / Comercialización</x:v>
      </x:c>
      <x:c r="M18" s="408" t="str">
        <x:f>IF(OR(K18="",L18=""),"",IF(K18=L18,"Sí","No"))</x:f>
        <x:v>Sí</x:v>
      </x:c>
      <x:c r="N18" s="408"/>
      <x:c r="O18" s="408"/>
      <x:c r="P18" s="408" t="str">
        <x:f>IF(B18="","",IF(OR(H18="",I18=""),"Completa H e I para generar el resultado.",IF(I18="Válida y vigente","Evidencia suficiente: no repetir la herramienta. Reevaluar la brecha y el objetivo.",L18)))</x:f>
        <x:v>ADO-001 — Mapa de Riesgos de Adopción / Comercialización</x:v>
      </x:c>
      <x:c r="Q18" s="408" t="str">
        <x:f>IF(B18="","",IF(OR(H18="",I18=""),"Pendiente de completar",IF(K18="","Ruta generada; falta ruta esperada",IF(M18="Sí","APROBADA","REVISAR"))))</x:f>
        <x:v>APROBADA</x:v>
      </x:c>
      <x:c r="R18" s="44"/>
    </x:row>
    <x:row r="19">
      <x:c r="A19" s="44" t="str">
        <x:f>IF(B19="","",ROW()-4)</x:f>
      </x:c>
      <x:c r="B19" s="44"/>
      <x:c r="C19" s="44"/>
      <x:c r="D19" s="44"/>
      <x:c r="E19" s="44"/>
      <x:c r="F19" s="44"/>
      <x:c r="G19" s="44"/>
      <x:c r="H19" s="343"/>
      <x:c r="I19" s="343"/>
      <x:c r="J19" s="44"/>
      <x:c r="K19" s="344"/>
      <x:c r="L19" s="345" t="str">
        <x:f>IF(B19="","",IF(H19="","⚠ Selecciona BRECHA_PRINCIPAL",IF(I19="","⚠ Selecciona ESTADO_EVIDENCIA",IFERROR(IF(I19="Válida y vigente","NO RECOMENDAR — evidencia suficiente",IF(I19="Válida pero requiere actualización",IF(INDEX('21_SIMULADOR_AUX'!$L$5:$L$30,MATCH(H19,'21_SIMULADOR_AUX'!$A$5:$A$30,0))="Sí","ACTUALIZAR: "&amp;INDEX('21_SIMULADOR_AUX'!$F$5:$F$30,MATCH(H19,'21_SIMULADOR_AUX'!$A$5:$A$30,0)),"REVISIÓN MANUAL"),INDEX('21_SIMULADOR_AUX'!$F$5:$F$30,MATCH(H19,'21_SIMULADOR_AUX'!$A$5:$A$30,0)))),"⚠ Brecha no reconocida"))))</x:f>
      </x:c>
      <x:c r="M19" s="345" t="str">
        <x:f>IF(OR(K19="",L19=""),"",IF(K19=L19,"Sí","No"))</x:f>
      </x:c>
      <x:c r="N19" s="44"/>
      <x:c r="O19" s="44"/>
      <x:c r="P19" s="346" t="str">
        <x:f>IF(B19="","",IF(OR(H19="",I19=""),"Completa H e I para generar el resultado.",IF(I19="Válida y vigente","Evidencia suficiente: no repetir la herramienta. Reevaluar la brecha y el objetivo.",L19)))</x:f>
      </x:c>
      <x:c r="Q19" s="346" t="str">
        <x:f>IF(B19="","",IF(OR(H19="",I19=""),"Pendiente de completar",IF(K19="","Ruta generada; falta ruta esperada",IF(M19="Sí","APROBADA","REVISAR"))))</x:f>
      </x:c>
      <x:c r="R19" s="44"/>
    </x:row>
    <x:row r="20">
      <x:c r="A20" s="44" t="str">
        <x:f>IF(B20="","",ROW()-4)</x:f>
      </x:c>
      <x:c r="B20" s="44"/>
      <x:c r="C20" s="44"/>
      <x:c r="D20" s="44"/>
      <x:c r="E20" s="44"/>
      <x:c r="F20" s="44"/>
      <x:c r="G20" s="44"/>
      <x:c r="H20" s="343"/>
      <x:c r="I20" s="343"/>
      <x:c r="J20" s="44"/>
      <x:c r="K20" s="344"/>
      <x:c r="L20" s="345" t="str">
        <x:f>IF(B20="","",IF(H20="","⚠ Selecciona BRECHA_PRINCIPAL",IF(I20="","⚠ Selecciona ESTADO_EVIDENCIA",IFERROR(IF(I20="Válida y vigente","NO RECOMENDAR — evidencia suficiente",IF(I20="Válida pero requiere actualización",IF(INDEX('21_SIMULADOR_AUX'!$L$5:$L$30,MATCH(H20,'21_SIMULADOR_AUX'!$A$5:$A$30,0))="Sí","ACTUALIZAR: "&amp;INDEX('21_SIMULADOR_AUX'!$F$5:$F$30,MATCH(H20,'21_SIMULADOR_AUX'!$A$5:$A$30,0)),"REVISIÓN MANUAL"),INDEX('21_SIMULADOR_AUX'!$F$5:$F$30,MATCH(H20,'21_SIMULADOR_AUX'!$A$5:$A$30,0)))),"⚠ Brecha no reconocida"))))</x:f>
      </x:c>
      <x:c r="M20" s="345" t="str">
        <x:f>IF(OR(K20="",L20=""),"",IF(K20=L20,"Sí","No"))</x:f>
      </x:c>
      <x:c r="N20" s="44"/>
      <x:c r="O20" s="44"/>
      <x:c r="P20" s="346" t="str">
        <x:f>IF(B20="","",IF(OR(H20="",I20=""),"Completa H e I para generar el resultado.",IF(I20="Válida y vigente","Evidencia suficiente: no repetir la herramienta. Reevaluar la brecha y el objetivo.",L20)))</x:f>
      </x:c>
      <x:c r="Q20" s="346" t="str">
        <x:f>IF(B20="","",IF(OR(H20="",I20=""),"Pendiente de completar",IF(K20="","Ruta generada; falta ruta esperada",IF(M20="Sí","APROBADA","REVISAR"))))</x:f>
      </x:c>
      <x:c r="R20" s="44"/>
    </x:row>
    <x:row r="21">
      <x:c r="A21" s="44" t="str">
        <x:f>IF(B21="","",ROW()-4)</x:f>
      </x:c>
      <x:c r="B21" s="44"/>
      <x:c r="C21" s="44"/>
      <x:c r="D21" s="44"/>
      <x:c r="E21" s="44"/>
      <x:c r="F21" s="44"/>
      <x:c r="G21" s="44"/>
      <x:c r="H21" s="343"/>
      <x:c r="I21" s="343"/>
      <x:c r="J21" s="44"/>
      <x:c r="K21" s="344"/>
      <x:c r="L21" s="345" t="str">
        <x:f>IF(B21="","",IF(H21="","⚠ Selecciona BRECHA_PRINCIPAL",IF(I21="","⚠ Selecciona ESTADO_EVIDENCIA",IFERROR(IF(I21="Válida y vigente","NO RECOMENDAR — evidencia suficiente",IF(I21="Válida pero requiere actualización",IF(INDEX('21_SIMULADOR_AUX'!$L$5:$L$30,MATCH(H21,'21_SIMULADOR_AUX'!$A$5:$A$30,0))="Sí","ACTUALIZAR: "&amp;INDEX('21_SIMULADOR_AUX'!$F$5:$F$30,MATCH(H21,'21_SIMULADOR_AUX'!$A$5:$A$30,0)),"REVISIÓN MANUAL"),INDEX('21_SIMULADOR_AUX'!$F$5:$F$30,MATCH(H21,'21_SIMULADOR_AUX'!$A$5:$A$30,0)))),"⚠ Brecha no reconocida"))))</x:f>
      </x:c>
      <x:c r="M21" s="345" t="str">
        <x:f>IF(OR(K21="",L21=""),"",IF(K21=L21,"Sí","No"))</x:f>
      </x:c>
      <x:c r="N21" s="44"/>
      <x:c r="O21" s="44"/>
      <x:c r="P21" s="346" t="str">
        <x:f>IF(B21="","",IF(OR(H21="",I21=""),"Completa H e I para generar el resultado.",IF(I21="Válida y vigente","Evidencia suficiente: no repetir la herramienta. Reevaluar la brecha y el objetivo.",L21)))</x:f>
      </x:c>
      <x:c r="Q21" s="346" t="str">
        <x:f>IF(B21="","",IF(OR(H21="",I21=""),"Pendiente de completar",IF(K21="","Ruta generada; falta ruta esperada",IF(M21="Sí","APROBADA","REVISAR"))))</x:f>
      </x:c>
      <x:c r="R21" s="44"/>
    </x:row>
    <x:row r="22">
      <x:c r="A22" s="44" t="str">
        <x:f>IF(B22="","",ROW()-4)</x:f>
      </x:c>
      <x:c r="B22" s="44"/>
      <x:c r="C22" s="44"/>
      <x:c r="D22" s="44"/>
      <x:c r="E22" s="44"/>
      <x:c r="F22" s="44"/>
      <x:c r="G22" s="44"/>
      <x:c r="H22" s="343"/>
      <x:c r="I22" s="343"/>
      <x:c r="J22" s="44"/>
      <x:c r="K22" s="344"/>
      <x:c r="L22" s="345" t="str">
        <x:f>IF(B22="","",IF(H22="","⚠ Selecciona BRECHA_PRINCIPAL",IF(I22="","⚠ Selecciona ESTADO_EVIDENCIA",IFERROR(IF(I22="Válida y vigente","NO RECOMENDAR — evidencia suficiente",IF(I22="Válida pero requiere actualización",IF(INDEX('21_SIMULADOR_AUX'!$L$5:$L$30,MATCH(H22,'21_SIMULADOR_AUX'!$A$5:$A$30,0))="Sí","ACTUALIZAR: "&amp;INDEX('21_SIMULADOR_AUX'!$F$5:$F$30,MATCH(H22,'21_SIMULADOR_AUX'!$A$5:$A$30,0)),"REVISIÓN MANUAL"),INDEX('21_SIMULADOR_AUX'!$F$5:$F$30,MATCH(H22,'21_SIMULADOR_AUX'!$A$5:$A$30,0)))),"⚠ Brecha no reconocida"))))</x:f>
      </x:c>
      <x:c r="M22" s="345" t="str">
        <x:f>IF(OR(K22="",L22=""),"",IF(K22=L22,"Sí","No"))</x:f>
      </x:c>
      <x:c r="N22" s="44"/>
      <x:c r="O22" s="44"/>
      <x:c r="P22" s="346" t="str">
        <x:f>IF(B22="","",IF(OR(H22="",I22=""),"Completa H e I para generar el resultado.",IF(I22="Válida y vigente","Evidencia suficiente: no repetir la herramienta. Reevaluar la brecha y el objetivo.",L22)))</x:f>
      </x:c>
      <x:c r="Q22" s="346" t="str">
        <x:f>IF(B22="","",IF(OR(H22="",I22=""),"Pendiente de completar",IF(K22="","Ruta generada; falta ruta esperada",IF(M22="Sí","APROBADA","REVISAR"))))</x:f>
      </x:c>
      <x:c r="R22" s="44"/>
    </x:row>
    <x:row r="23">
      <x:c r="A23" s="44" t="str">
        <x:f>IF(B23="","",ROW()-4)</x:f>
      </x:c>
      <x:c r="B23" s="44"/>
      <x:c r="C23" s="44"/>
      <x:c r="D23" s="44"/>
      <x:c r="E23" s="44"/>
      <x:c r="F23" s="44"/>
      <x:c r="G23" s="44"/>
      <x:c r="H23" s="343"/>
      <x:c r="I23" s="343"/>
      <x:c r="J23" s="44"/>
      <x:c r="K23" s="344"/>
      <x:c r="L23" s="345" t="str">
        <x:f>IF(B23="","",IF(H23="","⚠ Selecciona BRECHA_PRINCIPAL",IF(I23="","⚠ Selecciona ESTADO_EVIDENCIA",IFERROR(IF(I23="Válida y vigente","NO RECOMENDAR — evidencia suficiente",IF(I23="Válida pero requiere actualización",IF(INDEX('21_SIMULADOR_AUX'!$L$5:$L$30,MATCH(H23,'21_SIMULADOR_AUX'!$A$5:$A$30,0))="Sí","ACTUALIZAR: "&amp;INDEX('21_SIMULADOR_AUX'!$F$5:$F$30,MATCH(H23,'21_SIMULADOR_AUX'!$A$5:$A$30,0)),"REVISIÓN MANUAL"),INDEX('21_SIMULADOR_AUX'!$F$5:$F$30,MATCH(H23,'21_SIMULADOR_AUX'!$A$5:$A$30,0)))),"⚠ Brecha no reconocida"))))</x:f>
      </x:c>
      <x:c r="M23" s="345" t="str">
        <x:f>IF(OR(K23="",L23=""),"",IF(K23=L23,"Sí","No"))</x:f>
      </x:c>
      <x:c r="N23" s="44"/>
      <x:c r="O23" s="44"/>
      <x:c r="P23" s="346" t="str">
        <x:f>IF(B23="","",IF(OR(H23="",I23=""),"Completa H e I para generar el resultado.",IF(I23="Válida y vigente","Evidencia suficiente: no repetir la herramienta. Reevaluar la brecha y el objetivo.",L23)))</x:f>
      </x:c>
      <x:c r="Q23" s="346" t="str">
        <x:f>IF(B23="","",IF(OR(H23="",I23=""),"Pendiente de completar",IF(K23="","Ruta generada; falta ruta esperada",IF(M23="Sí","APROBADA","REVISAR"))))</x:f>
      </x:c>
      <x:c r="R23" s="44"/>
    </x:row>
    <x:row r="24">
      <x:c r="A24" s="44" t="str">
        <x:f>IF(B24="","",ROW()-4)</x:f>
      </x:c>
      <x:c r="B24" s="44"/>
      <x:c r="C24" s="44"/>
      <x:c r="D24" s="44"/>
      <x:c r="E24" s="44"/>
      <x:c r="F24" s="44"/>
      <x:c r="G24" s="44"/>
      <x:c r="H24" s="343"/>
      <x:c r="I24" s="343"/>
      <x:c r="J24" s="44"/>
      <x:c r="K24" s="344"/>
      <x:c r="L24" s="345" t="str">
        <x:f>IF(B24="","",IF(H24="","⚠ Selecciona BRECHA_PRINCIPAL",IF(I24="","⚠ Selecciona ESTADO_EVIDENCIA",IFERROR(IF(I24="Válida y vigente","NO RECOMENDAR — evidencia suficiente",IF(I24="Válida pero requiere actualización",IF(INDEX('21_SIMULADOR_AUX'!$L$5:$L$30,MATCH(H24,'21_SIMULADOR_AUX'!$A$5:$A$30,0))="Sí","ACTUALIZAR: "&amp;INDEX('21_SIMULADOR_AUX'!$F$5:$F$30,MATCH(H24,'21_SIMULADOR_AUX'!$A$5:$A$30,0)),"REVISIÓN MANUAL"),INDEX('21_SIMULADOR_AUX'!$F$5:$F$30,MATCH(H24,'21_SIMULADOR_AUX'!$A$5:$A$30,0)))),"⚠ Brecha no reconocida"))))</x:f>
      </x:c>
      <x:c r="M24" s="345" t="str">
        <x:f>IF(OR(K24="",L24=""),"",IF(K24=L24,"Sí","No"))</x:f>
      </x:c>
      <x:c r="N24" s="44"/>
      <x:c r="O24" s="44"/>
      <x:c r="P24" s="346" t="str">
        <x:f>IF(B24="","",IF(OR(H24="",I24=""),"Completa H e I para generar el resultado.",IF(I24="Válida y vigente","Evidencia suficiente: no repetir la herramienta. Reevaluar la brecha y el objetivo.",L24)))</x:f>
      </x:c>
      <x:c r="Q24" s="346" t="str">
        <x:f>IF(B24="","",IF(OR(H24="",I24=""),"Pendiente de completar",IF(K24="","Ruta generada; falta ruta esperada",IF(M24="Sí","APROBADA","REVISAR"))))</x:f>
      </x:c>
      <x:c r="R24" s="44"/>
    </x:row>
    <x:row r="25">
      <x:c r="A25" s="44" t="str">
        <x:f>IF(B25="","",ROW()-4)</x:f>
      </x:c>
      <x:c r="B25" s="44"/>
      <x:c r="C25" s="44"/>
      <x:c r="D25" s="44"/>
      <x:c r="E25" s="44"/>
      <x:c r="F25" s="44"/>
      <x:c r="G25" s="44"/>
      <x:c r="H25" s="343"/>
      <x:c r="I25" s="343"/>
      <x:c r="J25" s="44"/>
      <x:c r="K25" s="344"/>
      <x:c r="L25" s="345" t="str">
        <x:f>IF(B25="","",IF(H25="","⚠ Selecciona BRECHA_PRINCIPAL",IF(I25="","⚠ Selecciona ESTADO_EVIDENCIA",IFERROR(IF(I25="Válida y vigente","NO RECOMENDAR — evidencia suficiente",IF(I25="Válida pero requiere actualización",IF(INDEX('21_SIMULADOR_AUX'!$L$5:$L$30,MATCH(H25,'21_SIMULADOR_AUX'!$A$5:$A$30,0))="Sí","ACTUALIZAR: "&amp;INDEX('21_SIMULADOR_AUX'!$F$5:$F$30,MATCH(H25,'21_SIMULADOR_AUX'!$A$5:$A$30,0)),"REVISIÓN MANUAL"),INDEX('21_SIMULADOR_AUX'!$F$5:$F$30,MATCH(H25,'21_SIMULADOR_AUX'!$A$5:$A$30,0)))),"⚠ Brecha no reconocida"))))</x:f>
      </x:c>
      <x:c r="M25" s="345" t="str">
        <x:f>IF(OR(K25="",L25=""),"",IF(K25=L25,"Sí","No"))</x:f>
      </x:c>
      <x:c r="N25" s="44"/>
      <x:c r="O25" s="44"/>
      <x:c r="P25" s="346" t="str">
        <x:f>IF(B25="","",IF(OR(H25="",I25=""),"Completa H e I para generar el resultado.",IF(I25="Válida y vigente","Evidencia suficiente: no repetir la herramienta. Reevaluar la brecha y el objetivo.",L25)))</x:f>
      </x:c>
      <x:c r="Q25" s="346" t="str">
        <x:f>IF(B25="","",IF(OR(H25="",I25=""),"Pendiente de completar",IF(K25="","Ruta generada; falta ruta esperada",IF(M25="Sí","APROBADA","REVISAR"))))</x:f>
      </x:c>
      <x:c r="R25" s="44"/>
    </x:row>
    <x:row r="26">
      <x:c r="A26" s="44" t="str">
        <x:f>IF(B26="","",ROW()-4)</x:f>
      </x:c>
      <x:c r="B26" s="44"/>
      <x:c r="C26" s="44"/>
      <x:c r="D26" s="44"/>
      <x:c r="E26" s="44"/>
      <x:c r="F26" s="44"/>
      <x:c r="G26" s="44"/>
      <x:c r="H26" s="343"/>
      <x:c r="I26" s="343"/>
      <x:c r="J26" s="44"/>
      <x:c r="K26" s="344"/>
      <x:c r="L26" s="345" t="str">
        <x:f>IF(B26="","",IF(H26="","⚠ Selecciona BRECHA_PRINCIPAL",IF(I26="","⚠ Selecciona ESTADO_EVIDENCIA",IFERROR(IF(I26="Válida y vigente","NO RECOMENDAR — evidencia suficiente",IF(I26="Válida pero requiere actualización",IF(INDEX('21_SIMULADOR_AUX'!$L$5:$L$30,MATCH(H26,'21_SIMULADOR_AUX'!$A$5:$A$30,0))="Sí","ACTUALIZAR: "&amp;INDEX('21_SIMULADOR_AUX'!$F$5:$F$30,MATCH(H26,'21_SIMULADOR_AUX'!$A$5:$A$30,0)),"REVISIÓN MANUAL"),INDEX('21_SIMULADOR_AUX'!$F$5:$F$30,MATCH(H26,'21_SIMULADOR_AUX'!$A$5:$A$30,0)))),"⚠ Brecha no reconocida"))))</x:f>
      </x:c>
      <x:c r="M26" s="345" t="str">
        <x:f>IF(OR(K26="",L26=""),"",IF(K26=L26,"Sí","No"))</x:f>
      </x:c>
      <x:c r="N26" s="44"/>
      <x:c r="O26" s="44"/>
      <x:c r="P26" s="346" t="str">
        <x:f>IF(B26="","",IF(OR(H26="",I26=""),"Completa H e I para generar el resultado.",IF(I26="Válida y vigente","Evidencia suficiente: no repetir la herramienta. Reevaluar la brecha y el objetivo.",L26)))</x:f>
      </x:c>
      <x:c r="Q26" s="346" t="str">
        <x:f>IF(B26="","",IF(OR(H26="",I26=""),"Pendiente de completar",IF(K26="","Ruta generada; falta ruta esperada",IF(M26="Sí","APROBADA","REVISAR"))))</x:f>
      </x:c>
      <x:c r="R26" s="44"/>
    </x:row>
    <x:row r="27">
      <x:c r="A27" s="44" t="str">
        <x:f>IF(B27="","",ROW()-4)</x:f>
      </x:c>
      <x:c r="B27" s="44"/>
      <x:c r="C27" s="44"/>
      <x:c r="D27" s="44"/>
      <x:c r="E27" s="44"/>
      <x:c r="F27" s="44"/>
      <x:c r="G27" s="44"/>
      <x:c r="H27" s="343"/>
      <x:c r="I27" s="343"/>
      <x:c r="J27" s="44"/>
      <x:c r="K27" s="344"/>
      <x:c r="L27" s="345" t="str">
        <x:f>IF(B27="","",IF(H27="","⚠ Selecciona BRECHA_PRINCIPAL",IF(I27="","⚠ Selecciona ESTADO_EVIDENCIA",IFERROR(IF(I27="Válida y vigente","NO RECOMENDAR — evidencia suficiente",IF(I27="Válida pero requiere actualización",IF(INDEX('21_SIMULADOR_AUX'!$L$5:$L$30,MATCH(H27,'21_SIMULADOR_AUX'!$A$5:$A$30,0))="Sí","ACTUALIZAR: "&amp;INDEX('21_SIMULADOR_AUX'!$F$5:$F$30,MATCH(H27,'21_SIMULADOR_AUX'!$A$5:$A$30,0)),"REVISIÓN MANUAL"),INDEX('21_SIMULADOR_AUX'!$F$5:$F$30,MATCH(H27,'21_SIMULADOR_AUX'!$A$5:$A$30,0)))),"⚠ Brecha no reconocida"))))</x:f>
      </x:c>
      <x:c r="M27" s="345" t="str">
        <x:f>IF(OR(K27="",L27=""),"",IF(K27=L27,"Sí","No"))</x:f>
      </x:c>
      <x:c r="N27" s="44"/>
      <x:c r="O27" s="44"/>
      <x:c r="P27" s="346" t="str">
        <x:f>IF(B27="","",IF(OR(H27="",I27=""),"Completa H e I para generar el resultado.",IF(I27="Válida y vigente","Evidencia suficiente: no repetir la herramienta. Reevaluar la brecha y el objetivo.",L27)))</x:f>
      </x:c>
      <x:c r="Q27" s="346" t="str">
        <x:f>IF(B27="","",IF(OR(H27="",I27=""),"Pendiente de completar",IF(K27="","Ruta generada; falta ruta esperada",IF(M27="Sí","APROBADA","REVISAR"))))</x:f>
      </x:c>
      <x:c r="R27" s="44"/>
    </x:row>
    <x:row r="28">
      <x:c r="A28" s="44" t="str">
        <x:f>IF(B28="","",ROW()-4)</x:f>
      </x:c>
      <x:c r="B28" s="44"/>
      <x:c r="C28" s="44"/>
      <x:c r="D28" s="44"/>
      <x:c r="E28" s="44"/>
      <x:c r="F28" s="44"/>
      <x:c r="G28" s="44"/>
      <x:c r="H28" s="343"/>
      <x:c r="I28" s="343"/>
      <x:c r="J28" s="44"/>
      <x:c r="K28" s="344"/>
      <x:c r="L28" s="345" t="str">
        <x:f>IF(B28="","",IF(H28="","⚠ Selecciona BRECHA_PRINCIPAL",IF(I28="","⚠ Selecciona ESTADO_EVIDENCIA",IFERROR(IF(I28="Válida y vigente","NO RECOMENDAR — evidencia suficiente",IF(I28="Válida pero requiere actualización",IF(INDEX('21_SIMULADOR_AUX'!$L$5:$L$30,MATCH(H28,'21_SIMULADOR_AUX'!$A$5:$A$30,0))="Sí","ACTUALIZAR: "&amp;INDEX('21_SIMULADOR_AUX'!$F$5:$F$30,MATCH(H28,'21_SIMULADOR_AUX'!$A$5:$A$30,0)),"REVISIÓN MANUAL"),INDEX('21_SIMULADOR_AUX'!$F$5:$F$30,MATCH(H28,'21_SIMULADOR_AUX'!$A$5:$A$30,0)))),"⚠ Brecha no reconocida"))))</x:f>
      </x:c>
      <x:c r="M28" s="345" t="str">
        <x:f>IF(OR(K28="",L28=""),"",IF(K28=L28,"Sí","No"))</x:f>
      </x:c>
      <x:c r="N28" s="44"/>
      <x:c r="O28" s="44"/>
      <x:c r="P28" s="346" t="str">
        <x:f>IF(B28="","",IF(OR(H28="",I28=""),"Completa H e I para generar el resultado.",IF(I28="Válida y vigente","Evidencia suficiente: no repetir la herramienta. Reevaluar la brecha y el objetivo.",L28)))</x:f>
      </x:c>
      <x:c r="Q28" s="346" t="str">
        <x:f>IF(B28="","",IF(OR(H28="",I28=""),"Pendiente de completar",IF(K28="","Ruta generada; falta ruta esperada",IF(M28="Sí","APROBADA","REVISAR"))))</x:f>
      </x:c>
      <x:c r="R28" s="44"/>
    </x:row>
    <x:row r="29">
      <x:c r="A29" s="44" t="str">
        <x:f>IF(B29="","",ROW()-4)</x:f>
      </x:c>
      <x:c r="B29" s="44"/>
      <x:c r="C29" s="44"/>
      <x:c r="D29" s="44"/>
      <x:c r="E29" s="44"/>
      <x:c r="F29" s="44"/>
      <x:c r="G29" s="44"/>
      <x:c r="H29" s="343"/>
      <x:c r="I29" s="343"/>
      <x:c r="J29" s="44"/>
      <x:c r="K29" s="344"/>
      <x:c r="L29" s="345" t="str">
        <x:f>IF(B29="","",IF(H29="","⚠ Selecciona BRECHA_PRINCIPAL",IF(I29="","⚠ Selecciona ESTADO_EVIDENCIA",IFERROR(IF(I29="Válida y vigente","NO RECOMENDAR — evidencia suficiente",IF(I29="Válida pero requiere actualización",IF(INDEX('21_SIMULADOR_AUX'!$L$5:$L$30,MATCH(H29,'21_SIMULADOR_AUX'!$A$5:$A$30,0))="Sí","ACTUALIZAR: "&amp;INDEX('21_SIMULADOR_AUX'!$F$5:$F$30,MATCH(H29,'21_SIMULADOR_AUX'!$A$5:$A$30,0)),"REVISIÓN MANUAL"),INDEX('21_SIMULADOR_AUX'!$F$5:$F$30,MATCH(H29,'21_SIMULADOR_AUX'!$A$5:$A$30,0)))),"⚠ Brecha no reconocida"))))</x:f>
      </x:c>
      <x:c r="M29" s="345" t="str">
        <x:f>IF(OR(K29="",L29=""),"",IF(K29=L29,"Sí","No"))</x:f>
      </x:c>
      <x:c r="N29" s="44"/>
      <x:c r="O29" s="44"/>
      <x:c r="P29" s="346" t="str">
        <x:f>IF(B29="","",IF(OR(H29="",I29=""),"Completa H e I para generar el resultado.",IF(I29="Válida y vigente","Evidencia suficiente: no repetir la herramienta. Reevaluar la brecha y el objetivo.",L29)))</x:f>
      </x:c>
      <x:c r="Q29" s="346" t="str">
        <x:f>IF(B29="","",IF(OR(H29="",I29=""),"Pendiente de completar",IF(K29="","Ruta generada; falta ruta esperada",IF(M29="Sí","APROBADA","REVISAR"))))</x:f>
      </x:c>
      <x:c r="R29" s="44"/>
    </x:row>
    <x:row r="30">
      <x:c r="A30" s="44" t="str">
        <x:f>IF(B30="","",ROW()-4)</x:f>
      </x:c>
      <x:c r="B30" s="44"/>
      <x:c r="C30" s="44"/>
      <x:c r="D30" s="44"/>
      <x:c r="E30" s="44"/>
      <x:c r="F30" s="44"/>
      <x:c r="G30" s="44"/>
      <x:c r="H30" s="343"/>
      <x:c r="I30" s="343"/>
      <x:c r="J30" s="44"/>
      <x:c r="K30" s="344"/>
      <x:c r="L30" s="345" t="str">
        <x:f>IF(B30="","",IF(H30="","⚠ Selecciona BRECHA_PRINCIPAL",IF(I30="","⚠ Selecciona ESTADO_EVIDENCIA",IFERROR(IF(I30="Válida y vigente","NO RECOMENDAR — evidencia suficiente",IF(I30="Válida pero requiere actualización",IF(INDEX('21_SIMULADOR_AUX'!$L$5:$L$30,MATCH(H30,'21_SIMULADOR_AUX'!$A$5:$A$30,0))="Sí","ACTUALIZAR: "&amp;INDEX('21_SIMULADOR_AUX'!$F$5:$F$30,MATCH(H30,'21_SIMULADOR_AUX'!$A$5:$A$30,0)),"REVISIÓN MANUAL"),INDEX('21_SIMULADOR_AUX'!$F$5:$F$30,MATCH(H30,'21_SIMULADOR_AUX'!$A$5:$A$30,0)))),"⚠ Brecha no reconocida"))))</x:f>
      </x:c>
      <x:c r="M30" s="345" t="str">
        <x:f>IF(OR(K30="",L30=""),"",IF(K30=L30,"Sí","No"))</x:f>
      </x:c>
      <x:c r="N30" s="44"/>
      <x:c r="O30" s="44"/>
      <x:c r="P30" s="346" t="str">
        <x:f>IF(B30="","",IF(OR(H30="",I30=""),"Completa H e I para generar el resultado.",IF(I30="Válida y vigente","Evidencia suficiente: no repetir la herramienta. Reevaluar la brecha y el objetivo.",L30)))</x:f>
      </x:c>
      <x:c r="Q30" s="346" t="str">
        <x:f>IF(B30="","",IF(OR(H30="",I30=""),"Pendiente de completar",IF(K30="","Ruta generada; falta ruta esperada",IF(M30="Sí","APROBADA","REVISAR"))))</x:f>
      </x:c>
      <x:c r="R30" s="44"/>
    </x:row>
    <x:row r="31">
      <x:c r="A31" s="44" t="str">
        <x:f>IF(B31="","",ROW()-4)</x:f>
      </x:c>
      <x:c r="B31" s="44"/>
      <x:c r="C31" s="44"/>
      <x:c r="D31" s="44"/>
      <x:c r="E31" s="44"/>
      <x:c r="F31" s="44"/>
      <x:c r="G31" s="44"/>
      <x:c r="H31" s="343"/>
      <x:c r="I31" s="343"/>
      <x:c r="J31" s="44"/>
      <x:c r="K31" s="344"/>
      <x:c r="L31" s="345" t="str">
        <x:f>IF(B31="","",IF(H31="","⚠ Selecciona BRECHA_PRINCIPAL",IF(I31="","⚠ Selecciona ESTADO_EVIDENCIA",IFERROR(IF(I31="Válida y vigente","NO RECOMENDAR — evidencia suficiente",IF(I31="Válida pero requiere actualización",IF(INDEX('21_SIMULADOR_AUX'!$L$5:$L$30,MATCH(H31,'21_SIMULADOR_AUX'!$A$5:$A$30,0))="Sí","ACTUALIZAR: "&amp;INDEX('21_SIMULADOR_AUX'!$F$5:$F$30,MATCH(H31,'21_SIMULADOR_AUX'!$A$5:$A$30,0)),"REVISIÓN MANUAL"),INDEX('21_SIMULADOR_AUX'!$F$5:$F$30,MATCH(H31,'21_SIMULADOR_AUX'!$A$5:$A$30,0)))),"⚠ Brecha no reconocida"))))</x:f>
      </x:c>
      <x:c r="M31" s="345" t="str">
        <x:f>IF(OR(K31="",L31=""),"",IF(K31=L31,"Sí","No"))</x:f>
      </x:c>
      <x:c r="N31" s="44"/>
      <x:c r="O31" s="44"/>
      <x:c r="P31" s="346" t="str">
        <x:f>IF(B31="","",IF(OR(H31="",I31=""),"Completa H e I para generar el resultado.",IF(I31="Válida y vigente","Evidencia suficiente: no repetir la herramienta. Reevaluar la brecha y el objetivo.",L31)))</x:f>
      </x:c>
      <x:c r="Q31" s="346" t="str">
        <x:f>IF(B31="","",IF(OR(H31="",I31=""),"Pendiente de completar",IF(K31="","Ruta generada; falta ruta esperada",IF(M31="Sí","APROBADA","REVISAR"))))</x:f>
      </x:c>
      <x:c r="R31" s="44"/>
    </x:row>
    <x:row r="32">
      <x:c r="A32" s="44" t="str">
        <x:f>IF(B32="","",ROW()-4)</x:f>
      </x:c>
      <x:c r="B32" s="44"/>
      <x:c r="C32" s="44"/>
      <x:c r="D32" s="44"/>
      <x:c r="E32" s="44"/>
      <x:c r="F32" s="44"/>
      <x:c r="G32" s="44"/>
      <x:c r="H32" s="343"/>
      <x:c r="I32" s="343"/>
      <x:c r="J32" s="44"/>
      <x:c r="K32" s="344"/>
      <x:c r="L32" s="345" t="str">
        <x:f>IF(B32="","",IF(H32="","⚠ Selecciona BRECHA_PRINCIPAL",IF(I32="","⚠ Selecciona ESTADO_EVIDENCIA",IFERROR(IF(I32="Válida y vigente","NO RECOMENDAR — evidencia suficiente",IF(I32="Válida pero requiere actualización",IF(INDEX('21_SIMULADOR_AUX'!$L$5:$L$30,MATCH(H32,'21_SIMULADOR_AUX'!$A$5:$A$30,0))="Sí","ACTUALIZAR: "&amp;INDEX('21_SIMULADOR_AUX'!$F$5:$F$30,MATCH(H32,'21_SIMULADOR_AUX'!$A$5:$A$30,0)),"REVISIÓN MANUAL"),INDEX('21_SIMULADOR_AUX'!$F$5:$F$30,MATCH(H32,'21_SIMULADOR_AUX'!$A$5:$A$30,0)))),"⚠ Brecha no reconocida"))))</x:f>
      </x:c>
      <x:c r="M32" s="345" t="str">
        <x:f>IF(OR(K32="",L32=""),"",IF(K32=L32,"Sí","No"))</x:f>
      </x:c>
      <x:c r="N32" s="44"/>
      <x:c r="O32" s="44"/>
      <x:c r="P32" s="346" t="str">
        <x:f>IF(B32="","",IF(OR(H32="",I32=""),"Completa H e I para generar el resultado.",IF(I32="Válida y vigente","Evidencia suficiente: no repetir la herramienta. Reevaluar la brecha y el objetivo.",L32)))</x:f>
      </x:c>
      <x:c r="Q32" s="346" t="str">
        <x:f>IF(B32="","",IF(OR(H32="",I32=""),"Pendiente de completar",IF(K32="","Ruta generada; falta ruta esperada",IF(M32="Sí","APROBADA","REVISAR"))))</x:f>
      </x:c>
      <x:c r="R32" s="44"/>
    </x:row>
    <x:row r="33">
      <x:c r="A33" s="44" t="str">
        <x:f>IF(B33="","",ROW()-4)</x:f>
      </x:c>
      <x:c r="B33" s="44"/>
      <x:c r="C33" s="44"/>
      <x:c r="D33" s="44"/>
      <x:c r="E33" s="44"/>
      <x:c r="F33" s="44"/>
      <x:c r="G33" s="44"/>
      <x:c r="H33" s="343"/>
      <x:c r="I33" s="343"/>
      <x:c r="J33" s="44"/>
      <x:c r="K33" s="344"/>
      <x:c r="L33" s="345" t="str">
        <x:f>IF(B33="","",IF(H33="","⚠ Selecciona BRECHA_PRINCIPAL",IF(I33="","⚠ Selecciona ESTADO_EVIDENCIA",IFERROR(IF(I33="Válida y vigente","NO RECOMENDAR — evidencia suficiente",IF(I33="Válida pero requiere actualización",IF(INDEX('21_SIMULADOR_AUX'!$L$5:$L$30,MATCH(H33,'21_SIMULADOR_AUX'!$A$5:$A$30,0))="Sí","ACTUALIZAR: "&amp;INDEX('21_SIMULADOR_AUX'!$F$5:$F$30,MATCH(H33,'21_SIMULADOR_AUX'!$A$5:$A$30,0)),"REVISIÓN MANUAL"),INDEX('21_SIMULADOR_AUX'!$F$5:$F$30,MATCH(H33,'21_SIMULADOR_AUX'!$A$5:$A$30,0)))),"⚠ Brecha no reconocida"))))</x:f>
      </x:c>
      <x:c r="M33" s="345" t="str">
        <x:f>IF(OR(K33="",L33=""),"",IF(K33=L33,"Sí","No"))</x:f>
      </x:c>
      <x:c r="N33" s="44"/>
      <x:c r="O33" s="44"/>
      <x:c r="P33" s="346" t="str">
        <x:f>IF(B33="","",IF(OR(H33="",I33=""),"Completa H e I para generar el resultado.",IF(I33="Válida y vigente","Evidencia suficiente: no repetir la herramienta. Reevaluar la brecha y el objetivo.",L33)))</x:f>
      </x:c>
      <x:c r="Q33" s="346" t="str">
        <x:f>IF(B33="","",IF(OR(H33="",I33=""),"Pendiente de completar",IF(K33="","Ruta generada; falta ruta esperada",IF(M33="Sí","APROBADA","REVISAR"))))</x:f>
      </x:c>
      <x:c r="R33" s="44"/>
    </x:row>
    <x:row r="34">
      <x:c r="A34" s="44" t="str">
        <x:f>IF(B34="","",ROW()-4)</x:f>
      </x:c>
      <x:c r="B34" s="44"/>
      <x:c r="C34" s="44"/>
      <x:c r="D34" s="44"/>
      <x:c r="E34" s="44"/>
      <x:c r="F34" s="44"/>
      <x:c r="G34" s="44"/>
      <x:c r="H34" s="343"/>
      <x:c r="I34" s="343"/>
      <x:c r="J34" s="44"/>
      <x:c r="K34" s="344"/>
      <x:c r="L34" s="345" t="str">
        <x:f>IF(B34="","",IF(H34="","⚠ Selecciona BRECHA_PRINCIPAL",IF(I34="","⚠ Selecciona ESTADO_EVIDENCIA",IFERROR(IF(I34="Válida y vigente","NO RECOMENDAR — evidencia suficiente",IF(I34="Válida pero requiere actualización",IF(INDEX('21_SIMULADOR_AUX'!$L$5:$L$30,MATCH(H34,'21_SIMULADOR_AUX'!$A$5:$A$30,0))="Sí","ACTUALIZAR: "&amp;INDEX('21_SIMULADOR_AUX'!$F$5:$F$30,MATCH(H34,'21_SIMULADOR_AUX'!$A$5:$A$30,0)),"REVISIÓN MANUAL"),INDEX('21_SIMULADOR_AUX'!$F$5:$F$30,MATCH(H34,'21_SIMULADOR_AUX'!$A$5:$A$30,0)))),"⚠ Brecha no reconocida"))))</x:f>
      </x:c>
      <x:c r="M34" s="345" t="str">
        <x:f>IF(OR(K34="",L34=""),"",IF(K34=L34,"Sí","No"))</x:f>
      </x:c>
      <x:c r="N34" s="44"/>
      <x:c r="O34" s="44"/>
      <x:c r="P34" s="346" t="str">
        <x:f>IF(B34="","",IF(OR(H34="",I34=""),"Completa H e I para generar el resultado.",IF(I34="Válida y vigente","Evidencia suficiente: no repetir la herramienta. Reevaluar la brecha y el objetivo.",L34)))</x:f>
      </x:c>
      <x:c r="Q34" s="346" t="str">
        <x:f>IF(B34="","",IF(OR(H34="",I34=""),"Pendiente de completar",IF(K34="","Ruta generada; falta ruta esperada",IF(M34="Sí","APROBADA","REVISAR"))))</x:f>
      </x:c>
      <x:c r="R34" s="44"/>
    </x:row>
    <x:row r="35">
      <x:c r="A35" s="44" t="str">
        <x:f>IF(B35="","",ROW()-4)</x:f>
      </x:c>
      <x:c r="B35" s="44"/>
      <x:c r="C35" s="44"/>
      <x:c r="D35" s="44"/>
      <x:c r="E35" s="44"/>
      <x:c r="F35" s="44"/>
      <x:c r="G35" s="44"/>
      <x:c r="H35" s="343"/>
      <x:c r="I35" s="343"/>
      <x:c r="J35" s="44"/>
      <x:c r="K35" s="344"/>
      <x:c r="L35" s="345" t="str">
        <x:f>IF(B35="","",IF(H35="","⚠ Selecciona BRECHA_PRINCIPAL",IF(I35="","⚠ Selecciona ESTADO_EVIDENCIA",IFERROR(IF(I35="Válida y vigente","NO RECOMENDAR — evidencia suficiente",IF(I35="Válida pero requiere actualización",IF(INDEX('21_SIMULADOR_AUX'!$L$5:$L$30,MATCH(H35,'21_SIMULADOR_AUX'!$A$5:$A$30,0))="Sí","ACTUALIZAR: "&amp;INDEX('21_SIMULADOR_AUX'!$F$5:$F$30,MATCH(H35,'21_SIMULADOR_AUX'!$A$5:$A$30,0)),"REVISIÓN MANUAL"),INDEX('21_SIMULADOR_AUX'!$F$5:$F$30,MATCH(H35,'21_SIMULADOR_AUX'!$A$5:$A$30,0)))),"⚠ Brecha no reconocida"))))</x:f>
      </x:c>
      <x:c r="M35" s="345" t="str">
        <x:f>IF(OR(K35="",L35=""),"",IF(K35=L35,"Sí","No"))</x:f>
      </x:c>
      <x:c r="N35" s="44"/>
      <x:c r="O35" s="44"/>
      <x:c r="P35" s="346" t="str">
        <x:f>IF(B35="","",IF(OR(H35="",I35=""),"Completa H e I para generar el resultado.",IF(I35="Válida y vigente","Evidencia suficiente: no repetir la herramienta. Reevaluar la brecha y el objetivo.",L35)))</x:f>
      </x:c>
      <x:c r="Q35" s="346" t="str">
        <x:f>IF(B35="","",IF(OR(H35="",I35=""),"Pendiente de completar",IF(K35="","Ruta generada; falta ruta esperada",IF(M35="Sí","APROBADA","REVISAR"))))</x:f>
      </x:c>
      <x:c r="R35" s="44"/>
    </x:row>
    <x:row r="36">
      <x:c r="A36" s="44" t="str">
        <x:f>IF(B36="","",ROW()-4)</x:f>
      </x:c>
      <x:c r="B36" s="44"/>
      <x:c r="C36" s="44"/>
      <x:c r="D36" s="44"/>
      <x:c r="E36" s="44"/>
      <x:c r="F36" s="44"/>
      <x:c r="G36" s="44"/>
      <x:c r="H36" s="343"/>
      <x:c r="I36" s="343"/>
      <x:c r="J36" s="44"/>
      <x:c r="K36" s="344"/>
      <x:c r="L36" s="345" t="str">
        <x:f>IF(B36="","",IF(H36="","⚠ Selecciona BRECHA_PRINCIPAL",IF(I36="","⚠ Selecciona ESTADO_EVIDENCIA",IFERROR(IF(I36="Válida y vigente","NO RECOMENDAR — evidencia suficiente",IF(I36="Válida pero requiere actualización",IF(INDEX('21_SIMULADOR_AUX'!$L$5:$L$30,MATCH(H36,'21_SIMULADOR_AUX'!$A$5:$A$30,0))="Sí","ACTUALIZAR: "&amp;INDEX('21_SIMULADOR_AUX'!$F$5:$F$30,MATCH(H36,'21_SIMULADOR_AUX'!$A$5:$A$30,0)),"REVISIÓN MANUAL"),INDEX('21_SIMULADOR_AUX'!$F$5:$F$30,MATCH(H36,'21_SIMULADOR_AUX'!$A$5:$A$30,0)))),"⚠ Brecha no reconocida"))))</x:f>
      </x:c>
      <x:c r="M36" s="345" t="str">
        <x:f>IF(OR(K36="",L36=""),"",IF(K36=L36,"Sí","No"))</x:f>
      </x:c>
      <x:c r="N36" s="44"/>
      <x:c r="O36" s="44"/>
      <x:c r="P36" s="346" t="str">
        <x:f>IF(B36="","",IF(OR(H36="",I36=""),"Completa H e I para generar el resultado.",IF(I36="Válida y vigente","Evidencia suficiente: no repetir la herramienta. Reevaluar la brecha y el objetivo.",L36)))</x:f>
      </x:c>
      <x:c r="Q36" s="346" t="str">
        <x:f>IF(B36="","",IF(OR(H36="",I36=""),"Pendiente de completar",IF(K36="","Ruta generada; falta ruta esperada",IF(M36="Sí","APROBADA","REVISAR"))))</x:f>
      </x:c>
      <x:c r="R36" s="44"/>
    </x:row>
    <x:row r="37">
      <x:c r="A37" s="44" t="str">
        <x:f>IF(B37="","",ROW()-4)</x:f>
      </x:c>
      <x:c r="B37" s="44"/>
      <x:c r="C37" s="44"/>
      <x:c r="D37" s="44"/>
      <x:c r="E37" s="44"/>
      <x:c r="F37" s="44"/>
      <x:c r="G37" s="44"/>
      <x:c r="H37" s="343"/>
      <x:c r="I37" s="343"/>
      <x:c r="J37" s="44"/>
      <x:c r="K37" s="344"/>
      <x:c r="L37" s="345" t="str">
        <x:f>IF(B37="","",IF(H37="","⚠ Selecciona BRECHA_PRINCIPAL",IF(I37="","⚠ Selecciona ESTADO_EVIDENCIA",IFERROR(IF(I37="Válida y vigente","NO RECOMENDAR — evidencia suficiente",IF(I37="Válida pero requiere actualización",IF(INDEX('21_SIMULADOR_AUX'!$L$5:$L$30,MATCH(H37,'21_SIMULADOR_AUX'!$A$5:$A$30,0))="Sí","ACTUALIZAR: "&amp;INDEX('21_SIMULADOR_AUX'!$F$5:$F$30,MATCH(H37,'21_SIMULADOR_AUX'!$A$5:$A$30,0)),"REVISIÓN MANUAL"),INDEX('21_SIMULADOR_AUX'!$F$5:$F$30,MATCH(H37,'21_SIMULADOR_AUX'!$A$5:$A$30,0)))),"⚠ Brecha no reconocida"))))</x:f>
      </x:c>
      <x:c r="M37" s="345" t="str">
        <x:f>IF(OR(K37="",L37=""),"",IF(K37=L37,"Sí","No"))</x:f>
      </x:c>
      <x:c r="N37" s="44"/>
      <x:c r="O37" s="44"/>
      <x:c r="P37" s="346" t="str">
        <x:f>IF(B37="","",IF(OR(H37="",I37=""),"Completa H e I para generar el resultado.",IF(I37="Válida y vigente","Evidencia suficiente: no repetir la herramienta. Reevaluar la brecha y el objetivo.",L37)))</x:f>
      </x:c>
      <x:c r="Q37" s="346" t="str">
        <x:f>IF(B37="","",IF(OR(H37="",I37=""),"Pendiente de completar",IF(K37="","Ruta generada; falta ruta esperada",IF(M37="Sí","APROBADA","REVISAR"))))</x:f>
      </x:c>
      <x:c r="R37" s="44"/>
    </x:row>
    <x:row r="38">
      <x:c r="A38" s="44" t="str">
        <x:f>IF(B38="","",ROW()-4)</x:f>
      </x:c>
      <x:c r="B38" s="44"/>
      <x:c r="C38" s="44"/>
      <x:c r="D38" s="44"/>
      <x:c r="E38" s="44"/>
      <x:c r="F38" s="44"/>
      <x:c r="G38" s="44"/>
      <x:c r="H38" s="343"/>
      <x:c r="I38" s="343"/>
      <x:c r="J38" s="44"/>
      <x:c r="K38" s="344"/>
      <x:c r="L38" s="345" t="str">
        <x:f>IF(B38="","",IF(H38="","⚠ Selecciona BRECHA_PRINCIPAL",IF(I38="","⚠ Selecciona ESTADO_EVIDENCIA",IFERROR(IF(I38="Válida y vigente","NO RECOMENDAR — evidencia suficiente",IF(I38="Válida pero requiere actualización",IF(INDEX('21_SIMULADOR_AUX'!$L$5:$L$30,MATCH(H38,'21_SIMULADOR_AUX'!$A$5:$A$30,0))="Sí","ACTUALIZAR: "&amp;INDEX('21_SIMULADOR_AUX'!$F$5:$F$30,MATCH(H38,'21_SIMULADOR_AUX'!$A$5:$A$30,0)),"REVISIÓN MANUAL"),INDEX('21_SIMULADOR_AUX'!$F$5:$F$30,MATCH(H38,'21_SIMULADOR_AUX'!$A$5:$A$30,0)))),"⚠ Brecha no reconocida"))))</x:f>
      </x:c>
      <x:c r="M38" s="345" t="str">
        <x:f>IF(OR(K38="",L38=""),"",IF(K38=L38,"Sí","No"))</x:f>
      </x:c>
      <x:c r="N38" s="44"/>
      <x:c r="O38" s="44"/>
      <x:c r="P38" s="346" t="str">
        <x:f>IF(B38="","",IF(OR(H38="",I38=""),"Completa H e I para generar el resultado.",IF(I38="Válida y vigente","Evidencia suficiente: no repetir la herramienta. Reevaluar la brecha y el objetivo.",L38)))</x:f>
      </x:c>
      <x:c r="Q38" s="346" t="str">
        <x:f>IF(B38="","",IF(OR(H38="",I38=""),"Pendiente de completar",IF(K38="","Ruta generada; falta ruta esperada",IF(M38="Sí","APROBADA","REVISAR"))))</x:f>
      </x:c>
      <x:c r="R38" s="44"/>
    </x:row>
    <x:row r="39">
      <x:c r="A39" s="44" t="str">
        <x:f>IF(B39="","",ROW()-4)</x:f>
      </x:c>
      <x:c r="B39" s="44"/>
      <x:c r="C39" s="44"/>
      <x:c r="D39" s="44"/>
      <x:c r="E39" s="44"/>
      <x:c r="F39" s="44"/>
      <x:c r="G39" s="44"/>
      <x:c r="H39" s="343"/>
      <x:c r="I39" s="343"/>
      <x:c r="J39" s="44"/>
      <x:c r="K39" s="344"/>
      <x:c r="L39" s="345" t="str">
        <x:f>IF(B39="","",IF(H39="","⚠ Selecciona BRECHA_PRINCIPAL",IF(I39="","⚠ Selecciona ESTADO_EVIDENCIA",IFERROR(IF(I39="Válida y vigente","NO RECOMENDAR — evidencia suficiente",IF(I39="Válida pero requiere actualización",IF(INDEX('21_SIMULADOR_AUX'!$L$5:$L$30,MATCH(H39,'21_SIMULADOR_AUX'!$A$5:$A$30,0))="Sí","ACTUALIZAR: "&amp;INDEX('21_SIMULADOR_AUX'!$F$5:$F$30,MATCH(H39,'21_SIMULADOR_AUX'!$A$5:$A$30,0)),"REVISIÓN MANUAL"),INDEX('21_SIMULADOR_AUX'!$F$5:$F$30,MATCH(H39,'21_SIMULADOR_AUX'!$A$5:$A$30,0)))),"⚠ Brecha no reconocida"))))</x:f>
      </x:c>
      <x:c r="M39" s="345" t="str">
        <x:f>IF(OR(K39="",L39=""),"",IF(K39=L39,"Sí","No"))</x:f>
      </x:c>
      <x:c r="N39" s="44"/>
      <x:c r="O39" s="44"/>
      <x:c r="P39" s="346" t="str">
        <x:f>IF(B39="","",IF(OR(H39="",I39=""),"Completa H e I para generar el resultado.",IF(I39="Válida y vigente","Evidencia suficiente: no repetir la herramienta. Reevaluar la brecha y el objetivo.",L39)))</x:f>
      </x:c>
      <x:c r="Q39" s="346" t="str">
        <x:f>IF(B39="","",IF(OR(H39="",I39=""),"Pendiente de completar",IF(K39="","Ruta generada; falta ruta esperada",IF(M39="Sí","APROBADA","REVISAR"))))</x:f>
      </x:c>
      <x:c r="R39" s="44"/>
    </x:row>
    <x:row r="40">
      <x:c r="A40" s="44" t="str">
        <x:f>IF(B40="","",ROW()-4)</x:f>
      </x:c>
      <x:c r="B40" s="44"/>
      <x:c r="C40" s="44"/>
      <x:c r="D40" s="44"/>
      <x:c r="E40" s="44"/>
      <x:c r="F40" s="44"/>
      <x:c r="G40" s="44"/>
      <x:c r="H40" s="343"/>
      <x:c r="I40" s="343"/>
      <x:c r="J40" s="44"/>
      <x:c r="K40" s="344"/>
      <x:c r="L40" s="345" t="str">
        <x:f>IF(B40="","",IF(H40="","⚠ Selecciona BRECHA_PRINCIPAL",IF(I40="","⚠ Selecciona ESTADO_EVIDENCIA",IFERROR(IF(I40="Válida y vigente","NO RECOMENDAR — evidencia suficiente",IF(I40="Válida pero requiere actualización",IF(INDEX('21_SIMULADOR_AUX'!$L$5:$L$30,MATCH(H40,'21_SIMULADOR_AUX'!$A$5:$A$30,0))="Sí","ACTUALIZAR: "&amp;INDEX('21_SIMULADOR_AUX'!$F$5:$F$30,MATCH(H40,'21_SIMULADOR_AUX'!$A$5:$A$30,0)),"REVISIÓN MANUAL"),INDEX('21_SIMULADOR_AUX'!$F$5:$F$30,MATCH(H40,'21_SIMULADOR_AUX'!$A$5:$A$30,0)))),"⚠ Brecha no reconocida"))))</x:f>
      </x:c>
      <x:c r="M40" s="345" t="str">
        <x:f>IF(OR(K40="",L40=""),"",IF(K40=L40,"Sí","No"))</x:f>
      </x:c>
      <x:c r="N40" s="44"/>
      <x:c r="O40" s="44"/>
      <x:c r="P40" s="346" t="str">
        <x:f>IF(B40="","",IF(OR(H40="",I40=""),"Completa H e I para generar el resultado.",IF(I40="Válida y vigente","Evidencia suficiente: no repetir la herramienta. Reevaluar la brecha y el objetivo.",L40)))</x:f>
      </x:c>
      <x:c r="Q40" s="346" t="str">
        <x:f>IF(B40="","",IF(OR(H40="",I40=""),"Pendiente de completar",IF(K40="","Ruta generada; falta ruta esperada",IF(M40="Sí","APROBADA","REVISAR"))))</x:f>
      </x:c>
      <x:c r="R40" s="44"/>
    </x:row>
    <x:row r="41">
      <x:c r="A41" s="44" t="str">
        <x:f>IF(B41="","",ROW()-4)</x:f>
      </x:c>
      <x:c r="B41" s="44"/>
      <x:c r="C41" s="44"/>
      <x:c r="D41" s="44"/>
      <x:c r="E41" s="44"/>
      <x:c r="F41" s="44"/>
      <x:c r="G41" s="44"/>
      <x:c r="H41" s="343"/>
      <x:c r="I41" s="343"/>
      <x:c r="J41" s="44"/>
      <x:c r="K41" s="344"/>
      <x:c r="L41" s="345" t="str">
        <x:f>IF(B41="","",IF(H41="","⚠ Selecciona BRECHA_PRINCIPAL",IF(I41="","⚠ Selecciona ESTADO_EVIDENCIA",IFERROR(IF(I41="Válida y vigente","NO RECOMENDAR — evidencia suficiente",IF(I41="Válida pero requiere actualización",IF(INDEX('21_SIMULADOR_AUX'!$L$5:$L$30,MATCH(H41,'21_SIMULADOR_AUX'!$A$5:$A$30,0))="Sí","ACTUALIZAR: "&amp;INDEX('21_SIMULADOR_AUX'!$F$5:$F$30,MATCH(H41,'21_SIMULADOR_AUX'!$A$5:$A$30,0)),"REVISIÓN MANUAL"),INDEX('21_SIMULADOR_AUX'!$F$5:$F$30,MATCH(H41,'21_SIMULADOR_AUX'!$A$5:$A$30,0)))),"⚠ Brecha no reconocida"))))</x:f>
      </x:c>
      <x:c r="M41" s="345" t="str">
        <x:f>IF(OR(K41="",L41=""),"",IF(K41=L41,"Sí","No"))</x:f>
      </x:c>
      <x:c r="N41" s="44"/>
      <x:c r="O41" s="44"/>
      <x:c r="P41" s="346" t="str">
        <x:f>IF(B41="","",IF(OR(H41="",I41=""),"Completa H e I para generar el resultado.",IF(I41="Válida y vigente","Evidencia suficiente: no repetir la herramienta. Reevaluar la brecha y el objetivo.",L41)))</x:f>
      </x:c>
      <x:c r="Q41" s="346" t="str">
        <x:f>IF(B41="","",IF(OR(H41="",I41=""),"Pendiente de completar",IF(K41="","Ruta generada; falta ruta esperada",IF(M41="Sí","APROBADA","REVISAR"))))</x:f>
      </x:c>
      <x:c r="R41" s="44"/>
    </x:row>
    <x:row r="42">
      <x:c r="A42" s="44" t="str">
        <x:f>IF(B42="","",ROW()-4)</x:f>
      </x:c>
      <x:c r="B42" s="44"/>
      <x:c r="C42" s="44"/>
      <x:c r="D42" s="44"/>
      <x:c r="E42" s="44"/>
      <x:c r="F42" s="44"/>
      <x:c r="G42" s="44"/>
      <x:c r="H42" s="343"/>
      <x:c r="I42" s="343"/>
      <x:c r="J42" s="44"/>
      <x:c r="K42" s="344"/>
      <x:c r="L42" s="345" t="str">
        <x:f>IF(B42="","",IF(H42="","⚠ Selecciona BRECHA_PRINCIPAL",IF(I42="","⚠ Selecciona ESTADO_EVIDENCIA",IFERROR(IF(I42="Válida y vigente","NO RECOMENDAR — evidencia suficiente",IF(I42="Válida pero requiere actualización",IF(INDEX('21_SIMULADOR_AUX'!$L$5:$L$30,MATCH(H42,'21_SIMULADOR_AUX'!$A$5:$A$30,0))="Sí","ACTUALIZAR: "&amp;INDEX('21_SIMULADOR_AUX'!$F$5:$F$30,MATCH(H42,'21_SIMULADOR_AUX'!$A$5:$A$30,0)),"REVISIÓN MANUAL"),INDEX('21_SIMULADOR_AUX'!$F$5:$F$30,MATCH(H42,'21_SIMULADOR_AUX'!$A$5:$A$30,0)))),"⚠ Brecha no reconocida"))))</x:f>
      </x:c>
      <x:c r="M42" s="345" t="str">
        <x:f>IF(OR(K42="",L42=""),"",IF(K42=L42,"Sí","No"))</x:f>
      </x:c>
      <x:c r="N42" s="44"/>
      <x:c r="O42" s="44"/>
      <x:c r="P42" s="346" t="str">
        <x:f>IF(B42="","",IF(OR(H42="",I42=""),"Completa H e I para generar el resultado.",IF(I42="Válida y vigente","Evidencia suficiente: no repetir la herramienta. Reevaluar la brecha y el objetivo.",L42)))</x:f>
      </x:c>
      <x:c r="Q42" s="346" t="str">
        <x:f>IF(B42="","",IF(OR(H42="",I42=""),"Pendiente de completar",IF(K42="","Ruta generada; falta ruta esperada",IF(M42="Sí","APROBADA","REVISAR"))))</x:f>
      </x:c>
      <x:c r="R42" s="44"/>
    </x:row>
    <x:row r="43">
      <x:c r="A43" s="44" t="str">
        <x:f>IF(B43="","",ROW()-4)</x:f>
      </x:c>
      <x:c r="B43" s="44"/>
      <x:c r="C43" s="44"/>
      <x:c r="D43" s="44"/>
      <x:c r="E43" s="44"/>
      <x:c r="F43" s="44"/>
      <x:c r="G43" s="44"/>
      <x:c r="H43" s="343"/>
      <x:c r="I43" s="343"/>
      <x:c r="J43" s="44"/>
      <x:c r="K43" s="344"/>
      <x:c r="L43" s="345" t="str">
        <x:f>IF(B43="","",IF(H43="","⚠ Selecciona BRECHA_PRINCIPAL",IF(I43="","⚠ Selecciona ESTADO_EVIDENCIA",IFERROR(IF(I43="Válida y vigente","NO RECOMENDAR — evidencia suficiente",IF(I43="Válida pero requiere actualización",IF(INDEX('21_SIMULADOR_AUX'!$L$5:$L$30,MATCH(H43,'21_SIMULADOR_AUX'!$A$5:$A$30,0))="Sí","ACTUALIZAR: "&amp;INDEX('21_SIMULADOR_AUX'!$F$5:$F$30,MATCH(H43,'21_SIMULADOR_AUX'!$A$5:$A$30,0)),"REVISIÓN MANUAL"),INDEX('21_SIMULADOR_AUX'!$F$5:$F$30,MATCH(H43,'21_SIMULADOR_AUX'!$A$5:$A$30,0)))),"⚠ Brecha no reconocida"))))</x:f>
      </x:c>
      <x:c r="M43" s="345" t="str">
        <x:f>IF(OR(K43="",L43=""),"",IF(K43=L43,"Sí","No"))</x:f>
      </x:c>
      <x:c r="N43" s="44"/>
      <x:c r="O43" s="44"/>
      <x:c r="P43" s="346" t="str">
        <x:f>IF(B43="","",IF(OR(H43="",I43=""),"Completa H e I para generar el resultado.",IF(I43="Válida y vigente","Evidencia suficiente: no repetir la herramienta. Reevaluar la brecha y el objetivo.",L43)))</x:f>
      </x:c>
      <x:c r="Q43" s="346" t="str">
        <x:f>IF(B43="","",IF(OR(H43="",I43=""),"Pendiente de completar",IF(K43="","Ruta generada; falta ruta esperada",IF(M43="Sí","APROBADA","REVISAR"))))</x:f>
      </x:c>
      <x:c r="R43" s="44"/>
    </x:row>
    <x:row r="44">
      <x:c r="A44" s="44" t="str">
        <x:f>IF(B44="","",ROW()-4)</x:f>
      </x:c>
      <x:c r="B44" s="44"/>
      <x:c r="C44" s="44"/>
      <x:c r="D44" s="44"/>
      <x:c r="E44" s="44"/>
      <x:c r="F44" s="44"/>
      <x:c r="G44" s="44"/>
      <x:c r="H44" s="343"/>
      <x:c r="I44" s="343"/>
      <x:c r="J44" s="44"/>
      <x:c r="K44" s="344"/>
      <x:c r="L44" s="345" t="str">
        <x:f>IF(B44="","",IF(H44="","⚠ Selecciona BRECHA_PRINCIPAL",IF(I44="","⚠ Selecciona ESTADO_EVIDENCIA",IFERROR(IF(I44="Válida y vigente","NO RECOMENDAR — evidencia suficiente",IF(I44="Válida pero requiere actualización",IF(INDEX('21_SIMULADOR_AUX'!$L$5:$L$30,MATCH(H44,'21_SIMULADOR_AUX'!$A$5:$A$30,0))="Sí","ACTUALIZAR: "&amp;INDEX('21_SIMULADOR_AUX'!$F$5:$F$30,MATCH(H44,'21_SIMULADOR_AUX'!$A$5:$A$30,0)),"REVISIÓN MANUAL"),INDEX('21_SIMULADOR_AUX'!$F$5:$F$30,MATCH(H44,'21_SIMULADOR_AUX'!$A$5:$A$30,0)))),"⚠ Brecha no reconocida"))))</x:f>
      </x:c>
      <x:c r="M44" s="345" t="str">
        <x:f>IF(OR(K44="",L44=""),"",IF(K44=L44,"Sí","No"))</x:f>
      </x:c>
      <x:c r="N44" s="44"/>
      <x:c r="O44" s="44"/>
      <x:c r="P44" s="346" t="str">
        <x:f>IF(B44="","",IF(OR(H44="",I44=""),"Completa H e I para generar el resultado.",IF(I44="Válida y vigente","Evidencia suficiente: no repetir la herramienta. Reevaluar la brecha y el objetivo.",L44)))</x:f>
      </x:c>
      <x:c r="Q44" s="346" t="str">
        <x:f>IF(B44="","",IF(OR(H44="",I44=""),"Pendiente de completar",IF(K44="","Ruta generada; falta ruta esperada",IF(M44="Sí","APROBADA","REVISAR"))))</x:f>
      </x:c>
      <x:c r="R44" s="44"/>
    </x:row>
    <x:row r="45">
      <x:c r="A45" s="44" t="str">
        <x:f>IF(B45="","",ROW()-4)</x:f>
      </x:c>
      <x:c r="B45" s="44"/>
      <x:c r="C45" s="44"/>
      <x:c r="D45" s="44"/>
      <x:c r="E45" s="44"/>
      <x:c r="F45" s="44"/>
      <x:c r="G45" s="44"/>
      <x:c r="H45" s="343"/>
      <x:c r="I45" s="343"/>
      <x:c r="J45" s="44"/>
      <x:c r="K45" s="344"/>
      <x:c r="L45" s="345" t="str">
        <x:f>IF(B45="","",IF(H45="","⚠ Selecciona BRECHA_PRINCIPAL",IF(I45="","⚠ Selecciona ESTADO_EVIDENCIA",IFERROR(IF(I45="Válida y vigente","NO RECOMENDAR — evidencia suficiente",IF(I45="Válida pero requiere actualización",IF(INDEX('21_SIMULADOR_AUX'!$L$5:$L$30,MATCH(H45,'21_SIMULADOR_AUX'!$A$5:$A$30,0))="Sí","ACTUALIZAR: "&amp;INDEX('21_SIMULADOR_AUX'!$F$5:$F$30,MATCH(H45,'21_SIMULADOR_AUX'!$A$5:$A$30,0)),"REVISIÓN MANUAL"),INDEX('21_SIMULADOR_AUX'!$F$5:$F$30,MATCH(H45,'21_SIMULADOR_AUX'!$A$5:$A$30,0)))),"⚠ Brecha no reconocida"))))</x:f>
      </x:c>
      <x:c r="M45" s="345" t="str">
        <x:f>IF(OR(K45="",L45=""),"",IF(K45=L45,"Sí","No"))</x:f>
      </x:c>
      <x:c r="N45" s="44"/>
      <x:c r="O45" s="44"/>
      <x:c r="P45" s="346" t="str">
        <x:f>IF(B45="","",IF(OR(H45="",I45=""),"Completa H e I para generar el resultado.",IF(I45="Válida y vigente","Evidencia suficiente: no repetir la herramienta. Reevaluar la brecha y el objetivo.",L45)))</x:f>
      </x:c>
      <x:c r="Q45" s="346" t="str">
        <x:f>IF(B45="","",IF(OR(H45="",I45=""),"Pendiente de completar",IF(K45="","Ruta generada; falta ruta esperada",IF(M45="Sí","APROBADA","REVISAR"))))</x:f>
      </x:c>
      <x:c r="R45" s="44"/>
    </x:row>
    <x:row r="46">
      <x:c r="A46" s="44" t="str">
        <x:f>IF(B46="","",ROW()-4)</x:f>
      </x:c>
      <x:c r="B46" s="44"/>
      <x:c r="C46" s="44"/>
      <x:c r="D46" s="44"/>
      <x:c r="E46" s="44"/>
      <x:c r="F46" s="44"/>
      <x:c r="G46" s="44"/>
      <x:c r="H46" s="343"/>
      <x:c r="I46" s="343"/>
      <x:c r="J46" s="44"/>
      <x:c r="K46" s="344"/>
      <x:c r="L46" s="345" t="str">
        <x:f>IF(B46="","",IF(H46="","⚠ Selecciona BRECHA_PRINCIPAL",IF(I46="","⚠ Selecciona ESTADO_EVIDENCIA",IFERROR(IF(I46="Válida y vigente","NO RECOMENDAR — evidencia suficiente",IF(I46="Válida pero requiere actualización",IF(INDEX('21_SIMULADOR_AUX'!$L$5:$L$30,MATCH(H46,'21_SIMULADOR_AUX'!$A$5:$A$30,0))="Sí","ACTUALIZAR: "&amp;INDEX('21_SIMULADOR_AUX'!$F$5:$F$30,MATCH(H46,'21_SIMULADOR_AUX'!$A$5:$A$30,0)),"REVISIÓN MANUAL"),INDEX('21_SIMULADOR_AUX'!$F$5:$F$30,MATCH(H46,'21_SIMULADOR_AUX'!$A$5:$A$30,0)))),"⚠ Brecha no reconocida"))))</x:f>
      </x:c>
      <x:c r="M46" s="345" t="str">
        <x:f>IF(OR(K46="",L46=""),"",IF(K46=L46,"Sí","No"))</x:f>
      </x:c>
      <x:c r="N46" s="44"/>
      <x:c r="O46" s="44"/>
      <x:c r="P46" s="346" t="str">
        <x:f>IF(B46="","",IF(OR(H46="",I46=""),"Completa H e I para generar el resultado.",IF(I46="Válida y vigente","Evidencia suficiente: no repetir la herramienta. Reevaluar la brecha y el objetivo.",L46)))</x:f>
      </x:c>
      <x:c r="Q46" s="346" t="str">
        <x:f>IF(B46="","",IF(OR(H46="",I46=""),"Pendiente de completar",IF(K46="","Ruta generada; falta ruta esperada",IF(M46="Sí","APROBADA","REVISAR"))))</x:f>
      </x:c>
      <x:c r="R46" s="44"/>
    </x:row>
    <x:row r="47">
      <x:c r="A47" s="44" t="str">
        <x:f>IF(B47="","",ROW()-4)</x:f>
      </x:c>
      <x:c r="B47" s="44"/>
      <x:c r="C47" s="44"/>
      <x:c r="D47" s="44"/>
      <x:c r="E47" s="44"/>
      <x:c r="F47" s="44"/>
      <x:c r="G47" s="44"/>
      <x:c r="H47" s="343"/>
      <x:c r="I47" s="343"/>
      <x:c r="J47" s="44"/>
      <x:c r="K47" s="344"/>
      <x:c r="L47" s="345" t="str">
        <x:f>IF(B47="","",IF(H47="","⚠ Selecciona BRECHA_PRINCIPAL",IF(I47="","⚠ Selecciona ESTADO_EVIDENCIA",IFERROR(IF(I47="Válida y vigente","NO RECOMENDAR — evidencia suficiente",IF(I47="Válida pero requiere actualización",IF(INDEX('21_SIMULADOR_AUX'!$L$5:$L$30,MATCH(H47,'21_SIMULADOR_AUX'!$A$5:$A$30,0))="Sí","ACTUALIZAR: "&amp;INDEX('21_SIMULADOR_AUX'!$F$5:$F$30,MATCH(H47,'21_SIMULADOR_AUX'!$A$5:$A$30,0)),"REVISIÓN MANUAL"),INDEX('21_SIMULADOR_AUX'!$F$5:$F$30,MATCH(H47,'21_SIMULADOR_AUX'!$A$5:$A$30,0)))),"⚠ Brecha no reconocida"))))</x:f>
      </x:c>
      <x:c r="M47" s="345" t="str">
        <x:f>IF(OR(K47="",L47=""),"",IF(K47=L47,"Sí","No"))</x:f>
      </x:c>
      <x:c r="N47" s="44"/>
      <x:c r="O47" s="44"/>
      <x:c r="P47" s="346" t="str">
        <x:f>IF(B47="","",IF(OR(H47="",I47=""),"Completa H e I para generar el resultado.",IF(I47="Válida y vigente","Evidencia suficiente: no repetir la herramienta. Reevaluar la brecha y el objetivo.",L47)))</x:f>
      </x:c>
      <x:c r="Q47" s="346" t="str">
        <x:f>IF(B47="","",IF(OR(H47="",I47=""),"Pendiente de completar",IF(K47="","Ruta generada; falta ruta esperada",IF(M47="Sí","APROBADA","REVISAR"))))</x:f>
      </x:c>
      <x:c r="R47" s="44"/>
    </x:row>
    <x:row r="48">
      <x:c r="A48" s="44" t="str">
        <x:f>IF(B48="","",ROW()-4)</x:f>
      </x:c>
      <x:c r="B48" s="44"/>
      <x:c r="C48" s="44"/>
      <x:c r="D48" s="44"/>
      <x:c r="E48" s="44"/>
      <x:c r="F48" s="44"/>
      <x:c r="G48" s="44"/>
      <x:c r="H48" s="343"/>
      <x:c r="I48" s="343"/>
      <x:c r="J48" s="44"/>
      <x:c r="K48" s="344"/>
      <x:c r="L48" s="345" t="str">
        <x:f>IF(B48="","",IF(H48="","⚠ Selecciona BRECHA_PRINCIPAL",IF(I48="","⚠ Selecciona ESTADO_EVIDENCIA",IFERROR(IF(I48="Válida y vigente","NO RECOMENDAR — evidencia suficiente",IF(I48="Válida pero requiere actualización",IF(INDEX('21_SIMULADOR_AUX'!$L$5:$L$30,MATCH(H48,'21_SIMULADOR_AUX'!$A$5:$A$30,0))="Sí","ACTUALIZAR: "&amp;INDEX('21_SIMULADOR_AUX'!$F$5:$F$30,MATCH(H48,'21_SIMULADOR_AUX'!$A$5:$A$30,0)),"REVISIÓN MANUAL"),INDEX('21_SIMULADOR_AUX'!$F$5:$F$30,MATCH(H48,'21_SIMULADOR_AUX'!$A$5:$A$30,0)))),"⚠ Brecha no reconocida"))))</x:f>
      </x:c>
      <x:c r="M48" s="345" t="str">
        <x:f>IF(OR(K48="",L48=""),"",IF(K48=L48,"Sí","No"))</x:f>
      </x:c>
      <x:c r="N48" s="44"/>
      <x:c r="O48" s="44"/>
      <x:c r="P48" s="346" t="str">
        <x:f>IF(B48="","",IF(OR(H48="",I48=""),"Completa H e I para generar el resultado.",IF(I48="Válida y vigente","Evidencia suficiente: no repetir la herramienta. Reevaluar la brecha y el objetivo.",L48)))</x:f>
      </x:c>
      <x:c r="Q48" s="346" t="str">
        <x:f>IF(B48="","",IF(OR(H48="",I48=""),"Pendiente de completar",IF(K48="","Ruta generada; falta ruta esperada",IF(M48="Sí","APROBADA","REVISAR"))))</x:f>
      </x:c>
      <x:c r="R48" s="44"/>
    </x:row>
    <x:row r="49">
      <x:c r="A49" s="44" t="str">
        <x:f>IF(B49="","",ROW()-4)</x:f>
      </x:c>
      <x:c r="B49" s="44"/>
      <x:c r="C49" s="44"/>
      <x:c r="D49" s="44"/>
      <x:c r="E49" s="44"/>
      <x:c r="F49" s="44"/>
      <x:c r="G49" s="44"/>
      <x:c r="H49" s="343"/>
      <x:c r="I49" s="343"/>
      <x:c r="J49" s="44"/>
      <x:c r="K49" s="344"/>
      <x:c r="L49" s="345" t="str">
        <x:f>IF(B49="","",IF(H49="","⚠ Selecciona BRECHA_PRINCIPAL",IF(I49="","⚠ Selecciona ESTADO_EVIDENCIA",IFERROR(IF(I49="Válida y vigente","NO RECOMENDAR — evidencia suficiente",IF(I49="Válida pero requiere actualización",IF(INDEX('21_SIMULADOR_AUX'!$L$5:$L$30,MATCH(H49,'21_SIMULADOR_AUX'!$A$5:$A$30,0))="Sí","ACTUALIZAR: "&amp;INDEX('21_SIMULADOR_AUX'!$F$5:$F$30,MATCH(H49,'21_SIMULADOR_AUX'!$A$5:$A$30,0)),"REVISIÓN MANUAL"),INDEX('21_SIMULADOR_AUX'!$F$5:$F$30,MATCH(H49,'21_SIMULADOR_AUX'!$A$5:$A$30,0)))),"⚠ Brecha no reconocida"))))</x:f>
      </x:c>
      <x:c r="M49" s="345" t="str">
        <x:f>IF(OR(K49="",L49=""),"",IF(K49=L49,"Sí","No"))</x:f>
      </x:c>
      <x:c r="N49" s="44"/>
      <x:c r="O49" s="44"/>
      <x:c r="P49" s="346" t="str">
        <x:f>IF(B49="","",IF(OR(H49="",I49=""),"Completa H e I para generar el resultado.",IF(I49="Válida y vigente","Evidencia suficiente: no repetir la herramienta. Reevaluar la brecha y el objetivo.",L49)))</x:f>
      </x:c>
      <x:c r="Q49" s="346" t="str">
        <x:f>IF(B49="","",IF(OR(H49="",I49=""),"Pendiente de completar",IF(K49="","Ruta generada; falta ruta esperada",IF(M49="Sí","APROBADA","REVISAR"))))</x:f>
      </x:c>
      <x:c r="R49" s="44"/>
    </x:row>
    <x:row r="50">
      <x:c r="A50" s="44" t="str">
        <x:f>IF(B50="","",ROW()-4)</x:f>
      </x:c>
      <x:c r="B50" s="44"/>
      <x:c r="C50" s="44"/>
      <x:c r="D50" s="44"/>
      <x:c r="E50" s="44"/>
      <x:c r="F50" s="44"/>
      <x:c r="G50" s="44"/>
      <x:c r="H50" s="343"/>
      <x:c r="I50" s="343"/>
      <x:c r="J50" s="44"/>
      <x:c r="K50" s="344"/>
      <x:c r="L50" s="345" t="str">
        <x:f>IF(B50="","",IF(H50="","⚠ Selecciona BRECHA_PRINCIPAL",IF(I50="","⚠ Selecciona ESTADO_EVIDENCIA",IFERROR(IF(I50="Válida y vigente","NO RECOMENDAR — evidencia suficiente",IF(I50="Válida pero requiere actualización",IF(INDEX('21_SIMULADOR_AUX'!$L$5:$L$30,MATCH(H50,'21_SIMULADOR_AUX'!$A$5:$A$30,0))="Sí","ACTUALIZAR: "&amp;INDEX('21_SIMULADOR_AUX'!$F$5:$F$30,MATCH(H50,'21_SIMULADOR_AUX'!$A$5:$A$30,0)),"REVISIÓN MANUAL"),INDEX('21_SIMULADOR_AUX'!$F$5:$F$30,MATCH(H50,'21_SIMULADOR_AUX'!$A$5:$A$30,0)))),"⚠ Brecha no reconocida"))))</x:f>
      </x:c>
      <x:c r="M50" s="345" t="str">
        <x:f>IF(OR(K50="",L50=""),"",IF(K50=L50,"Sí","No"))</x:f>
      </x:c>
      <x:c r="N50" s="44"/>
      <x:c r="O50" s="44"/>
      <x:c r="P50" s="346" t="str">
        <x:f>IF(B50="","",IF(OR(H50="",I50=""),"Completa H e I para generar el resultado.",IF(I50="Válida y vigente","Evidencia suficiente: no repetir la herramienta. Reevaluar la brecha y el objetivo.",L50)))</x:f>
      </x:c>
      <x:c r="Q50" s="346" t="str">
        <x:f>IF(B50="","",IF(OR(H50="",I50=""),"Pendiente de completar",IF(K50="","Ruta generada; falta ruta esperada",IF(M50="Sí","APROBADA","REVISAR"))))</x:f>
      </x:c>
      <x:c r="R50" s="44"/>
    </x:row>
    <x:row r="51">
      <x:c r="A51" s="44" t="str">
        <x:f>IF(B51="","",ROW()-4)</x:f>
      </x:c>
      <x:c r="B51" s="44"/>
      <x:c r="C51" s="44"/>
      <x:c r="D51" s="44"/>
      <x:c r="E51" s="44"/>
      <x:c r="F51" s="44"/>
      <x:c r="G51" s="44"/>
      <x:c r="H51" s="343"/>
      <x:c r="I51" s="343"/>
      <x:c r="J51" s="44"/>
      <x:c r="K51" s="344"/>
      <x:c r="L51" s="345" t="str">
        <x:f>IF(B51="","",IF(H51="","⚠ Selecciona BRECHA_PRINCIPAL",IF(I51="","⚠ Selecciona ESTADO_EVIDENCIA",IFERROR(IF(I51="Válida y vigente","NO RECOMENDAR — evidencia suficiente",IF(I51="Válida pero requiere actualización",IF(INDEX('21_SIMULADOR_AUX'!$L$5:$L$30,MATCH(H51,'21_SIMULADOR_AUX'!$A$5:$A$30,0))="Sí","ACTUALIZAR: "&amp;INDEX('21_SIMULADOR_AUX'!$F$5:$F$30,MATCH(H51,'21_SIMULADOR_AUX'!$A$5:$A$30,0)),"REVISIÓN MANUAL"),INDEX('21_SIMULADOR_AUX'!$F$5:$F$30,MATCH(H51,'21_SIMULADOR_AUX'!$A$5:$A$30,0)))),"⚠ Brecha no reconocida"))))</x:f>
      </x:c>
      <x:c r="M51" s="345" t="str">
        <x:f>IF(OR(K51="",L51=""),"",IF(K51=L51,"Sí","No"))</x:f>
      </x:c>
      <x:c r="N51" s="44"/>
      <x:c r="O51" s="44"/>
      <x:c r="P51" s="346" t="str">
        <x:f>IF(B51="","",IF(OR(H51="",I51=""),"Completa H e I para generar el resultado.",IF(I51="Válida y vigente","Evidencia suficiente: no repetir la herramienta. Reevaluar la brecha y el objetivo.",L51)))</x:f>
      </x:c>
      <x:c r="Q51" s="346" t="str">
        <x:f>IF(B51="","",IF(OR(H51="",I51=""),"Pendiente de completar",IF(K51="","Ruta generada; falta ruta esperada",IF(M51="Sí","APROBADA","REVISAR"))))</x:f>
      </x:c>
      <x:c r="R51" s="44"/>
    </x:row>
    <x:row r="52">
      <x:c r="A52" s="44" t="str">
        <x:f>IF(B52="","",ROW()-4)</x:f>
      </x:c>
      <x:c r="B52" s="44"/>
      <x:c r="C52" s="44"/>
      <x:c r="D52" s="44"/>
      <x:c r="E52" s="44"/>
      <x:c r="F52" s="44"/>
      <x:c r="G52" s="44"/>
      <x:c r="H52" s="343"/>
      <x:c r="I52" s="343"/>
      <x:c r="J52" s="44"/>
      <x:c r="K52" s="344"/>
      <x:c r="L52" s="345" t="str">
        <x:f>IF(B52="","",IF(H52="","⚠ Selecciona BRECHA_PRINCIPAL",IF(I52="","⚠ Selecciona ESTADO_EVIDENCIA",IFERROR(IF(I52="Válida y vigente","NO RECOMENDAR — evidencia suficiente",IF(I52="Válida pero requiere actualización",IF(INDEX('21_SIMULADOR_AUX'!$L$5:$L$30,MATCH(H52,'21_SIMULADOR_AUX'!$A$5:$A$30,0))="Sí","ACTUALIZAR: "&amp;INDEX('21_SIMULADOR_AUX'!$F$5:$F$30,MATCH(H52,'21_SIMULADOR_AUX'!$A$5:$A$30,0)),"REVISIÓN MANUAL"),INDEX('21_SIMULADOR_AUX'!$F$5:$F$30,MATCH(H52,'21_SIMULADOR_AUX'!$A$5:$A$30,0)))),"⚠ Brecha no reconocida"))))</x:f>
      </x:c>
      <x:c r="M52" s="345" t="str">
        <x:f>IF(OR(K52="",L52=""),"",IF(K52=L52,"Sí","No"))</x:f>
      </x:c>
      <x:c r="N52" s="44"/>
      <x:c r="O52" s="44"/>
      <x:c r="P52" s="346" t="str">
        <x:f>IF(B52="","",IF(OR(H52="",I52=""),"Completa H e I para generar el resultado.",IF(I52="Válida y vigente","Evidencia suficiente: no repetir la herramienta. Reevaluar la brecha y el objetivo.",L52)))</x:f>
      </x:c>
      <x:c r="Q52" s="346" t="str">
        <x:f>IF(B52="","",IF(OR(H52="",I52=""),"Pendiente de completar",IF(K52="","Ruta generada; falta ruta esperada",IF(M52="Sí","APROBADA","REVISAR"))))</x:f>
      </x:c>
      <x:c r="R52" s="44"/>
    </x:row>
    <x:row r="53">
      <x:c r="A53" s="44" t="str">
        <x:f>IF(B53="","",ROW()-4)</x:f>
      </x:c>
      <x:c r="B53" s="44"/>
      <x:c r="C53" s="44"/>
      <x:c r="D53" s="44"/>
      <x:c r="E53" s="44"/>
      <x:c r="F53" s="44"/>
      <x:c r="G53" s="44"/>
      <x:c r="H53" s="343"/>
      <x:c r="I53" s="343"/>
      <x:c r="J53" s="44"/>
      <x:c r="K53" s="344"/>
      <x:c r="L53" s="345" t="str">
        <x:f>IF(B53="","",IF(H53="","⚠ Selecciona BRECHA_PRINCIPAL",IF(I53="","⚠ Selecciona ESTADO_EVIDENCIA",IFERROR(IF(I53="Válida y vigente","NO RECOMENDAR — evidencia suficiente",IF(I53="Válida pero requiere actualización",IF(INDEX('21_SIMULADOR_AUX'!$L$5:$L$30,MATCH(H53,'21_SIMULADOR_AUX'!$A$5:$A$30,0))="Sí","ACTUALIZAR: "&amp;INDEX('21_SIMULADOR_AUX'!$F$5:$F$30,MATCH(H53,'21_SIMULADOR_AUX'!$A$5:$A$30,0)),"REVISIÓN MANUAL"),INDEX('21_SIMULADOR_AUX'!$F$5:$F$30,MATCH(H53,'21_SIMULADOR_AUX'!$A$5:$A$30,0)))),"⚠ Brecha no reconocida"))))</x:f>
      </x:c>
      <x:c r="M53" s="345" t="str">
        <x:f>IF(OR(K53="",L53=""),"",IF(K53=L53,"Sí","No"))</x:f>
      </x:c>
      <x:c r="N53" s="44"/>
      <x:c r="O53" s="44"/>
      <x:c r="P53" s="346" t="str">
        <x:f>IF(B53="","",IF(OR(H53="",I53=""),"Completa H e I para generar el resultado.",IF(I53="Válida y vigente","Evidencia suficiente: no repetir la herramienta. Reevaluar la brecha y el objetivo.",L53)))</x:f>
      </x:c>
      <x:c r="Q53" s="346" t="str">
        <x:f>IF(B53="","",IF(OR(H53="",I53=""),"Pendiente de completar",IF(K53="","Ruta generada; falta ruta esperada",IF(M53="Sí","APROBADA","REVISAR"))))</x:f>
      </x:c>
      <x:c r="R53" s="44"/>
    </x:row>
    <x:row r="54">
      <x:c r="A54" s="44" t="str">
        <x:f>IF(B54="","",ROW()-4)</x:f>
      </x:c>
      <x:c r="B54" s="44"/>
      <x:c r="C54" s="44"/>
      <x:c r="D54" s="44"/>
      <x:c r="E54" s="44"/>
      <x:c r="F54" s="44"/>
      <x:c r="G54" s="44"/>
      <x:c r="H54" s="343"/>
      <x:c r="I54" s="343"/>
      <x:c r="J54" s="44"/>
      <x:c r="K54" s="344"/>
      <x:c r="L54" s="345" t="str">
        <x:f>IF(B54="","",IF(H54="","⚠ Selecciona BRECHA_PRINCIPAL",IF(I54="","⚠ Selecciona ESTADO_EVIDENCIA",IFERROR(IF(I54="Válida y vigente","NO RECOMENDAR — evidencia suficiente",IF(I54="Válida pero requiere actualización",IF(INDEX('21_SIMULADOR_AUX'!$L$5:$L$30,MATCH(H54,'21_SIMULADOR_AUX'!$A$5:$A$30,0))="Sí","ACTUALIZAR: "&amp;INDEX('21_SIMULADOR_AUX'!$F$5:$F$30,MATCH(H54,'21_SIMULADOR_AUX'!$A$5:$A$30,0)),"REVISIÓN MANUAL"),INDEX('21_SIMULADOR_AUX'!$F$5:$F$30,MATCH(H54,'21_SIMULADOR_AUX'!$A$5:$A$30,0)))),"⚠ Brecha no reconocida"))))</x:f>
      </x:c>
      <x:c r="M54" s="345" t="str">
        <x:f>IF(OR(K54="",L54=""),"",IF(K54=L54,"Sí","No"))</x:f>
      </x:c>
      <x:c r="N54" s="44"/>
      <x:c r="O54" s="44"/>
      <x:c r="P54" s="346" t="str">
        <x:f>IF(B54="","",IF(OR(H54="",I54=""),"Completa H e I para generar el resultado.",IF(I54="Válida y vigente","Evidencia suficiente: no repetir la herramienta. Reevaluar la brecha y el objetivo.",L54)))</x:f>
      </x:c>
      <x:c r="Q54" s="346" t="str">
        <x:f>IF(B54="","",IF(OR(H54="",I54=""),"Pendiente de completar",IF(K54="","Ruta generada; falta ruta esperada",IF(M54="Sí","APROBADA","REVISAR"))))</x:f>
      </x:c>
      <x:c r="R54" s="44"/>
    </x:row>
    <x:row r="55">
      <x:c r="A55" s="44" t="str">
        <x:f>IF(B55="","",ROW()-4)</x:f>
      </x:c>
      <x:c r="B55" s="44"/>
      <x:c r="C55" s="44"/>
      <x:c r="D55" s="44"/>
      <x:c r="E55" s="44"/>
      <x:c r="F55" s="44"/>
      <x:c r="G55" s="44"/>
      <x:c r="H55" s="343"/>
      <x:c r="I55" s="343"/>
      <x:c r="J55" s="44"/>
      <x:c r="K55" s="344"/>
      <x:c r="L55" s="345" t="str">
        <x:f>IF(B55="","",IF(H55="","⚠ Selecciona BRECHA_PRINCIPAL",IF(I55="","⚠ Selecciona ESTADO_EVIDENCIA",IFERROR(IF(I55="Válida y vigente","NO RECOMENDAR — evidencia suficiente",IF(I55="Válida pero requiere actualización",IF(INDEX('21_SIMULADOR_AUX'!$L$5:$L$30,MATCH(H55,'21_SIMULADOR_AUX'!$A$5:$A$30,0))="Sí","ACTUALIZAR: "&amp;INDEX('21_SIMULADOR_AUX'!$F$5:$F$30,MATCH(H55,'21_SIMULADOR_AUX'!$A$5:$A$30,0)),"REVISIÓN MANUAL"),INDEX('21_SIMULADOR_AUX'!$F$5:$F$30,MATCH(H55,'21_SIMULADOR_AUX'!$A$5:$A$30,0)))),"⚠ Brecha no reconocida"))))</x:f>
      </x:c>
      <x:c r="M55" s="345" t="str">
        <x:f>IF(OR(K55="",L55=""),"",IF(K55=L55,"Sí","No"))</x:f>
      </x:c>
      <x:c r="N55" s="44"/>
      <x:c r="O55" s="44"/>
      <x:c r="P55" s="346" t="str">
        <x:f>IF(B55="","",IF(OR(H55="",I55=""),"Completa H e I para generar el resultado.",IF(I55="Válida y vigente","Evidencia suficiente: no repetir la herramienta. Reevaluar la brecha y el objetivo.",L55)))</x:f>
      </x:c>
      <x:c r="Q55" s="346" t="str">
        <x:f>IF(B55="","",IF(OR(H55="",I55=""),"Pendiente de completar",IF(K55="","Ruta generada; falta ruta esperada",IF(M55="Sí","APROBADA","REVISAR"))))</x:f>
      </x:c>
      <x:c r="R55" s="44"/>
    </x:row>
    <x:row r="56">
      <x:c r="A56" s="44" t="str">
        <x:f>IF(B56="","",ROW()-4)</x:f>
      </x:c>
      <x:c r="B56" s="44"/>
      <x:c r="C56" s="44"/>
      <x:c r="D56" s="44"/>
      <x:c r="E56" s="44"/>
      <x:c r="F56" s="44"/>
      <x:c r="G56" s="44"/>
      <x:c r="H56" s="343"/>
      <x:c r="I56" s="343"/>
      <x:c r="J56" s="44"/>
      <x:c r="K56" s="344"/>
      <x:c r="L56" s="345" t="str">
        <x:f>IF(B56="","",IF(H56="","⚠ Selecciona BRECHA_PRINCIPAL",IF(I56="","⚠ Selecciona ESTADO_EVIDENCIA",IFERROR(IF(I56="Válida y vigente","NO RECOMENDAR — evidencia suficiente",IF(I56="Válida pero requiere actualización",IF(INDEX('21_SIMULADOR_AUX'!$L$5:$L$30,MATCH(H56,'21_SIMULADOR_AUX'!$A$5:$A$30,0))="Sí","ACTUALIZAR: "&amp;INDEX('21_SIMULADOR_AUX'!$F$5:$F$30,MATCH(H56,'21_SIMULADOR_AUX'!$A$5:$A$30,0)),"REVISIÓN MANUAL"),INDEX('21_SIMULADOR_AUX'!$F$5:$F$30,MATCH(H56,'21_SIMULADOR_AUX'!$A$5:$A$30,0)))),"⚠ Brecha no reconocida"))))</x:f>
      </x:c>
      <x:c r="M56" s="345" t="str">
        <x:f>IF(OR(K56="",L56=""),"",IF(K56=L56,"Sí","No"))</x:f>
      </x:c>
      <x:c r="N56" s="44"/>
      <x:c r="O56" s="44"/>
      <x:c r="P56" s="346" t="str">
        <x:f>IF(B56="","",IF(OR(H56="",I56=""),"Completa H e I para generar el resultado.",IF(I56="Válida y vigente","Evidencia suficiente: no repetir la herramienta. Reevaluar la brecha y el objetivo.",L56)))</x:f>
      </x:c>
      <x:c r="Q56" s="346" t="str">
        <x:f>IF(B56="","",IF(OR(H56="",I56=""),"Pendiente de completar",IF(K56="","Ruta generada; falta ruta esperada",IF(M56="Sí","APROBADA","REVISAR"))))</x:f>
      </x:c>
      <x:c r="R56" s="44"/>
    </x:row>
    <x:row r="57">
      <x:c r="A57" s="44" t="str">
        <x:f>IF(B57="","",ROW()-4)</x:f>
      </x:c>
      <x:c r="B57" s="44"/>
      <x:c r="C57" s="44"/>
      <x:c r="D57" s="44"/>
      <x:c r="E57" s="44"/>
      <x:c r="F57" s="44"/>
      <x:c r="G57" s="44"/>
      <x:c r="H57" s="343"/>
      <x:c r="I57" s="343"/>
      <x:c r="J57" s="44"/>
      <x:c r="K57" s="344"/>
      <x:c r="L57" s="345" t="str">
        <x:f>IF(B57="","",IF(H57="","⚠ Selecciona BRECHA_PRINCIPAL",IF(I57="","⚠ Selecciona ESTADO_EVIDENCIA",IFERROR(IF(I57="Válida y vigente","NO RECOMENDAR — evidencia suficiente",IF(I57="Válida pero requiere actualización",IF(INDEX('21_SIMULADOR_AUX'!$L$5:$L$30,MATCH(H57,'21_SIMULADOR_AUX'!$A$5:$A$30,0))="Sí","ACTUALIZAR: "&amp;INDEX('21_SIMULADOR_AUX'!$F$5:$F$30,MATCH(H57,'21_SIMULADOR_AUX'!$A$5:$A$30,0)),"REVISIÓN MANUAL"),INDEX('21_SIMULADOR_AUX'!$F$5:$F$30,MATCH(H57,'21_SIMULADOR_AUX'!$A$5:$A$30,0)))),"⚠ Brecha no reconocida"))))</x:f>
      </x:c>
      <x:c r="M57" s="345" t="str">
        <x:f>IF(OR(K57="",L57=""),"",IF(K57=L57,"Sí","No"))</x:f>
      </x:c>
      <x:c r="N57" s="44"/>
      <x:c r="O57" s="44"/>
      <x:c r="P57" s="346" t="str">
        <x:f>IF(B57="","",IF(OR(H57="",I57=""),"Completa H e I para generar el resultado.",IF(I57="Válida y vigente","Evidencia suficiente: no repetir la herramienta. Reevaluar la brecha y el objetivo.",L57)))</x:f>
      </x:c>
      <x:c r="Q57" s="346" t="str">
        <x:f>IF(B57="","",IF(OR(H57="",I57=""),"Pendiente de completar",IF(K57="","Ruta generada; falta ruta esperada",IF(M57="Sí","APROBADA","REVISAR"))))</x:f>
      </x:c>
      <x:c r="R57" s="44"/>
    </x:row>
    <x:row r="58">
      <x:c r="A58" s="44" t="str">
        <x:f>IF(B58="","",ROW()-4)</x:f>
      </x:c>
      <x:c r="B58" s="44"/>
      <x:c r="C58" s="44"/>
      <x:c r="D58" s="44"/>
      <x:c r="E58" s="44"/>
      <x:c r="F58" s="44"/>
      <x:c r="G58" s="44"/>
      <x:c r="H58" s="343"/>
      <x:c r="I58" s="343"/>
      <x:c r="J58" s="44"/>
      <x:c r="K58" s="344"/>
      <x:c r="L58" s="345" t="str">
        <x:f>IF(B58="","",IF(H58="","⚠ Selecciona BRECHA_PRINCIPAL",IF(I58="","⚠ Selecciona ESTADO_EVIDENCIA",IFERROR(IF(I58="Válida y vigente","NO RECOMENDAR — evidencia suficiente",IF(I58="Válida pero requiere actualización",IF(INDEX('21_SIMULADOR_AUX'!$L$5:$L$30,MATCH(H58,'21_SIMULADOR_AUX'!$A$5:$A$30,0))="Sí","ACTUALIZAR: "&amp;INDEX('21_SIMULADOR_AUX'!$F$5:$F$30,MATCH(H58,'21_SIMULADOR_AUX'!$A$5:$A$30,0)),"REVISIÓN MANUAL"),INDEX('21_SIMULADOR_AUX'!$F$5:$F$30,MATCH(H58,'21_SIMULADOR_AUX'!$A$5:$A$30,0)))),"⚠ Brecha no reconocida"))))</x:f>
      </x:c>
      <x:c r="M58" s="345" t="str">
        <x:f>IF(OR(K58="",L58=""),"",IF(K58=L58,"Sí","No"))</x:f>
      </x:c>
      <x:c r="N58" s="44"/>
      <x:c r="O58" s="44"/>
      <x:c r="P58" s="346" t="str">
        <x:f>IF(B58="","",IF(OR(H58="",I58=""),"Completa H e I para generar el resultado.",IF(I58="Válida y vigente","Evidencia suficiente: no repetir la herramienta. Reevaluar la brecha y el objetivo.",L58)))</x:f>
      </x:c>
      <x:c r="Q58" s="346" t="str">
        <x:f>IF(B58="","",IF(OR(H58="",I58=""),"Pendiente de completar",IF(K58="","Ruta generada; falta ruta esperada",IF(M58="Sí","APROBADA","REVISAR"))))</x:f>
      </x:c>
      <x:c r="R58" s="44"/>
    </x:row>
    <x:row r="59">
      <x:c r="A59" s="44" t="str">
        <x:f>IF(B59="","",ROW()-4)</x:f>
      </x:c>
      <x:c r="B59" s="44"/>
      <x:c r="C59" s="44"/>
      <x:c r="D59" s="44"/>
      <x:c r="E59" s="44"/>
      <x:c r="F59" s="44"/>
      <x:c r="G59" s="44"/>
      <x:c r="H59" s="343"/>
      <x:c r="I59" s="343"/>
      <x:c r="J59" s="44"/>
      <x:c r="K59" s="344"/>
      <x:c r="L59" s="345" t="str">
        <x:f>IF(B59="","",IF(H59="","⚠ Selecciona BRECHA_PRINCIPAL",IF(I59="","⚠ Selecciona ESTADO_EVIDENCIA",IFERROR(IF(I59="Válida y vigente","NO RECOMENDAR — evidencia suficiente",IF(I59="Válida pero requiere actualización",IF(INDEX('21_SIMULADOR_AUX'!$L$5:$L$30,MATCH(H59,'21_SIMULADOR_AUX'!$A$5:$A$30,0))="Sí","ACTUALIZAR: "&amp;INDEX('21_SIMULADOR_AUX'!$F$5:$F$30,MATCH(H59,'21_SIMULADOR_AUX'!$A$5:$A$30,0)),"REVISIÓN MANUAL"),INDEX('21_SIMULADOR_AUX'!$F$5:$F$30,MATCH(H59,'21_SIMULADOR_AUX'!$A$5:$A$30,0)))),"⚠ Brecha no reconocida"))))</x:f>
      </x:c>
      <x:c r="M59" s="345" t="str">
        <x:f>IF(OR(K59="",L59=""),"",IF(K59=L59,"Sí","No"))</x:f>
      </x:c>
      <x:c r="N59" s="44"/>
      <x:c r="O59" s="44"/>
      <x:c r="P59" s="346" t="str">
        <x:f>IF(B59="","",IF(OR(H59="",I59=""),"Completa H e I para generar el resultado.",IF(I59="Válida y vigente","Evidencia suficiente: no repetir la herramienta. Reevaluar la brecha y el objetivo.",L59)))</x:f>
      </x:c>
      <x:c r="Q59" s="346" t="str">
        <x:f>IF(B59="","",IF(OR(H59="",I59=""),"Pendiente de completar",IF(K59="","Ruta generada; falta ruta esperada",IF(M59="Sí","APROBADA","REVISAR"))))</x:f>
      </x:c>
      <x:c r="R59" s="44"/>
    </x:row>
    <x:row r="60">
      <x:c r="A60" s="44" t="str">
        <x:f>IF(B60="","",ROW()-4)</x:f>
      </x:c>
      <x:c r="B60" s="44"/>
      <x:c r="C60" s="44"/>
      <x:c r="D60" s="44"/>
      <x:c r="E60" s="44"/>
      <x:c r="F60" s="44"/>
      <x:c r="G60" s="44"/>
      <x:c r="H60" s="343"/>
      <x:c r="I60" s="343"/>
      <x:c r="J60" s="44"/>
      <x:c r="K60" s="344"/>
      <x:c r="L60" s="345" t="str">
        <x:f>IF(B60="","",IF(H60="","⚠ Selecciona BRECHA_PRINCIPAL",IF(I60="","⚠ Selecciona ESTADO_EVIDENCIA",IFERROR(IF(I60="Válida y vigente","NO RECOMENDAR — evidencia suficiente",IF(I60="Válida pero requiere actualización",IF(INDEX('21_SIMULADOR_AUX'!$L$5:$L$30,MATCH(H60,'21_SIMULADOR_AUX'!$A$5:$A$30,0))="Sí","ACTUALIZAR: "&amp;INDEX('21_SIMULADOR_AUX'!$F$5:$F$30,MATCH(H60,'21_SIMULADOR_AUX'!$A$5:$A$30,0)),"REVISIÓN MANUAL"),INDEX('21_SIMULADOR_AUX'!$F$5:$F$30,MATCH(H60,'21_SIMULADOR_AUX'!$A$5:$A$30,0)))),"⚠ Brecha no reconocida"))))</x:f>
      </x:c>
      <x:c r="M60" s="345" t="str">
        <x:f>IF(OR(K60="",L60=""),"",IF(K60=L60,"Sí","No"))</x:f>
      </x:c>
      <x:c r="N60" s="44"/>
      <x:c r="O60" s="44"/>
      <x:c r="P60" s="346" t="str">
        <x:f>IF(B60="","",IF(OR(H60="",I60=""),"Completa H e I para generar el resultado.",IF(I60="Válida y vigente","Evidencia suficiente: no repetir la herramienta. Reevaluar la brecha y el objetivo.",L60)))</x:f>
      </x:c>
      <x:c r="Q60" s="346" t="str">
        <x:f>IF(B60="","",IF(OR(H60="",I60=""),"Pendiente de completar",IF(K60="","Ruta generada; falta ruta esperada",IF(M60="Sí","APROBADA","REVISAR"))))</x:f>
      </x:c>
      <x:c r="R60" s="44"/>
    </x:row>
    <x:row r="61">
      <x:c r="A61" s="44"/>
      <x:c r="B61" s="44"/>
      <x:c r="C61" s="44"/>
      <x:c r="D61" s="44"/>
      <x:c r="E61" s="44"/>
      <x:c r="F61" s="44"/>
      <x:c r="G61" s="44"/>
      <x:c r="H61" s="44"/>
      <x:c r="I61" s="44"/>
      <x:c r="J61" s="44"/>
      <x:c r="K61" s="44"/>
      <x:c r="L61" s="44"/>
      <x:c r="M61" s="44"/>
      <x:c r="N61" s="44"/>
      <x:c r="O61" s="44"/>
      <x:c r="P61" s="44"/>
      <x:c r="Q61" s="44"/>
      <x:c r="R61" s="44"/>
    </x:row>
    <x:row r="62">
      <x:c r="A62" s="44"/>
      <x:c r="B62" s="44"/>
      <x:c r="C62" s="44"/>
      <x:c r="D62" s="44"/>
      <x:c r="E62" s="44"/>
      <x:c r="F62" s="44"/>
      <x:c r="G62" s="44"/>
      <x:c r="H62" s="44"/>
      <x:c r="I62" s="44"/>
      <x:c r="J62" s="44"/>
      <x:c r="K62" s="44"/>
      <x:c r="L62" s="44"/>
      <x:c r="M62" s="44"/>
      <x:c r="N62" s="44"/>
      <x:c r="O62" s="44"/>
      <x:c r="P62" s="44"/>
      <x:c r="Q62" s="44"/>
      <x:c r="R62" s="44"/>
    </x:row>
    <x:row r="63">
      <x:c r="A63" s="44"/>
      <x:c r="B63" s="44"/>
      <x:c r="C63" s="44"/>
      <x:c r="D63" s="44"/>
      <x:c r="E63" s="44"/>
      <x:c r="F63" s="44"/>
      <x:c r="G63" s="44"/>
      <x:c r="H63" s="44"/>
      <x:c r="I63" s="44"/>
      <x:c r="J63" s="44"/>
      <x:c r="K63" s="44"/>
      <x:c r="L63" s="44"/>
      <x:c r="M63" s="44"/>
      <x:c r="N63" s="44"/>
      <x:c r="O63" s="44"/>
      <x:c r="P63" s="44"/>
      <x:c r="Q63" s="44"/>
      <x:c r="R63" s="44"/>
    </x:row>
    <x:row r="64">
      <x:c r="A64" s="44"/>
      <x:c r="B64" s="44"/>
      <x:c r="C64" s="44"/>
      <x:c r="D64" s="44"/>
      <x:c r="E64" s="44"/>
      <x:c r="F64" s="44"/>
      <x:c r="G64" s="44"/>
      <x:c r="H64" s="44"/>
      <x:c r="I64" s="44"/>
      <x:c r="J64" s="44"/>
      <x:c r="K64" s="44"/>
      <x:c r="L64" s="44"/>
      <x:c r="M64" s="44"/>
      <x:c r="N64" s="44"/>
      <x:c r="O64" s="44"/>
      <x:c r="P64" s="44"/>
      <x:c r="Q64" s="44"/>
      <x:c r="R64" s="44"/>
    </x:row>
    <x:row r="65">
      <x:c r="A65" s="44"/>
      <x:c r="B65" s="44"/>
      <x:c r="C65" s="44"/>
      <x:c r="D65" s="44"/>
      <x:c r="E65" s="44"/>
      <x:c r="F65" s="44"/>
      <x:c r="G65" s="44"/>
      <x:c r="H65" s="44"/>
      <x:c r="I65" s="44"/>
      <x:c r="J65" s="44"/>
      <x:c r="K65" s="44"/>
      <x:c r="L65" s="44"/>
      <x:c r="M65" s="44"/>
      <x:c r="N65" s="44"/>
      <x:c r="O65" s="44"/>
      <x:c r="P65" s="44"/>
      <x:c r="Q65" s="44"/>
      <x:c r="R65" s="44"/>
    </x:row>
    <x:row r="66">
      <x:c r="A66" s="44"/>
      <x:c r="B66" s="44"/>
      <x:c r="C66" s="44"/>
      <x:c r="D66" s="44"/>
      <x:c r="E66" s="44"/>
      <x:c r="F66" s="44"/>
      <x:c r="G66" s="44"/>
      <x:c r="H66" s="44"/>
      <x:c r="I66" s="44"/>
      <x:c r="J66" s="44"/>
      <x:c r="K66" s="44"/>
      <x:c r="L66" s="44"/>
      <x:c r="M66" s="44"/>
      <x:c r="N66" s="44"/>
      <x:c r="O66" s="44"/>
      <x:c r="P66" s="44"/>
      <x:c r="Q66" s="44"/>
      <x:c r="R66" s="44"/>
    </x:row>
    <x:row r="67">
      <x:c r="A67" s="44"/>
      <x:c r="B67" s="44"/>
      <x:c r="C67" s="44"/>
      <x:c r="D67" s="44"/>
      <x:c r="E67" s="44"/>
      <x:c r="F67" s="44"/>
      <x:c r="G67" s="44"/>
      <x:c r="H67" s="44"/>
      <x:c r="I67" s="44"/>
      <x:c r="J67" s="44"/>
      <x:c r="K67" s="44"/>
      <x:c r="L67" s="44"/>
      <x:c r="M67" s="44"/>
      <x:c r="N67" s="44"/>
      <x:c r="O67" s="44"/>
      <x:c r="P67" s="44"/>
      <x:c r="Q67" s="44"/>
      <x:c r="R67" s="44"/>
    </x:row>
    <x:row r="68">
      <x:c r="A68" s="44"/>
      <x:c r="B68" s="44"/>
      <x:c r="C68" s="44"/>
      <x:c r="D68" s="44"/>
      <x:c r="E68" s="44"/>
      <x:c r="F68" s="44"/>
      <x:c r="G68" s="44"/>
      <x:c r="H68" s="44"/>
      <x:c r="I68" s="44"/>
      <x:c r="J68" s="44"/>
      <x:c r="K68" s="44"/>
      <x:c r="L68" s="44"/>
      <x:c r="M68" s="44"/>
      <x:c r="N68" s="44"/>
      <x:c r="O68" s="44"/>
      <x:c r="P68" s="44"/>
      <x:c r="Q68" s="44"/>
      <x:c r="R68" s="44"/>
    </x:row>
    <x:row r="69">
      <x:c r="A69" s="44"/>
      <x:c r="B69" s="44"/>
      <x:c r="C69" s="44"/>
      <x:c r="D69" s="44"/>
      <x:c r="E69" s="44"/>
      <x:c r="F69" s="44"/>
      <x:c r="G69" s="44"/>
      <x:c r="H69" s="44"/>
      <x:c r="I69" s="44"/>
      <x:c r="J69" s="44"/>
      <x:c r="K69" s="44"/>
      <x:c r="L69" s="44"/>
      <x:c r="M69" s="44"/>
      <x:c r="N69" s="44"/>
      <x:c r="O69" s="44"/>
      <x:c r="P69" s="44"/>
      <x:c r="Q69" s="44"/>
      <x:c r="R69" s="44"/>
    </x:row>
    <x:row r="70">
      <x:c r="A70" s="44"/>
      <x:c r="B70" s="44"/>
      <x:c r="C70" s="44"/>
      <x:c r="D70" s="44"/>
      <x:c r="E70" s="44"/>
      <x:c r="F70" s="44"/>
      <x:c r="G70" s="44"/>
      <x:c r="H70" s="44"/>
      <x:c r="I70" s="44"/>
      <x:c r="J70" s="44"/>
      <x:c r="K70" s="44"/>
      <x:c r="L70" s="44"/>
      <x:c r="M70" s="44"/>
      <x:c r="N70" s="44"/>
      <x:c r="O70" s="44"/>
      <x:c r="P70" s="44"/>
      <x:c r="Q70" s="44"/>
      <x:c r="R70" s="44"/>
    </x:row>
    <x:row r="71">
      <x:c r="A71" s="44"/>
      <x:c r="B71" s="44"/>
      <x:c r="C71" s="44"/>
      <x:c r="D71" s="44"/>
      <x:c r="E71" s="44"/>
      <x:c r="F71" s="44"/>
      <x:c r="G71" s="44"/>
      <x:c r="H71" s="44"/>
      <x:c r="I71" s="44"/>
      <x:c r="J71" s="44"/>
      <x:c r="K71" s="44"/>
      <x:c r="L71" s="44"/>
      <x:c r="M71" s="44"/>
      <x:c r="N71" s="44"/>
      <x:c r="O71" s="44"/>
      <x:c r="P71" s="44"/>
      <x:c r="Q71" s="44"/>
      <x:c r="R71" s="44"/>
    </x:row>
    <x:row r="72">
      <x:c r="A72" s="44"/>
      <x:c r="B72" s="44"/>
      <x:c r="C72" s="44"/>
      <x:c r="D72" s="44"/>
      <x:c r="E72" s="44"/>
      <x:c r="F72" s="44"/>
      <x:c r="G72" s="44"/>
      <x:c r="H72" s="44"/>
      <x:c r="I72" s="44"/>
      <x:c r="J72" s="44"/>
      <x:c r="K72" s="44"/>
      <x:c r="L72" s="44"/>
      <x:c r="M72" s="44"/>
      <x:c r="N72" s="44"/>
      <x:c r="O72" s="44"/>
      <x:c r="P72" s="44"/>
      <x:c r="Q72" s="44"/>
      <x:c r="R72" s="44"/>
    </x:row>
    <x:row r="73">
      <x:c r="A73" s="44"/>
      <x:c r="B73" s="44"/>
      <x:c r="C73" s="44"/>
      <x:c r="D73" s="44"/>
      <x:c r="E73" s="44"/>
      <x:c r="F73" s="44"/>
      <x:c r="G73" s="44"/>
      <x:c r="H73" s="44"/>
      <x:c r="I73" s="44"/>
      <x:c r="J73" s="44"/>
      <x:c r="K73" s="44"/>
      <x:c r="L73" s="44"/>
      <x:c r="M73" s="44"/>
      <x:c r="N73" s="44"/>
      <x:c r="O73" s="44"/>
      <x:c r="P73" s="44"/>
      <x:c r="Q73" s="44"/>
      <x:c r="R73" s="44"/>
    </x:row>
    <x:row r="74">
      <x:c r="A74" s="44"/>
      <x:c r="B74" s="44"/>
      <x:c r="C74" s="44"/>
      <x:c r="D74" s="44"/>
      <x:c r="E74" s="44"/>
      <x:c r="F74" s="44"/>
      <x:c r="G74" s="44"/>
      <x:c r="H74" s="44"/>
      <x:c r="I74" s="44"/>
      <x:c r="J74" s="44"/>
      <x:c r="K74" s="44"/>
      <x:c r="L74" s="44"/>
      <x:c r="M74" s="44"/>
      <x:c r="N74" s="44"/>
      <x:c r="O74" s="44"/>
      <x:c r="P74" s="44"/>
      <x:c r="Q74" s="44"/>
      <x:c r="R74" s="44"/>
    </x:row>
    <x:row r="75">
      <x:c r="A75" s="44"/>
      <x:c r="B75" s="44"/>
      <x:c r="C75" s="44"/>
      <x:c r="D75" s="44"/>
      <x:c r="E75" s="44"/>
      <x:c r="F75" s="44"/>
      <x:c r="G75" s="44"/>
      <x:c r="H75" s="44"/>
      <x:c r="I75" s="44"/>
      <x:c r="J75" s="44"/>
      <x:c r="K75" s="44"/>
      <x:c r="L75" s="44"/>
      <x:c r="M75" s="44"/>
      <x:c r="N75" s="44"/>
      <x:c r="O75" s="44"/>
      <x:c r="P75" s="44"/>
      <x:c r="Q75" s="44"/>
      <x:c r="R75" s="44"/>
    </x:row>
    <x:row r="76">
      <x:c r="A76" s="44"/>
      <x:c r="B76" s="44"/>
      <x:c r="C76" s="44"/>
      <x:c r="D76" s="44"/>
      <x:c r="E76" s="44"/>
      <x:c r="F76" s="44"/>
      <x:c r="G76" s="44"/>
      <x:c r="H76" s="44"/>
      <x:c r="I76" s="44"/>
      <x:c r="J76" s="44"/>
      <x:c r="K76" s="44"/>
      <x:c r="L76" s="44"/>
      <x:c r="M76" s="44"/>
      <x:c r="N76" s="44"/>
      <x:c r="O76" s="44"/>
      <x:c r="P76" s="44"/>
      <x:c r="Q76" s="44"/>
      <x:c r="R76" s="44"/>
    </x:row>
    <x:row r="77">
      <x:c r="A77" s="44"/>
      <x:c r="B77" s="44"/>
      <x:c r="C77" s="44"/>
      <x:c r="D77" s="44"/>
      <x:c r="E77" s="44"/>
      <x:c r="F77" s="44"/>
      <x:c r="G77" s="44"/>
      <x:c r="H77" s="44"/>
      <x:c r="I77" s="44"/>
      <x:c r="J77" s="44"/>
      <x:c r="K77" s="44"/>
      <x:c r="L77" s="44"/>
      <x:c r="M77" s="44"/>
      <x:c r="N77" s="44"/>
      <x:c r="O77" s="44"/>
      <x:c r="P77" s="44"/>
      <x:c r="Q77" s="44"/>
      <x:c r="R77" s="44"/>
    </x:row>
    <x:row r="78">
      <x:c r="A78" s="44"/>
      <x:c r="B78" s="44"/>
      <x:c r="C78" s="44"/>
      <x:c r="D78" s="44"/>
      <x:c r="E78" s="44"/>
      <x:c r="F78" s="44"/>
      <x:c r="G78" s="44"/>
      <x:c r="H78" s="44"/>
      <x:c r="I78" s="44"/>
      <x:c r="J78" s="44"/>
      <x:c r="K78" s="44"/>
      <x:c r="L78" s="44"/>
      <x:c r="M78" s="44"/>
      <x:c r="N78" s="44"/>
      <x:c r="O78" s="44"/>
      <x:c r="P78" s="44"/>
      <x:c r="Q78" s="44"/>
      <x:c r="R78" s="44"/>
    </x:row>
    <x:row r="79">
      <x:c r="A79" s="44"/>
      <x:c r="B79" s="44"/>
      <x:c r="C79" s="44"/>
      <x:c r="D79" s="44"/>
      <x:c r="E79" s="44"/>
      <x:c r="F79" s="44"/>
      <x:c r="G79" s="44"/>
      <x:c r="H79" s="44"/>
      <x:c r="I79" s="44"/>
      <x:c r="J79" s="44"/>
      <x:c r="K79" s="44"/>
      <x:c r="L79" s="44"/>
      <x:c r="M79" s="44"/>
      <x:c r="N79" s="44"/>
      <x:c r="O79" s="44"/>
      <x:c r="P79" s="44"/>
      <x:c r="Q79" s="44"/>
      <x:c r="R79" s="44"/>
    </x:row>
    <x:row r="80">
      <x:c r="A80" s="44"/>
      <x:c r="B80" s="44"/>
      <x:c r="C80" s="44"/>
      <x:c r="D80" s="44"/>
      <x:c r="E80" s="44"/>
      <x:c r="F80" s="44"/>
      <x:c r="G80" s="44"/>
      <x:c r="H80" s="44"/>
      <x:c r="I80" s="44"/>
      <x:c r="J80" s="44"/>
      <x:c r="K80" s="44"/>
      <x:c r="L80" s="44"/>
      <x:c r="M80" s="44"/>
      <x:c r="N80" s="44"/>
      <x:c r="O80" s="44"/>
      <x:c r="P80" s="44"/>
      <x:c r="Q80" s="44"/>
      <x:c r="R80" s="44"/>
    </x:row>
    <x:row r="81">
      <x:c r="A81" s="44"/>
      <x:c r="B81" s="44"/>
      <x:c r="C81" s="44"/>
      <x:c r="D81" s="44"/>
      <x:c r="E81" s="44"/>
      <x:c r="F81" s="44"/>
      <x:c r="G81" s="44"/>
      <x:c r="H81" s="44"/>
      <x:c r="I81" s="44"/>
      <x:c r="J81" s="44"/>
      <x:c r="K81" s="44"/>
      <x:c r="L81" s="44"/>
      <x:c r="M81" s="44"/>
      <x:c r="N81" s="44"/>
      <x:c r="O81" s="44"/>
      <x:c r="P81" s="44"/>
      <x:c r="Q81" s="44"/>
      <x:c r="R81" s="44"/>
    </x:row>
    <x:row r="82">
      <x:c r="A82" s="44"/>
      <x:c r="B82" s="44"/>
      <x:c r="C82" s="44"/>
      <x:c r="D82" s="44"/>
      <x:c r="E82" s="44"/>
      <x:c r="F82" s="44"/>
      <x:c r="G82" s="44"/>
      <x:c r="H82" s="44"/>
      <x:c r="I82" s="44"/>
      <x:c r="J82" s="44"/>
      <x:c r="K82" s="44"/>
      <x:c r="L82" s="44"/>
      <x:c r="M82" s="44"/>
      <x:c r="N82" s="44"/>
      <x:c r="O82" s="44"/>
      <x:c r="P82" s="44"/>
      <x:c r="Q82" s="44"/>
      <x:c r="R82" s="44"/>
    </x:row>
    <x:row r="83">
      <x:c r="A83" s="44"/>
      <x:c r="B83" s="44"/>
      <x:c r="C83" s="44"/>
      <x:c r="D83" s="44"/>
      <x:c r="E83" s="44"/>
      <x:c r="F83" s="44"/>
      <x:c r="G83" s="44"/>
      <x:c r="H83" s="44"/>
      <x:c r="I83" s="44"/>
      <x:c r="J83" s="44"/>
      <x:c r="K83" s="44"/>
      <x:c r="L83" s="44"/>
      <x:c r="M83" s="44"/>
      <x:c r="N83" s="44"/>
      <x:c r="O83" s="44"/>
      <x:c r="P83" s="44"/>
      <x:c r="Q83" s="44"/>
      <x:c r="R83" s="44"/>
    </x:row>
    <x:row r="84">
      <x:c r="A84" s="44"/>
      <x:c r="B84" s="44"/>
      <x:c r="C84" s="44"/>
      <x:c r="D84" s="44"/>
      <x:c r="E84" s="44"/>
      <x:c r="F84" s="44"/>
      <x:c r="G84" s="44"/>
      <x:c r="H84" s="44"/>
      <x:c r="I84" s="44"/>
      <x:c r="J84" s="44"/>
      <x:c r="K84" s="44"/>
      <x:c r="L84" s="44"/>
      <x:c r="M84" s="44"/>
      <x:c r="N84" s="44"/>
      <x:c r="O84" s="44"/>
      <x:c r="P84" s="44"/>
      <x:c r="Q84" s="44"/>
      <x:c r="R84" s="44"/>
    </x:row>
    <x:row r="85">
      <x:c r="A85" s="44"/>
      <x:c r="B85" s="44"/>
      <x:c r="C85" s="44"/>
      <x:c r="D85" s="44"/>
      <x:c r="E85" s="44"/>
      <x:c r="F85" s="44"/>
      <x:c r="G85" s="44"/>
      <x:c r="H85" s="44"/>
      <x:c r="I85" s="44"/>
      <x:c r="J85" s="44"/>
      <x:c r="K85" s="44"/>
      <x:c r="L85" s="44"/>
      <x:c r="M85" s="44"/>
      <x:c r="N85" s="44"/>
      <x:c r="O85" s="44"/>
      <x:c r="P85" s="44"/>
      <x:c r="Q85" s="44"/>
      <x:c r="R85" s="44"/>
    </x:row>
    <x:row r="86">
      <x:c r="A86" s="44"/>
      <x:c r="B86" s="44"/>
      <x:c r="C86" s="44"/>
      <x:c r="D86" s="44"/>
      <x:c r="E86" s="44"/>
      <x:c r="F86" s="44"/>
      <x:c r="G86" s="44"/>
      <x:c r="H86" s="44"/>
      <x:c r="I86" s="44"/>
      <x:c r="J86" s="44"/>
      <x:c r="K86" s="44"/>
      <x:c r="L86" s="44"/>
      <x:c r="M86" s="44"/>
      <x:c r="N86" s="44"/>
      <x:c r="O86" s="44"/>
      <x:c r="P86" s="44"/>
      <x:c r="Q86" s="44"/>
      <x:c r="R86" s="44"/>
    </x:row>
    <x:row r="87">
      <x:c r="A87" s="44"/>
      <x:c r="B87" s="44"/>
      <x:c r="C87" s="44"/>
      <x:c r="D87" s="44"/>
      <x:c r="E87" s="44"/>
      <x:c r="F87" s="44"/>
      <x:c r="G87" s="44"/>
      <x:c r="H87" s="44"/>
      <x:c r="I87" s="44"/>
      <x:c r="J87" s="44"/>
      <x:c r="K87" s="44"/>
      <x:c r="L87" s="44"/>
      <x:c r="M87" s="44"/>
      <x:c r="N87" s="44"/>
      <x:c r="O87" s="44"/>
      <x:c r="P87" s="44"/>
      <x:c r="Q87" s="44"/>
      <x:c r="R87" s="44"/>
    </x:row>
    <x:row r="88">
      <x:c r="A88" s="44"/>
      <x:c r="B88" s="44"/>
      <x:c r="C88" s="44"/>
      <x:c r="D88" s="44"/>
      <x:c r="E88" s="44"/>
      <x:c r="F88" s="44"/>
      <x:c r="G88" s="44"/>
      <x:c r="H88" s="44"/>
      <x:c r="I88" s="44"/>
      <x:c r="J88" s="44"/>
      <x:c r="K88" s="44"/>
      <x:c r="L88" s="44"/>
      <x:c r="M88" s="44"/>
      <x:c r="N88" s="44"/>
      <x:c r="O88" s="44"/>
      <x:c r="P88" s="44"/>
      <x:c r="Q88" s="44"/>
      <x:c r="R88" s="44"/>
    </x:row>
    <x:row r="89">
      <x:c r="A89" s="44"/>
      <x:c r="B89" s="44"/>
      <x:c r="C89" s="44"/>
      <x:c r="D89" s="44"/>
      <x:c r="E89" s="44"/>
      <x:c r="F89" s="44"/>
      <x:c r="G89" s="44"/>
      <x:c r="H89" s="44"/>
      <x:c r="I89" s="44"/>
      <x:c r="J89" s="44"/>
      <x:c r="K89" s="44"/>
      <x:c r="L89" s="44"/>
      <x:c r="M89" s="44"/>
      <x:c r="N89" s="44"/>
      <x:c r="O89" s="44"/>
      <x:c r="P89" s="44"/>
      <x:c r="Q89" s="44"/>
      <x:c r="R89" s="44"/>
    </x:row>
    <x:row r="90">
      <x:c r="A90" s="44"/>
      <x:c r="B90" s="44"/>
      <x:c r="C90" s="44"/>
      <x:c r="D90" s="44"/>
      <x:c r="E90" s="44"/>
      <x:c r="F90" s="44"/>
      <x:c r="G90" s="44"/>
      <x:c r="H90" s="44"/>
      <x:c r="I90" s="44"/>
      <x:c r="J90" s="44"/>
      <x:c r="K90" s="44"/>
      <x:c r="L90" s="44"/>
      <x:c r="M90" s="44"/>
      <x:c r="N90" s="44"/>
      <x:c r="O90" s="44"/>
      <x:c r="P90" s="44"/>
      <x:c r="Q90" s="44"/>
      <x:c r="R90" s="44"/>
    </x:row>
    <x:row r="91">
      <x:c r="A91" s="44"/>
      <x:c r="B91" s="44"/>
      <x:c r="C91" s="44"/>
      <x:c r="D91" s="44"/>
      <x:c r="E91" s="44"/>
      <x:c r="F91" s="44"/>
      <x:c r="G91" s="44"/>
      <x:c r="H91" s="44"/>
      <x:c r="I91" s="44"/>
      <x:c r="J91" s="44"/>
      <x:c r="K91" s="44"/>
      <x:c r="L91" s="44"/>
      <x:c r="M91" s="44"/>
      <x:c r="N91" s="44"/>
      <x:c r="O91" s="44"/>
      <x:c r="P91" s="44"/>
      <x:c r="Q91" s="44"/>
      <x:c r="R91" s="44"/>
    </x:row>
    <x:row r="92">
      <x:c r="A92" s="44"/>
      <x:c r="B92" s="44"/>
      <x:c r="C92" s="44"/>
      <x:c r="D92" s="44"/>
      <x:c r="E92" s="44"/>
      <x:c r="F92" s="44"/>
      <x:c r="G92" s="44"/>
      <x:c r="H92" s="44"/>
      <x:c r="I92" s="44"/>
      <x:c r="J92" s="44"/>
      <x:c r="K92" s="44"/>
      <x:c r="L92" s="44"/>
      <x:c r="M92" s="44"/>
      <x:c r="N92" s="44"/>
      <x:c r="O92" s="44"/>
      <x:c r="P92" s="44"/>
      <x:c r="Q92" s="44"/>
      <x:c r="R92" s="44"/>
    </x:row>
    <x:row r="93">
      <x:c r="A93" s="44"/>
      <x:c r="B93" s="44"/>
      <x:c r="C93" s="44"/>
      <x:c r="D93" s="44"/>
      <x:c r="E93" s="44"/>
      <x:c r="F93" s="44"/>
      <x:c r="G93" s="44"/>
      <x:c r="H93" s="44"/>
      <x:c r="I93" s="44"/>
      <x:c r="J93" s="44"/>
      <x:c r="K93" s="44"/>
      <x:c r="L93" s="44"/>
      <x:c r="M93" s="44"/>
      <x:c r="N93" s="44"/>
      <x:c r="O93" s="44"/>
      <x:c r="P93" s="44"/>
      <x:c r="Q93" s="44"/>
      <x:c r="R93" s="44"/>
    </x:row>
    <x:row r="94">
      <x:c r="A94" s="44"/>
      <x:c r="B94" s="44"/>
      <x:c r="C94" s="44"/>
      <x:c r="D94" s="44"/>
      <x:c r="E94" s="44"/>
      <x:c r="F94" s="44"/>
      <x:c r="G94" s="44"/>
      <x:c r="H94" s="44"/>
      <x:c r="I94" s="44"/>
      <x:c r="J94" s="44"/>
      <x:c r="K94" s="44"/>
      <x:c r="L94" s="44"/>
      <x:c r="M94" s="44"/>
      <x:c r="N94" s="44"/>
      <x:c r="O94" s="44"/>
      <x:c r="P94" s="44"/>
      <x:c r="Q94" s="44"/>
      <x:c r="R94" s="44"/>
    </x:row>
    <x:row r="95">
      <x:c r="A95" s="44"/>
      <x:c r="B95" s="44"/>
      <x:c r="C95" s="44"/>
      <x:c r="D95" s="44"/>
      <x:c r="E95" s="44"/>
      <x:c r="F95" s="44"/>
      <x:c r="G95" s="44"/>
      <x:c r="H95" s="44"/>
      <x:c r="I95" s="44"/>
      <x:c r="J95" s="44"/>
      <x:c r="K95" s="44"/>
      <x:c r="L95" s="44"/>
      <x:c r="M95" s="44"/>
      <x:c r="N95" s="44"/>
      <x:c r="O95" s="44"/>
      <x:c r="P95" s="44"/>
      <x:c r="Q95" s="44"/>
      <x:c r="R95" s="44"/>
    </x:row>
    <x:row r="96">
      <x:c r="A96" s="44"/>
      <x:c r="B96" s="44"/>
      <x:c r="C96" s="44"/>
      <x:c r="D96" s="44"/>
      <x:c r="E96" s="44"/>
      <x:c r="F96" s="44"/>
      <x:c r="G96" s="44"/>
      <x:c r="H96" s="44"/>
      <x:c r="I96" s="44"/>
      <x:c r="J96" s="44"/>
      <x:c r="K96" s="44"/>
      <x:c r="L96" s="44"/>
      <x:c r="M96" s="44"/>
      <x:c r="N96" s="44"/>
      <x:c r="O96" s="44"/>
      <x:c r="P96" s="44"/>
      <x:c r="Q96" s="44"/>
      <x:c r="R96" s="44"/>
    </x:row>
    <x:row r="97">
      <x:c r="A97" s="44"/>
      <x:c r="B97" s="44"/>
      <x:c r="C97" s="44"/>
      <x:c r="D97" s="44"/>
      <x:c r="E97" s="44"/>
      <x:c r="F97" s="44"/>
      <x:c r="G97" s="44"/>
      <x:c r="H97" s="44"/>
      <x:c r="I97" s="44"/>
      <x:c r="J97" s="44"/>
      <x:c r="K97" s="44"/>
      <x:c r="L97" s="44"/>
      <x:c r="M97" s="44"/>
      <x:c r="N97" s="44"/>
      <x:c r="O97" s="44"/>
      <x:c r="P97" s="44"/>
      <x:c r="Q97" s="44"/>
      <x:c r="R97" s="44"/>
    </x:row>
    <x:row r="98">
      <x:c r="A98" s="44"/>
      <x:c r="B98" s="44"/>
      <x:c r="C98" s="44"/>
      <x:c r="D98" s="44"/>
      <x:c r="E98" s="44"/>
      <x:c r="F98" s="44"/>
      <x:c r="G98" s="44"/>
      <x:c r="H98" s="44"/>
      <x:c r="I98" s="44"/>
      <x:c r="J98" s="44"/>
      <x:c r="K98" s="44"/>
      <x:c r="L98" s="44"/>
      <x:c r="M98" s="44"/>
      <x:c r="N98" s="44"/>
      <x:c r="O98" s="44"/>
      <x:c r="P98" s="44"/>
      <x:c r="Q98" s="44"/>
      <x:c r="R98" s="44"/>
    </x:row>
    <x:row r="99">
      <x:c r="A99" s="44"/>
      <x:c r="B99" s="44"/>
      <x:c r="C99" s="44"/>
      <x:c r="D99" s="44"/>
      <x:c r="E99" s="44"/>
      <x:c r="F99" s="44"/>
      <x:c r="G99" s="44"/>
      <x:c r="H99" s="44"/>
      <x:c r="I99" s="44"/>
      <x:c r="J99" s="44"/>
      <x:c r="K99" s="44"/>
      <x:c r="L99" s="44"/>
      <x:c r="M99" s="44"/>
      <x:c r="N99" s="44"/>
      <x:c r="O99" s="44"/>
      <x:c r="P99" s="44"/>
      <x:c r="Q99" s="44"/>
      <x:c r="R99" s="44"/>
    </x:row>
    <x:row r="100">
      <x:c r="A100" s="44"/>
      <x:c r="B100" s="44"/>
      <x:c r="C100" s="44"/>
      <x:c r="D100" s="44"/>
      <x:c r="E100" s="44"/>
      <x:c r="F100" s="44"/>
      <x:c r="G100" s="44"/>
      <x:c r="H100" s="44"/>
      <x:c r="I100" s="44"/>
      <x:c r="J100" s="44"/>
      <x:c r="K100" s="44"/>
      <x:c r="L100" s="44"/>
      <x:c r="M100" s="44"/>
      <x:c r="N100" s="44"/>
      <x:c r="O100" s="44"/>
      <x:c r="P100" s="44"/>
      <x:c r="Q100" s="44"/>
      <x:c r="R100" s="44"/>
    </x:row>
    <x:row r="101">
      <x:c r="A101" s="44"/>
      <x:c r="B101" s="44"/>
      <x:c r="C101" s="44"/>
      <x:c r="D101" s="44"/>
      <x:c r="E101" s="44"/>
      <x:c r="F101" s="44"/>
      <x:c r="G101" s="44"/>
      <x:c r="H101" s="44"/>
      <x:c r="I101" s="44"/>
      <x:c r="J101" s="44"/>
      <x:c r="K101" s="44"/>
      <x:c r="L101" s="44"/>
      <x:c r="M101" s="44"/>
      <x:c r="N101" s="44"/>
      <x:c r="O101" s="44"/>
      <x:c r="P101" s="44"/>
      <x:c r="Q101" s="44"/>
      <x:c r="R101" s="44"/>
    </x:row>
    <x:row r="102">
      <x:c r="A102" s="44"/>
      <x:c r="B102" s="44"/>
      <x:c r="C102" s="44"/>
      <x:c r="D102" s="44"/>
      <x:c r="E102" s="44"/>
      <x:c r="F102" s="44"/>
      <x:c r="G102" s="44"/>
      <x:c r="H102" s="44"/>
      <x:c r="I102" s="44"/>
      <x:c r="J102" s="44"/>
      <x:c r="K102" s="44"/>
      <x:c r="L102" s="44"/>
      <x:c r="M102" s="44"/>
      <x:c r="N102" s="44"/>
      <x:c r="O102" s="44"/>
      <x:c r="P102" s="44"/>
      <x:c r="Q102" s="44"/>
      <x:c r="R102" s="44"/>
    </x:row>
    <x:row r="103">
      <x:c r="A103" s="44"/>
      <x:c r="B103" s="44"/>
      <x:c r="C103" s="44"/>
      <x:c r="D103" s="44"/>
      <x:c r="E103" s="44"/>
      <x:c r="F103" s="44"/>
      <x:c r="G103" s="44"/>
      <x:c r="H103" s="44"/>
      <x:c r="I103" s="44"/>
      <x:c r="J103" s="44"/>
      <x:c r="K103" s="44"/>
      <x:c r="L103" s="44"/>
      <x:c r="M103" s="44"/>
      <x:c r="N103" s="44"/>
      <x:c r="O103" s="44"/>
      <x:c r="P103" s="44"/>
      <x:c r="Q103" s="44"/>
      <x:c r="R103" s="44"/>
    </x:row>
    <x:row r="104">
      <x:c r="A104" s="44"/>
      <x:c r="B104" s="44"/>
      <x:c r="C104" s="44"/>
      <x:c r="D104" s="44"/>
      <x:c r="E104" s="44"/>
      <x:c r="F104" s="44"/>
      <x:c r="G104" s="44"/>
      <x:c r="H104" s="44"/>
      <x:c r="I104" s="44"/>
      <x:c r="J104" s="44"/>
      <x:c r="K104" s="44"/>
      <x:c r="L104" s="44"/>
      <x:c r="M104" s="44"/>
      <x:c r="N104" s="44"/>
      <x:c r="O104" s="44"/>
      <x:c r="P104" s="44"/>
      <x:c r="Q104" s="44"/>
      <x:c r="R104" s="44"/>
    </x:row>
    <x:row r="105">
      <x:c r="A105" s="44"/>
      <x:c r="B105" s="44"/>
      <x:c r="C105" s="44"/>
      <x:c r="D105" s="44"/>
      <x:c r="E105" s="44"/>
      <x:c r="F105" s="44"/>
      <x:c r="G105" s="44"/>
      <x:c r="H105" s="44"/>
      <x:c r="I105" s="44"/>
      <x:c r="J105" s="44"/>
      <x:c r="K105" s="44"/>
      <x:c r="L105" s="44"/>
      <x:c r="M105" s="44"/>
      <x:c r="N105" s="44"/>
      <x:c r="O105" s="44"/>
      <x:c r="P105" s="44"/>
      <x:c r="Q105" s="44"/>
      <x:c r="R105" s="44"/>
    </x:row>
    <x:row r="106">
      <x:c r="A106" s="44"/>
      <x:c r="B106" s="44"/>
      <x:c r="C106" s="44"/>
      <x:c r="D106" s="44"/>
      <x:c r="E106" s="44"/>
      <x:c r="F106" s="44"/>
      <x:c r="G106" s="44"/>
      <x:c r="H106" s="44"/>
      <x:c r="I106" s="44"/>
      <x:c r="J106" s="44"/>
      <x:c r="K106" s="44"/>
      <x:c r="L106" s="44"/>
      <x:c r="M106" s="44"/>
      <x:c r="N106" s="44"/>
      <x:c r="O106" s="44"/>
      <x:c r="P106" s="44"/>
      <x:c r="Q106" s="44"/>
      <x:c r="R106" s="44"/>
    </x:row>
    <x:row r="107">
      <x:c r="A107" s="44"/>
      <x:c r="B107" s="44"/>
      <x:c r="C107" s="44"/>
      <x:c r="D107" s="44"/>
      <x:c r="E107" s="44"/>
      <x:c r="F107" s="44"/>
      <x:c r="G107" s="44"/>
      <x:c r="H107" s="44"/>
      <x:c r="I107" s="44"/>
      <x:c r="J107" s="44"/>
      <x:c r="K107" s="44"/>
      <x:c r="L107" s="44"/>
      <x:c r="M107" s="44"/>
      <x:c r="N107" s="44"/>
      <x:c r="O107" s="44"/>
      <x:c r="P107" s="44"/>
      <x:c r="Q107" s="44"/>
      <x:c r="R107" s="44"/>
    </x:row>
    <x:row r="108">
      <x:c r="A108" s="44"/>
      <x:c r="B108" s="44"/>
      <x:c r="C108" s="44"/>
      <x:c r="D108" s="44"/>
      <x:c r="E108" s="44"/>
      <x:c r="F108" s="44"/>
      <x:c r="G108" s="44"/>
      <x:c r="H108" s="44"/>
      <x:c r="I108" s="44"/>
      <x:c r="J108" s="44"/>
      <x:c r="K108" s="44"/>
      <x:c r="L108" s="44"/>
      <x:c r="M108" s="44"/>
      <x:c r="N108" s="44"/>
      <x:c r="O108" s="44"/>
      <x:c r="P108" s="44"/>
      <x:c r="Q108" s="44"/>
      <x:c r="R108" s="44"/>
    </x:row>
    <x:row r="109">
      <x:c r="A109" s="44"/>
      <x:c r="B109" s="44"/>
      <x:c r="C109" s="44"/>
      <x:c r="D109" s="44"/>
      <x:c r="E109" s="44"/>
      <x:c r="F109" s="44"/>
      <x:c r="G109" s="44"/>
      <x:c r="H109" s="44"/>
      <x:c r="I109" s="44"/>
      <x:c r="J109" s="44"/>
      <x:c r="K109" s="44"/>
      <x:c r="L109" s="44"/>
      <x:c r="M109" s="44"/>
      <x:c r="N109" s="44"/>
      <x:c r="O109" s="44"/>
      <x:c r="P109" s="44"/>
      <x:c r="Q109" s="44"/>
      <x:c r="R109" s="44"/>
    </x:row>
    <x:row r="110">
      <x:c r="A110" s="44"/>
      <x:c r="B110" s="44"/>
      <x:c r="C110" s="44"/>
      <x:c r="D110" s="44"/>
      <x:c r="E110" s="44"/>
      <x:c r="F110" s="44"/>
      <x:c r="G110" s="44"/>
      <x:c r="H110" s="44"/>
      <x:c r="I110" s="44"/>
      <x:c r="J110" s="44"/>
      <x:c r="K110" s="44"/>
      <x:c r="L110" s="44"/>
      <x:c r="M110" s="44"/>
      <x:c r="N110" s="44"/>
      <x:c r="O110" s="44"/>
      <x:c r="P110" s="44"/>
      <x:c r="Q110" s="44"/>
      <x:c r="R110" s="44"/>
    </x:row>
    <x:row r="111">
      <x:c r="A111" s="44"/>
      <x:c r="B111" s="44"/>
      <x:c r="C111" s="44"/>
      <x:c r="D111" s="44"/>
      <x:c r="E111" s="44"/>
      <x:c r="F111" s="44"/>
      <x:c r="G111" s="44"/>
      <x:c r="H111" s="44"/>
      <x:c r="I111" s="44"/>
      <x:c r="J111" s="44"/>
      <x:c r="K111" s="44"/>
      <x:c r="L111" s="44"/>
      <x:c r="M111" s="44"/>
      <x:c r="N111" s="44"/>
      <x:c r="O111" s="44"/>
      <x:c r="P111" s="44"/>
      <x:c r="Q111" s="44"/>
      <x:c r="R111" s="44"/>
    </x:row>
    <x:row r="112">
      <x:c r="A112" s="44"/>
      <x:c r="B112" s="44"/>
      <x:c r="C112" s="44"/>
      <x:c r="D112" s="44"/>
      <x:c r="E112" s="44"/>
      <x:c r="F112" s="44"/>
      <x:c r="G112" s="44"/>
      <x:c r="H112" s="44"/>
      <x:c r="I112" s="44"/>
      <x:c r="J112" s="44"/>
      <x:c r="K112" s="44"/>
      <x:c r="L112" s="44"/>
      <x:c r="M112" s="44"/>
      <x:c r="N112" s="44"/>
      <x:c r="O112" s="44"/>
      <x:c r="P112" s="44"/>
      <x:c r="Q112" s="44"/>
      <x:c r="R112" s="44"/>
    </x:row>
    <x:row r="113">
      <x:c r="A113" s="44"/>
      <x:c r="B113" s="44"/>
      <x:c r="C113" s="44"/>
      <x:c r="D113" s="44"/>
      <x:c r="E113" s="44"/>
      <x:c r="F113" s="44"/>
      <x:c r="G113" s="44"/>
      <x:c r="H113" s="44"/>
      <x:c r="I113" s="44"/>
      <x:c r="J113" s="44"/>
      <x:c r="K113" s="44"/>
      <x:c r="L113" s="44"/>
      <x:c r="M113" s="44"/>
      <x:c r="N113" s="44"/>
      <x:c r="O113" s="44"/>
      <x:c r="P113" s="44"/>
      <x:c r="Q113" s="44"/>
      <x:c r="R113" s="44"/>
    </x:row>
    <x:row r="114">
      <x:c r="A114" s="44"/>
      <x:c r="B114" s="44"/>
      <x:c r="C114" s="44"/>
      <x:c r="D114" s="44"/>
      <x:c r="E114" s="44"/>
      <x:c r="F114" s="44"/>
      <x:c r="G114" s="44"/>
      <x:c r="H114" s="44"/>
      <x:c r="I114" s="44"/>
      <x:c r="J114" s="44"/>
      <x:c r="K114" s="44"/>
      <x:c r="L114" s="44"/>
      <x:c r="M114" s="44"/>
      <x:c r="N114" s="44"/>
      <x:c r="O114" s="44"/>
      <x:c r="P114" s="44"/>
      <x:c r="Q114" s="44"/>
      <x:c r="R114" s="44"/>
    </x:row>
    <x:row r="115">
      <x:c r="A115" s="44"/>
      <x:c r="B115" s="44"/>
      <x:c r="C115" s="44"/>
      <x:c r="D115" s="44"/>
      <x:c r="E115" s="44"/>
      <x:c r="F115" s="44"/>
      <x:c r="G115" s="44"/>
      <x:c r="H115" s="44"/>
      <x:c r="I115" s="44"/>
      <x:c r="J115" s="44"/>
      <x:c r="K115" s="44"/>
      <x:c r="L115" s="44"/>
      <x:c r="M115" s="44"/>
      <x:c r="N115" s="44"/>
      <x:c r="O115" s="44"/>
      <x:c r="P115" s="44"/>
      <x:c r="Q115" s="44"/>
      <x:c r="R115" s="44"/>
    </x:row>
    <x:row r="116">
      <x:c r="A116" s="44"/>
      <x:c r="B116" s="44"/>
      <x:c r="C116" s="44"/>
      <x:c r="D116" s="44"/>
      <x:c r="E116" s="44"/>
      <x:c r="F116" s="44"/>
      <x:c r="G116" s="44"/>
      <x:c r="H116" s="44"/>
      <x:c r="I116" s="44"/>
      <x:c r="J116" s="44"/>
      <x:c r="K116" s="44"/>
      <x:c r="L116" s="44"/>
      <x:c r="M116" s="44"/>
      <x:c r="N116" s="44"/>
      <x:c r="O116" s="44"/>
      <x:c r="P116" s="44"/>
      <x:c r="Q116" s="44"/>
      <x:c r="R116" s="44"/>
    </x:row>
    <x:row r="117">
      <x:c r="A117" s="44"/>
      <x:c r="B117" s="44"/>
      <x:c r="C117" s="44"/>
      <x:c r="D117" s="44"/>
      <x:c r="E117" s="44"/>
      <x:c r="F117" s="44"/>
      <x:c r="G117" s="44"/>
      <x:c r="H117" s="44"/>
      <x:c r="I117" s="44"/>
      <x:c r="J117" s="44"/>
      <x:c r="K117" s="44"/>
      <x:c r="L117" s="44"/>
      <x:c r="M117" s="44"/>
      <x:c r="N117" s="44"/>
      <x:c r="O117" s="44"/>
      <x:c r="P117" s="44"/>
      <x:c r="Q117" s="44"/>
      <x:c r="R117" s="44"/>
    </x:row>
    <x:row r="118">
      <x:c r="A118" s="44"/>
      <x:c r="B118" s="44"/>
      <x:c r="C118" s="44"/>
      <x:c r="D118" s="44"/>
      <x:c r="E118" s="44"/>
      <x:c r="F118" s="44"/>
      <x:c r="G118" s="44"/>
      <x:c r="H118" s="44"/>
      <x:c r="I118" s="44"/>
      <x:c r="J118" s="44"/>
      <x:c r="K118" s="44"/>
      <x:c r="L118" s="44"/>
      <x:c r="M118" s="44"/>
      <x:c r="N118" s="44"/>
      <x:c r="O118" s="44"/>
      <x:c r="P118" s="44"/>
      <x:c r="Q118" s="44"/>
      <x:c r="R118" s="44"/>
    </x:row>
    <x:row r="119">
      <x:c r="A119" s="44"/>
      <x:c r="B119" s="44"/>
      <x:c r="C119" s="44"/>
      <x:c r="D119" s="44"/>
      <x:c r="E119" s="44"/>
      <x:c r="F119" s="44"/>
      <x:c r="G119" s="44"/>
      <x:c r="H119" s="44"/>
      <x:c r="I119" s="44"/>
      <x:c r="J119" s="44"/>
      <x:c r="K119" s="44"/>
      <x:c r="L119" s="44"/>
      <x:c r="M119" s="44"/>
      <x:c r="N119" s="44"/>
      <x:c r="O119" s="44"/>
      <x:c r="P119" s="44"/>
      <x:c r="Q119" s="44"/>
      <x:c r="R119" s="44"/>
    </x:row>
    <x:row r="120">
      <x:c r="A120" s="44"/>
      <x:c r="B120" s="44"/>
      <x:c r="C120" s="44"/>
      <x:c r="D120" s="44"/>
      <x:c r="E120" s="44"/>
      <x:c r="F120" s="44"/>
      <x:c r="G120" s="44"/>
      <x:c r="H120" s="44"/>
      <x:c r="I120" s="44"/>
      <x:c r="J120" s="44"/>
      <x:c r="K120" s="44"/>
      <x:c r="L120" s="44"/>
      <x:c r="M120" s="44"/>
      <x:c r="N120" s="44"/>
      <x:c r="O120" s="44"/>
      <x:c r="P120" s="44"/>
      <x:c r="Q120" s="44"/>
      <x:c r="R120" s="44"/>
    </x:row>
    <x:row r="121">
      <x:c r="A121" s="44"/>
      <x:c r="B121" s="44"/>
      <x:c r="C121" s="44"/>
      <x:c r="D121" s="44"/>
      <x:c r="E121" s="44"/>
      <x:c r="F121" s="44"/>
      <x:c r="G121" s="44"/>
      <x:c r="H121" s="44"/>
      <x:c r="I121" s="44"/>
      <x:c r="J121" s="44"/>
      <x:c r="K121" s="44"/>
      <x:c r="L121" s="44"/>
      <x:c r="M121" s="44"/>
      <x:c r="N121" s="44"/>
      <x:c r="O121" s="44"/>
      <x:c r="P121" s="44"/>
      <x:c r="Q121" s="44"/>
      <x:c r="R121" s="44"/>
    </x:row>
    <x:row r="122">
      <x:c r="A122" s="44"/>
      <x:c r="B122" s="44"/>
      <x:c r="C122" s="44"/>
      <x:c r="D122" s="44"/>
      <x:c r="E122" s="44"/>
      <x:c r="F122" s="44"/>
      <x:c r="G122" s="44"/>
      <x:c r="H122" s="44"/>
      <x:c r="I122" s="44"/>
      <x:c r="J122" s="44"/>
      <x:c r="K122" s="44"/>
      <x:c r="L122" s="44"/>
      <x:c r="M122" s="44"/>
      <x:c r="N122" s="44"/>
      <x:c r="O122" s="44"/>
      <x:c r="P122" s="44"/>
      <x:c r="Q122" s="44"/>
      <x:c r="R122" s="44"/>
    </x:row>
    <x:row r="123">
      <x:c r="A123" s="44"/>
      <x:c r="B123" s="44"/>
      <x:c r="C123" s="44"/>
      <x:c r="D123" s="44"/>
      <x:c r="E123" s="44"/>
      <x:c r="F123" s="44"/>
      <x:c r="G123" s="44"/>
      <x:c r="H123" s="44"/>
      <x:c r="I123" s="44"/>
      <x:c r="J123" s="44"/>
      <x:c r="K123" s="44"/>
      <x:c r="L123" s="44"/>
      <x:c r="M123" s="44"/>
      <x:c r="N123" s="44"/>
      <x:c r="O123" s="44"/>
      <x:c r="P123" s="44"/>
      <x:c r="Q123" s="44"/>
      <x:c r="R123" s="44"/>
    </x:row>
    <x:row r="124">
      <x:c r="A124" s="44"/>
      <x:c r="B124" s="44"/>
      <x:c r="C124" s="44"/>
      <x:c r="D124" s="44"/>
      <x:c r="E124" s="44"/>
      <x:c r="F124" s="44"/>
      <x:c r="G124" s="44"/>
      <x:c r="H124" s="44"/>
      <x:c r="I124" s="44"/>
      <x:c r="J124" s="44"/>
      <x:c r="K124" s="44"/>
      <x:c r="L124" s="44"/>
      <x:c r="M124" s="44"/>
      <x:c r="N124" s="44"/>
      <x:c r="O124" s="44"/>
      <x:c r="P124" s="44"/>
      <x:c r="Q124" s="44"/>
      <x:c r="R124" s="44"/>
    </x:row>
    <x:row r="125">
      <x:c r="A125" s="44"/>
      <x:c r="B125" s="44"/>
      <x:c r="C125" s="44"/>
      <x:c r="D125" s="44"/>
      <x:c r="E125" s="44"/>
      <x:c r="F125" s="44"/>
      <x:c r="G125" s="44"/>
      <x:c r="H125" s="44"/>
      <x:c r="I125" s="44"/>
      <x:c r="J125" s="44"/>
      <x:c r="K125" s="44"/>
      <x:c r="L125" s="44"/>
      <x:c r="M125" s="44"/>
      <x:c r="N125" s="44"/>
      <x:c r="O125" s="44"/>
      <x:c r="P125" s="44"/>
      <x:c r="Q125" s="44"/>
      <x:c r="R125" s="44"/>
    </x:row>
    <x:row r="126">
      <x:c r="A126" s="44"/>
      <x:c r="B126" s="44"/>
      <x:c r="C126" s="44"/>
      <x:c r="D126" s="44"/>
      <x:c r="E126" s="44"/>
      <x:c r="F126" s="44"/>
      <x:c r="G126" s="44"/>
      <x:c r="H126" s="44"/>
      <x:c r="I126" s="44"/>
      <x:c r="J126" s="44"/>
      <x:c r="K126" s="44"/>
      <x:c r="L126" s="44"/>
      <x:c r="M126" s="44"/>
      <x:c r="N126" s="44"/>
      <x:c r="O126" s="44"/>
      <x:c r="P126" s="44"/>
      <x:c r="Q126" s="44"/>
      <x:c r="R126" s="44"/>
    </x:row>
    <x:row r="127">
      <x:c r="A127" s="44"/>
      <x:c r="B127" s="44"/>
      <x:c r="C127" s="44"/>
      <x:c r="D127" s="44"/>
      <x:c r="E127" s="44"/>
      <x:c r="F127" s="44"/>
      <x:c r="G127" s="44"/>
      <x:c r="H127" s="44"/>
      <x:c r="I127" s="44"/>
      <x:c r="J127" s="44"/>
      <x:c r="K127" s="44"/>
      <x:c r="L127" s="44"/>
      <x:c r="M127" s="44"/>
      <x:c r="N127" s="44"/>
      <x:c r="O127" s="44"/>
      <x:c r="P127" s="44"/>
      <x:c r="Q127" s="44"/>
      <x:c r="R127" s="44"/>
    </x:row>
    <x:row r="128">
      <x:c r="A128" s="44"/>
      <x:c r="B128" s="44"/>
      <x:c r="C128" s="44"/>
      <x:c r="D128" s="44"/>
      <x:c r="E128" s="44"/>
      <x:c r="F128" s="44"/>
      <x:c r="G128" s="44"/>
      <x:c r="H128" s="44"/>
      <x:c r="I128" s="44"/>
      <x:c r="J128" s="44"/>
      <x:c r="K128" s="44"/>
      <x:c r="L128" s="44"/>
      <x:c r="M128" s="44"/>
      <x:c r="N128" s="44"/>
      <x:c r="O128" s="44"/>
      <x:c r="P128" s="44"/>
      <x:c r="Q128" s="44"/>
      <x:c r="R128" s="44"/>
    </x:row>
    <x:row r="129">
      <x:c r="A129" s="44"/>
      <x:c r="B129" s="44"/>
      <x:c r="C129" s="44"/>
      <x:c r="D129" s="44"/>
      <x:c r="E129" s="44"/>
      <x:c r="F129" s="44"/>
      <x:c r="G129" s="44"/>
      <x:c r="H129" s="44"/>
      <x:c r="I129" s="44"/>
      <x:c r="J129" s="44"/>
      <x:c r="K129" s="44"/>
      <x:c r="L129" s="44"/>
      <x:c r="M129" s="44"/>
      <x:c r="N129" s="44"/>
      <x:c r="O129" s="44"/>
      <x:c r="P129" s="44"/>
      <x:c r="Q129" s="44"/>
      <x:c r="R129" s="44"/>
    </x:row>
    <x:row r="130">
      <x:c r="A130" s="44"/>
      <x:c r="B130" s="44"/>
      <x:c r="C130" s="44"/>
      <x:c r="D130" s="44"/>
      <x:c r="E130" s="44"/>
      <x:c r="F130" s="44"/>
      <x:c r="G130" s="44"/>
      <x:c r="H130" s="44"/>
      <x:c r="I130" s="44"/>
      <x:c r="J130" s="44"/>
      <x:c r="K130" s="44"/>
      <x:c r="L130" s="44"/>
      <x:c r="M130" s="44"/>
      <x:c r="N130" s="44"/>
      <x:c r="O130" s="44"/>
      <x:c r="P130" s="44"/>
      <x:c r="Q130" s="44"/>
      <x:c r="R130" s="44"/>
    </x:row>
    <x:row r="131">
      <x:c r="A131" s="44"/>
      <x:c r="B131" s="44"/>
      <x:c r="C131" s="44"/>
      <x:c r="D131" s="44"/>
      <x:c r="E131" s="44"/>
      <x:c r="F131" s="44"/>
      <x:c r="G131" s="44"/>
      <x:c r="H131" s="44"/>
      <x:c r="I131" s="44"/>
      <x:c r="J131" s="44"/>
      <x:c r="K131" s="44"/>
      <x:c r="L131" s="44"/>
      <x:c r="M131" s="44"/>
      <x:c r="N131" s="44"/>
      <x:c r="O131" s="44"/>
      <x:c r="P131" s="44"/>
      <x:c r="Q131" s="44"/>
      <x:c r="R131" s="44"/>
    </x:row>
    <x:row r="132">
      <x:c r="A132" s="44"/>
      <x:c r="B132" s="44"/>
      <x:c r="C132" s="44"/>
      <x:c r="D132" s="44"/>
      <x:c r="E132" s="44"/>
      <x:c r="F132" s="44"/>
      <x:c r="G132" s="44"/>
      <x:c r="H132" s="44"/>
      <x:c r="I132" s="44"/>
      <x:c r="J132" s="44"/>
      <x:c r="K132" s="44"/>
      <x:c r="L132" s="44"/>
      <x:c r="M132" s="44"/>
      <x:c r="N132" s="44"/>
      <x:c r="O132" s="44"/>
      <x:c r="P132" s="44"/>
      <x:c r="Q132" s="44"/>
      <x:c r="R132" s="44"/>
    </x:row>
    <x:row r="133">
      <x:c r="A133" s="44"/>
      <x:c r="B133" s="44"/>
      <x:c r="C133" s="44"/>
      <x:c r="D133" s="44"/>
      <x:c r="E133" s="44"/>
      <x:c r="F133" s="44"/>
      <x:c r="G133" s="44"/>
      <x:c r="H133" s="44"/>
      <x:c r="I133" s="44"/>
      <x:c r="J133" s="44"/>
      <x:c r="K133" s="44"/>
      <x:c r="L133" s="44"/>
      <x:c r="M133" s="44"/>
      <x:c r="N133" s="44"/>
      <x:c r="O133" s="44"/>
      <x:c r="P133" s="44"/>
      <x:c r="Q133" s="44"/>
      <x:c r="R133" s="44"/>
    </x:row>
    <x:row r="134">
      <x:c r="A134" s="44"/>
      <x:c r="B134" s="44"/>
      <x:c r="C134" s="44"/>
      <x:c r="D134" s="44"/>
      <x:c r="E134" s="44"/>
      <x:c r="F134" s="44"/>
      <x:c r="G134" s="44"/>
      <x:c r="H134" s="44"/>
      <x:c r="I134" s="44"/>
      <x:c r="J134" s="44"/>
      <x:c r="K134" s="44"/>
      <x:c r="L134" s="44"/>
      <x:c r="M134" s="44"/>
      <x:c r="N134" s="44"/>
      <x:c r="O134" s="44"/>
      <x:c r="P134" s="44"/>
      <x:c r="Q134" s="44"/>
      <x:c r="R134" s="44"/>
    </x:row>
    <x:row r="135">
      <x:c r="A135" s="44"/>
      <x:c r="B135" s="44"/>
      <x:c r="C135" s="44"/>
      <x:c r="D135" s="44"/>
      <x:c r="E135" s="44"/>
      <x:c r="F135" s="44"/>
      <x:c r="G135" s="44"/>
      <x:c r="H135" s="44"/>
      <x:c r="I135" s="44"/>
      <x:c r="J135" s="44"/>
      <x:c r="K135" s="44"/>
      <x:c r="L135" s="44"/>
      <x:c r="M135" s="44"/>
      <x:c r="N135" s="44"/>
      <x:c r="O135" s="44"/>
      <x:c r="P135" s="44"/>
      <x:c r="Q135" s="44"/>
      <x:c r="R135" s="44"/>
    </x:row>
    <x:row r="136">
      <x:c r="A136" s="44"/>
      <x:c r="B136" s="44"/>
      <x:c r="C136" s="44"/>
      <x:c r="D136" s="44"/>
      <x:c r="E136" s="44"/>
      <x:c r="F136" s="44"/>
      <x:c r="G136" s="44"/>
      <x:c r="H136" s="44"/>
      <x:c r="I136" s="44"/>
      <x:c r="J136" s="44"/>
      <x:c r="K136" s="44"/>
      <x:c r="L136" s="44"/>
      <x:c r="M136" s="44"/>
      <x:c r="N136" s="44"/>
      <x:c r="O136" s="44"/>
      <x:c r="P136" s="44"/>
      <x:c r="Q136" s="44"/>
      <x:c r="R136" s="44"/>
    </x:row>
    <x:row r="137">
      <x:c r="A137" s="44"/>
      <x:c r="B137" s="44"/>
      <x:c r="C137" s="44"/>
      <x:c r="D137" s="44"/>
      <x:c r="E137" s="44"/>
      <x:c r="F137" s="44"/>
      <x:c r="G137" s="44"/>
      <x:c r="H137" s="44"/>
      <x:c r="I137" s="44"/>
      <x:c r="J137" s="44"/>
      <x:c r="K137" s="44"/>
      <x:c r="L137" s="44"/>
      <x:c r="M137" s="44"/>
      <x:c r="N137" s="44"/>
      <x:c r="O137" s="44"/>
      <x:c r="P137" s="44"/>
      <x:c r="Q137" s="44"/>
      <x:c r="R137" s="44"/>
    </x:row>
    <x:row r="138">
      <x:c r="A138" s="44"/>
      <x:c r="B138" s="44"/>
      <x:c r="C138" s="44"/>
      <x:c r="D138" s="44"/>
      <x:c r="E138" s="44"/>
      <x:c r="F138" s="44"/>
      <x:c r="G138" s="44"/>
      <x:c r="H138" s="44"/>
      <x:c r="I138" s="44"/>
      <x:c r="J138" s="44"/>
      <x:c r="K138" s="44"/>
      <x:c r="L138" s="44"/>
      <x:c r="M138" s="44"/>
      <x:c r="N138" s="44"/>
      <x:c r="O138" s="44"/>
      <x:c r="P138" s="44"/>
      <x:c r="Q138" s="44"/>
      <x:c r="R138" s="44"/>
    </x:row>
    <x:row r="139">
      <x:c r="A139" s="44"/>
      <x:c r="B139" s="44"/>
      <x:c r="C139" s="44"/>
      <x:c r="D139" s="44"/>
      <x:c r="E139" s="44"/>
      <x:c r="F139" s="44"/>
      <x:c r="G139" s="44"/>
      <x:c r="H139" s="44"/>
      <x:c r="I139" s="44"/>
      <x:c r="J139" s="44"/>
      <x:c r="K139" s="44"/>
      <x:c r="L139" s="44"/>
      <x:c r="M139" s="44"/>
      <x:c r="N139" s="44"/>
      <x:c r="O139" s="44"/>
      <x:c r="P139" s="44"/>
      <x:c r="Q139" s="44"/>
      <x:c r="R139" s="44"/>
    </x:row>
    <x:row r="140">
      <x:c r="A140" s="44"/>
      <x:c r="B140" s="44"/>
      <x:c r="C140" s="44"/>
      <x:c r="D140" s="44"/>
      <x:c r="E140" s="44"/>
      <x:c r="F140" s="44"/>
      <x:c r="G140" s="44"/>
      <x:c r="H140" s="44"/>
      <x:c r="I140" s="44"/>
      <x:c r="J140" s="44"/>
      <x:c r="K140" s="44"/>
      <x:c r="L140" s="44"/>
      <x:c r="M140" s="44"/>
      <x:c r="N140" s="44"/>
      <x:c r="O140" s="44"/>
      <x:c r="P140" s="44"/>
      <x:c r="Q140" s="44"/>
      <x:c r="R140" s="44"/>
    </x:row>
    <x:row r="141">
      <x:c r="A141" s="44"/>
      <x:c r="B141" s="44"/>
      <x:c r="C141" s="44"/>
      <x:c r="D141" s="44"/>
      <x:c r="E141" s="44"/>
      <x:c r="F141" s="44"/>
      <x:c r="G141" s="44"/>
      <x:c r="H141" s="44"/>
      <x:c r="I141" s="44"/>
      <x:c r="J141" s="44"/>
      <x:c r="K141" s="44"/>
      <x:c r="L141" s="44"/>
      <x:c r="M141" s="44"/>
      <x:c r="N141" s="44"/>
      <x:c r="O141" s="44"/>
      <x:c r="P141" s="44"/>
      <x:c r="Q141" s="44"/>
      <x:c r="R141" s="44"/>
    </x:row>
    <x:row r="142">
      <x:c r="A142" s="44"/>
      <x:c r="B142" s="44"/>
      <x:c r="C142" s="44"/>
      <x:c r="D142" s="44"/>
      <x:c r="E142" s="44"/>
      <x:c r="F142" s="44"/>
      <x:c r="G142" s="44"/>
      <x:c r="H142" s="44"/>
      <x:c r="I142" s="44"/>
      <x:c r="J142" s="44"/>
      <x:c r="K142" s="44"/>
      <x:c r="L142" s="44"/>
      <x:c r="M142" s="44"/>
      <x:c r="N142" s="44"/>
      <x:c r="O142" s="44"/>
      <x:c r="P142" s="44"/>
      <x:c r="Q142" s="44"/>
      <x:c r="R142" s="44"/>
    </x:row>
    <x:row r="143">
      <x:c r="A143" s="44"/>
      <x:c r="B143" s="44"/>
      <x:c r="C143" s="44"/>
      <x:c r="D143" s="44"/>
      <x:c r="E143" s="44"/>
      <x:c r="F143" s="44"/>
      <x:c r="G143" s="44"/>
      <x:c r="H143" s="44"/>
      <x:c r="I143" s="44"/>
      <x:c r="J143" s="44"/>
      <x:c r="K143" s="44"/>
      <x:c r="L143" s="44"/>
      <x:c r="M143" s="44"/>
      <x:c r="N143" s="44"/>
      <x:c r="O143" s="44"/>
      <x:c r="P143" s="44"/>
      <x:c r="Q143" s="44"/>
      <x:c r="R143" s="44"/>
    </x:row>
    <x:row r="144">
      <x:c r="A144" s="44"/>
      <x:c r="B144" s="44"/>
      <x:c r="C144" s="44"/>
      <x:c r="D144" s="44"/>
      <x:c r="E144" s="44"/>
      <x:c r="F144" s="44"/>
      <x:c r="G144" s="44"/>
      <x:c r="H144" s="44"/>
      <x:c r="I144" s="44"/>
      <x:c r="J144" s="44"/>
      <x:c r="K144" s="44"/>
      <x:c r="L144" s="44"/>
      <x:c r="M144" s="44"/>
      <x:c r="N144" s="44"/>
      <x:c r="O144" s="44"/>
      <x:c r="P144" s="44"/>
      <x:c r="Q144" s="44"/>
      <x:c r="R144" s="44"/>
    </x:row>
    <x:row r="145">
      <x:c r="A145" s="44"/>
      <x:c r="B145" s="44"/>
      <x:c r="C145" s="44"/>
      <x:c r="D145" s="44"/>
      <x:c r="E145" s="44"/>
      <x:c r="F145" s="44"/>
      <x:c r="G145" s="44"/>
      <x:c r="H145" s="44"/>
      <x:c r="I145" s="44"/>
      <x:c r="J145" s="44"/>
      <x:c r="K145" s="44"/>
      <x:c r="L145" s="44"/>
      <x:c r="M145" s="44"/>
      <x:c r="N145" s="44"/>
      <x:c r="O145" s="44"/>
      <x:c r="P145" s="44"/>
      <x:c r="Q145" s="44"/>
      <x:c r="R145" s="44"/>
    </x:row>
    <x:row r="146">
      <x:c r="A146" s="44"/>
      <x:c r="B146" s="44"/>
      <x:c r="C146" s="44"/>
      <x:c r="D146" s="44"/>
      <x:c r="E146" s="44"/>
      <x:c r="F146" s="44"/>
      <x:c r="G146" s="44"/>
      <x:c r="H146" s="44"/>
      <x:c r="I146" s="44"/>
      <x:c r="J146" s="44"/>
      <x:c r="K146" s="44"/>
      <x:c r="L146" s="44"/>
      <x:c r="M146" s="44"/>
      <x:c r="N146" s="44"/>
      <x:c r="O146" s="44"/>
      <x:c r="P146" s="44"/>
      <x:c r="Q146" s="44"/>
      <x:c r="R146" s="44"/>
    </x:row>
    <x:row r="147">
      <x:c r="A147" s="44"/>
      <x:c r="B147" s="44"/>
      <x:c r="C147" s="44"/>
      <x:c r="D147" s="44"/>
      <x:c r="E147" s="44"/>
      <x:c r="F147" s="44"/>
      <x:c r="G147" s="44"/>
      <x:c r="H147" s="44"/>
      <x:c r="I147" s="44"/>
      <x:c r="J147" s="44"/>
      <x:c r="K147" s="44"/>
      <x:c r="L147" s="44"/>
      <x:c r="M147" s="44"/>
      <x:c r="N147" s="44"/>
      <x:c r="O147" s="44"/>
      <x:c r="P147" s="44"/>
      <x:c r="Q147" s="44"/>
      <x:c r="R147" s="44"/>
    </x:row>
    <x:row r="148">
      <x:c r="A148" s="44"/>
      <x:c r="B148" s="44"/>
      <x:c r="C148" s="44"/>
      <x:c r="D148" s="44"/>
      <x:c r="E148" s="44"/>
      <x:c r="F148" s="44"/>
      <x:c r="G148" s="44"/>
      <x:c r="H148" s="44"/>
      <x:c r="I148" s="44"/>
      <x:c r="J148" s="44"/>
      <x:c r="K148" s="44"/>
      <x:c r="L148" s="44"/>
      <x:c r="M148" s="44"/>
      <x:c r="N148" s="44"/>
      <x:c r="O148" s="44"/>
      <x:c r="P148" s="44"/>
      <x:c r="Q148" s="44"/>
      <x:c r="R148" s="44"/>
    </x:row>
    <x:row r="149">
      <x:c r="A149" s="44"/>
      <x:c r="B149" s="44"/>
      <x:c r="C149" s="44"/>
      <x:c r="D149" s="44"/>
      <x:c r="E149" s="44"/>
      <x:c r="F149" s="44"/>
      <x:c r="G149" s="44"/>
      <x:c r="H149" s="44"/>
      <x:c r="I149" s="44"/>
      <x:c r="J149" s="44"/>
      <x:c r="K149" s="44"/>
      <x:c r="L149" s="44"/>
      <x:c r="M149" s="44"/>
      <x:c r="N149" s="44"/>
      <x:c r="O149" s="44"/>
      <x:c r="P149" s="44"/>
      <x:c r="Q149" s="44"/>
      <x:c r="R149" s="44"/>
    </x:row>
    <x:row r="150">
      <x:c r="A150" s="44"/>
      <x:c r="B150" s="44"/>
      <x:c r="C150" s="44"/>
      <x:c r="D150" s="44"/>
      <x:c r="E150" s="44"/>
      <x:c r="F150" s="44"/>
      <x:c r="G150" s="44"/>
      <x:c r="H150" s="44"/>
      <x:c r="I150" s="44"/>
      <x:c r="J150" s="44"/>
      <x:c r="K150" s="44"/>
      <x:c r="L150" s="44"/>
      <x:c r="M150" s="44"/>
      <x:c r="N150" s="44"/>
      <x:c r="O150" s="44"/>
      <x:c r="P150" s="44"/>
      <x:c r="Q150" s="44"/>
      <x:c r="R150" s="44"/>
    </x:row>
    <x:row r="151">
      <x:c r="A151" s="44"/>
      <x:c r="B151" s="44"/>
      <x:c r="C151" s="44"/>
      <x:c r="D151" s="44"/>
      <x:c r="E151" s="44"/>
      <x:c r="F151" s="44"/>
      <x:c r="G151" s="44"/>
      <x:c r="H151" s="44"/>
      <x:c r="I151" s="44"/>
      <x:c r="J151" s="44"/>
      <x:c r="K151" s="44"/>
      <x:c r="L151" s="44"/>
      <x:c r="M151" s="44"/>
      <x:c r="N151" s="44"/>
      <x:c r="O151" s="44"/>
      <x:c r="P151" s="44"/>
      <x:c r="Q151" s="44"/>
      <x:c r="R151" s="44"/>
    </x:row>
    <x:row r="152">
      <x:c r="A152" s="44"/>
      <x:c r="B152" s="44"/>
      <x:c r="C152" s="44"/>
      <x:c r="D152" s="44"/>
      <x:c r="E152" s="44"/>
      <x:c r="F152" s="44"/>
      <x:c r="G152" s="44"/>
      <x:c r="H152" s="44"/>
      <x:c r="I152" s="44"/>
      <x:c r="J152" s="44"/>
      <x:c r="K152" s="44"/>
      <x:c r="L152" s="44"/>
      <x:c r="M152" s="44"/>
      <x:c r="N152" s="44"/>
      <x:c r="O152" s="44"/>
      <x:c r="P152" s="44"/>
      <x:c r="Q152" s="44"/>
      <x:c r="R152" s="44"/>
    </x:row>
    <x:row r="153">
      <x:c r="A153" s="44"/>
      <x:c r="B153" s="44"/>
      <x:c r="C153" s="44"/>
      <x:c r="D153" s="44"/>
      <x:c r="E153" s="44"/>
      <x:c r="F153" s="44"/>
      <x:c r="G153" s="44"/>
      <x:c r="H153" s="44"/>
      <x:c r="I153" s="44"/>
      <x:c r="J153" s="44"/>
      <x:c r="K153" s="44"/>
      <x:c r="L153" s="44"/>
      <x:c r="M153" s="44"/>
      <x:c r="N153" s="44"/>
      <x:c r="O153" s="44"/>
      <x:c r="P153" s="44"/>
      <x:c r="Q153" s="44"/>
      <x:c r="R153" s="44"/>
    </x:row>
    <x:row r="154">
      <x:c r="A154" s="44"/>
      <x:c r="B154" s="44"/>
      <x:c r="C154" s="44"/>
      <x:c r="D154" s="44"/>
      <x:c r="E154" s="44"/>
      <x:c r="F154" s="44"/>
      <x:c r="G154" s="44"/>
      <x:c r="H154" s="44"/>
      <x:c r="I154" s="44"/>
      <x:c r="J154" s="44"/>
      <x:c r="K154" s="44"/>
      <x:c r="L154" s="44"/>
      <x:c r="M154" s="44"/>
      <x:c r="N154" s="44"/>
      <x:c r="O154" s="44"/>
      <x:c r="P154" s="44"/>
      <x:c r="Q154" s="44"/>
      <x:c r="R154" s="44"/>
    </x:row>
    <x:row r="155">
      <x:c r="A155" s="44"/>
      <x:c r="B155" s="44"/>
      <x:c r="C155" s="44"/>
      <x:c r="D155" s="44"/>
      <x:c r="E155" s="44"/>
      <x:c r="F155" s="44"/>
      <x:c r="G155" s="44"/>
      <x:c r="H155" s="44"/>
      <x:c r="I155" s="44"/>
      <x:c r="J155" s="44"/>
      <x:c r="K155" s="44"/>
      <x:c r="L155" s="44"/>
      <x:c r="M155" s="44"/>
      <x:c r="N155" s="44"/>
      <x:c r="O155" s="44"/>
      <x:c r="P155" s="44"/>
      <x:c r="Q155" s="44"/>
      <x:c r="R155" s="44"/>
    </x:row>
    <x:row r="156">
      <x:c r="A156" s="44"/>
      <x:c r="B156" s="44"/>
      <x:c r="C156" s="44"/>
      <x:c r="D156" s="44"/>
      <x:c r="E156" s="44"/>
      <x:c r="F156" s="44"/>
      <x:c r="G156" s="44"/>
      <x:c r="H156" s="44"/>
      <x:c r="I156" s="44"/>
      <x:c r="J156" s="44"/>
      <x:c r="K156" s="44"/>
      <x:c r="L156" s="44"/>
      <x:c r="M156" s="44"/>
      <x:c r="N156" s="44"/>
      <x:c r="O156" s="44"/>
      <x:c r="P156" s="44"/>
      <x:c r="Q156" s="44"/>
      <x:c r="R156" s="44"/>
    </x:row>
    <x:row r="157">
      <x:c r="A157" s="44"/>
      <x:c r="B157" s="44"/>
      <x:c r="C157" s="44"/>
      <x:c r="D157" s="44"/>
      <x:c r="E157" s="44"/>
      <x:c r="F157" s="44"/>
      <x:c r="G157" s="44"/>
      <x:c r="H157" s="44"/>
      <x:c r="I157" s="44"/>
      <x:c r="J157" s="44"/>
      <x:c r="K157" s="44"/>
      <x:c r="L157" s="44"/>
      <x:c r="M157" s="44"/>
      <x:c r="N157" s="44"/>
      <x:c r="O157" s="44"/>
      <x:c r="P157" s="44"/>
      <x:c r="Q157" s="44"/>
      <x:c r="R157" s="44"/>
    </x:row>
    <x:row r="158">
      <x:c r="A158" s="44"/>
      <x:c r="B158" s="44"/>
      <x:c r="C158" s="44"/>
      <x:c r="D158" s="44"/>
      <x:c r="E158" s="44"/>
      <x:c r="F158" s="44"/>
      <x:c r="G158" s="44"/>
      <x:c r="H158" s="44"/>
      <x:c r="I158" s="44"/>
      <x:c r="J158" s="44"/>
      <x:c r="K158" s="44"/>
      <x:c r="L158" s="44"/>
      <x:c r="M158" s="44"/>
      <x:c r="N158" s="44"/>
      <x:c r="O158" s="44"/>
      <x:c r="P158" s="44"/>
      <x:c r="Q158" s="44"/>
      <x:c r="R158" s="44"/>
    </x:row>
    <x:row r="159">
      <x:c r="A159" s="44"/>
      <x:c r="B159" s="44"/>
      <x:c r="C159" s="44"/>
      <x:c r="D159" s="44"/>
      <x:c r="E159" s="44"/>
      <x:c r="F159" s="44"/>
      <x:c r="G159" s="44"/>
      <x:c r="H159" s="44"/>
      <x:c r="I159" s="44"/>
      <x:c r="J159" s="44"/>
      <x:c r="K159" s="44"/>
      <x:c r="L159" s="44"/>
      <x:c r="M159" s="44"/>
      <x:c r="N159" s="44"/>
      <x:c r="O159" s="44"/>
      <x:c r="P159" s="44"/>
      <x:c r="Q159" s="44"/>
      <x:c r="R159" s="44"/>
    </x:row>
    <x:row r="160">
      <x:c r="A160" s="44"/>
      <x:c r="B160" s="44"/>
      <x:c r="C160" s="44"/>
      <x:c r="D160" s="44"/>
      <x:c r="E160" s="44"/>
      <x:c r="F160" s="44"/>
      <x:c r="G160" s="44"/>
      <x:c r="H160" s="44"/>
      <x:c r="I160" s="44"/>
      <x:c r="J160" s="44"/>
      <x:c r="K160" s="44"/>
      <x:c r="L160" s="44"/>
      <x:c r="M160" s="44"/>
      <x:c r="N160" s="44"/>
      <x:c r="O160" s="44"/>
      <x:c r="P160" s="44"/>
      <x:c r="Q160" s="44"/>
      <x:c r="R160" s="44"/>
    </x:row>
    <x:row r="161">
      <x:c r="A161" s="44"/>
      <x:c r="B161" s="44"/>
      <x:c r="C161" s="44"/>
      <x:c r="D161" s="44"/>
      <x:c r="E161" s="44"/>
      <x:c r="F161" s="44"/>
      <x:c r="G161" s="44"/>
      <x:c r="H161" s="44"/>
      <x:c r="I161" s="44"/>
      <x:c r="J161" s="44"/>
      <x:c r="K161" s="44"/>
      <x:c r="L161" s="44"/>
      <x:c r="M161" s="44"/>
      <x:c r="N161" s="44"/>
      <x:c r="O161" s="44"/>
      <x:c r="P161" s="44"/>
      <x:c r="Q161" s="44"/>
      <x:c r="R161" s="44"/>
    </x:row>
    <x:row r="162">
      <x:c r="A162" s="44"/>
      <x:c r="B162" s="44"/>
      <x:c r="C162" s="44"/>
      <x:c r="D162" s="44"/>
      <x:c r="E162" s="44"/>
      <x:c r="F162" s="44"/>
      <x:c r="G162" s="44"/>
      <x:c r="H162" s="44"/>
      <x:c r="I162" s="44"/>
      <x:c r="J162" s="44"/>
      <x:c r="K162" s="44"/>
      <x:c r="L162" s="44"/>
      <x:c r="M162" s="44"/>
      <x:c r="N162" s="44"/>
      <x:c r="O162" s="44"/>
      <x:c r="P162" s="44"/>
      <x:c r="Q162" s="44"/>
      <x:c r="R162" s="44"/>
    </x:row>
    <x:row r="163">
      <x:c r="A163" s="44"/>
      <x:c r="B163" s="44"/>
      <x:c r="C163" s="44"/>
      <x:c r="D163" s="44"/>
      <x:c r="E163" s="44"/>
      <x:c r="F163" s="44"/>
      <x:c r="G163" s="44"/>
      <x:c r="H163" s="44"/>
      <x:c r="I163" s="44"/>
      <x:c r="J163" s="44"/>
      <x:c r="K163" s="44"/>
      <x:c r="L163" s="44"/>
      <x:c r="M163" s="44"/>
      <x:c r="N163" s="44"/>
      <x:c r="O163" s="44"/>
      <x:c r="P163" s="44"/>
      <x:c r="Q163" s="44"/>
      <x:c r="R163" s="44"/>
    </x:row>
    <x:row r="164">
      <x:c r="A164" s="44"/>
      <x:c r="B164" s="44"/>
      <x:c r="C164" s="44"/>
      <x:c r="D164" s="44"/>
      <x:c r="E164" s="44"/>
      <x:c r="F164" s="44"/>
      <x:c r="G164" s="44"/>
      <x:c r="H164" s="44"/>
      <x:c r="I164" s="44"/>
      <x:c r="J164" s="44"/>
      <x:c r="K164" s="44"/>
      <x:c r="L164" s="44"/>
      <x:c r="M164" s="44"/>
      <x:c r="N164" s="44"/>
      <x:c r="O164" s="44"/>
      <x:c r="P164" s="44"/>
      <x:c r="Q164" s="44"/>
      <x:c r="R164" s="44"/>
    </x:row>
    <x:row r="165">
      <x:c r="A165" s="44"/>
      <x:c r="B165" s="44"/>
      <x:c r="C165" s="44"/>
      <x:c r="D165" s="44"/>
      <x:c r="E165" s="44"/>
      <x:c r="F165" s="44"/>
      <x:c r="G165" s="44"/>
      <x:c r="H165" s="44"/>
      <x:c r="I165" s="44"/>
      <x:c r="J165" s="44"/>
      <x:c r="K165" s="44"/>
      <x:c r="L165" s="44"/>
      <x:c r="M165" s="44"/>
      <x:c r="N165" s="44"/>
      <x:c r="O165" s="44"/>
      <x:c r="P165" s="44"/>
      <x:c r="Q165" s="44"/>
      <x:c r="R165" s="44"/>
    </x:row>
    <x:row r="166">
      <x:c r="A166" s="44"/>
      <x:c r="B166" s="44"/>
      <x:c r="C166" s="44"/>
      <x:c r="D166" s="44"/>
      <x:c r="E166" s="44"/>
      <x:c r="F166" s="44"/>
      <x:c r="G166" s="44"/>
      <x:c r="H166" s="44"/>
      <x:c r="I166" s="44"/>
      <x:c r="J166" s="44"/>
      <x:c r="K166" s="44"/>
      <x:c r="L166" s="44"/>
      <x:c r="M166" s="44"/>
      <x:c r="N166" s="44"/>
      <x:c r="O166" s="44"/>
      <x:c r="P166" s="44"/>
      <x:c r="Q166" s="44"/>
      <x:c r="R166" s="44"/>
    </x:row>
    <x:row r="167">
      <x:c r="A167" s="44"/>
      <x:c r="B167" s="44"/>
      <x:c r="C167" s="44"/>
      <x:c r="D167" s="44"/>
      <x:c r="E167" s="44"/>
      <x:c r="F167" s="44"/>
      <x:c r="G167" s="44"/>
      <x:c r="H167" s="44"/>
      <x:c r="I167" s="44"/>
      <x:c r="J167" s="44"/>
      <x:c r="K167" s="44"/>
      <x:c r="L167" s="44"/>
      <x:c r="M167" s="44"/>
      <x:c r="N167" s="44"/>
      <x:c r="O167" s="44"/>
      <x:c r="P167" s="44"/>
      <x:c r="Q167" s="44"/>
      <x:c r="R167" s="44"/>
    </x:row>
    <x:row r="168">
      <x:c r="A168" s="44"/>
      <x:c r="B168" s="44"/>
      <x:c r="C168" s="44"/>
      <x:c r="D168" s="44"/>
      <x:c r="E168" s="44"/>
      <x:c r="F168" s="44"/>
      <x:c r="G168" s="44"/>
      <x:c r="H168" s="44"/>
      <x:c r="I168" s="44"/>
      <x:c r="J168" s="44"/>
      <x:c r="K168" s="44"/>
      <x:c r="L168" s="44"/>
      <x:c r="M168" s="44"/>
      <x:c r="N168" s="44"/>
      <x:c r="O168" s="44"/>
      <x:c r="P168" s="44"/>
      <x:c r="Q168" s="44"/>
      <x:c r="R168" s="44"/>
    </x:row>
    <x:row r="169">
      <x:c r="A169" s="44"/>
      <x:c r="B169" s="44"/>
      <x:c r="C169" s="44"/>
      <x:c r="D169" s="44"/>
      <x:c r="E169" s="44"/>
      <x:c r="F169" s="44"/>
      <x:c r="G169" s="44"/>
      <x:c r="H169" s="44"/>
      <x:c r="I169" s="44"/>
      <x:c r="J169" s="44"/>
      <x:c r="K169" s="44"/>
      <x:c r="L169" s="44"/>
      <x:c r="M169" s="44"/>
      <x:c r="N169" s="44"/>
      <x:c r="O169" s="44"/>
      <x:c r="P169" s="44"/>
      <x:c r="Q169" s="44"/>
      <x:c r="R169" s="44"/>
    </x:row>
    <x:row r="170">
      <x:c r="A170" s="44"/>
      <x:c r="B170" s="44"/>
      <x:c r="C170" s="44"/>
      <x:c r="D170" s="44"/>
      <x:c r="E170" s="44"/>
      <x:c r="F170" s="44"/>
      <x:c r="G170" s="44"/>
      <x:c r="H170" s="44"/>
      <x:c r="I170" s="44"/>
      <x:c r="J170" s="44"/>
      <x:c r="K170" s="44"/>
      <x:c r="L170" s="44"/>
      <x:c r="M170" s="44"/>
      <x:c r="N170" s="44"/>
      <x:c r="O170" s="44"/>
      <x:c r="P170" s="44"/>
      <x:c r="Q170" s="44"/>
      <x:c r="R170" s="44"/>
    </x:row>
    <x:row r="171">
      <x:c r="A171" s="44"/>
      <x:c r="B171" s="44"/>
      <x:c r="C171" s="44"/>
      <x:c r="D171" s="44"/>
      <x:c r="E171" s="44"/>
      <x:c r="F171" s="44"/>
      <x:c r="G171" s="44"/>
      <x:c r="H171" s="44"/>
      <x:c r="I171" s="44"/>
      <x:c r="J171" s="44"/>
      <x:c r="K171" s="44"/>
      <x:c r="L171" s="44"/>
      <x:c r="M171" s="44"/>
      <x:c r="N171" s="44"/>
      <x:c r="O171" s="44"/>
      <x:c r="P171" s="44"/>
      <x:c r="Q171" s="44"/>
      <x:c r="R171" s="44"/>
    </x:row>
    <x:row r="172">
      <x:c r="A172" s="44"/>
      <x:c r="B172" s="44"/>
      <x:c r="C172" s="44"/>
      <x:c r="D172" s="44"/>
      <x:c r="E172" s="44"/>
      <x:c r="F172" s="44"/>
      <x:c r="G172" s="44"/>
      <x:c r="H172" s="44"/>
      <x:c r="I172" s="44"/>
      <x:c r="J172" s="44"/>
      <x:c r="K172" s="44"/>
      <x:c r="L172" s="44"/>
      <x:c r="M172" s="44"/>
      <x:c r="N172" s="44"/>
      <x:c r="O172" s="44"/>
      <x:c r="P172" s="44"/>
      <x:c r="Q172" s="44"/>
      <x:c r="R172" s="44"/>
    </x:row>
    <x:row r="173">
      <x:c r="A173" s="44"/>
      <x:c r="B173" s="44"/>
      <x:c r="C173" s="44"/>
      <x:c r="D173" s="44"/>
      <x:c r="E173" s="44"/>
      <x:c r="F173" s="44"/>
      <x:c r="G173" s="44"/>
      <x:c r="H173" s="44"/>
      <x:c r="I173" s="44"/>
      <x:c r="J173" s="44"/>
      <x:c r="K173" s="44"/>
      <x:c r="L173" s="44"/>
      <x:c r="M173" s="44"/>
      <x:c r="N173" s="44"/>
      <x:c r="O173" s="44"/>
      <x:c r="P173" s="44"/>
      <x:c r="Q173" s="44"/>
      <x:c r="R173" s="44"/>
    </x:row>
    <x:row r="174">
      <x:c r="A174" s="44"/>
      <x:c r="B174" s="44"/>
      <x:c r="C174" s="44"/>
      <x:c r="D174" s="44"/>
      <x:c r="E174" s="44"/>
      <x:c r="F174" s="44"/>
      <x:c r="G174" s="44"/>
      <x:c r="H174" s="44"/>
      <x:c r="I174" s="44"/>
      <x:c r="J174" s="44"/>
      <x:c r="K174" s="44"/>
      <x:c r="L174" s="44"/>
      <x:c r="M174" s="44"/>
      <x:c r="N174" s="44"/>
      <x:c r="O174" s="44"/>
      <x:c r="P174" s="44"/>
      <x:c r="Q174" s="44"/>
      <x:c r="R174" s="44"/>
    </x:row>
    <x:row r="175">
      <x:c r="A175" s="44"/>
      <x:c r="B175" s="44"/>
      <x:c r="C175" s="44"/>
      <x:c r="D175" s="44"/>
      <x:c r="E175" s="44"/>
      <x:c r="F175" s="44"/>
      <x:c r="G175" s="44"/>
      <x:c r="H175" s="44"/>
      <x:c r="I175" s="44"/>
      <x:c r="J175" s="44"/>
      <x:c r="K175" s="44"/>
      <x:c r="L175" s="44"/>
      <x:c r="M175" s="44"/>
      <x:c r="N175" s="44"/>
      <x:c r="O175" s="44"/>
      <x:c r="P175" s="44"/>
      <x:c r="Q175" s="44"/>
      <x:c r="R175" s="44"/>
    </x:row>
    <x:row r="176">
      <x:c r="A176" s="44"/>
      <x:c r="B176" s="44"/>
      <x:c r="C176" s="44"/>
      <x:c r="D176" s="44"/>
      <x:c r="E176" s="44"/>
      <x:c r="F176" s="44"/>
      <x:c r="G176" s="44"/>
      <x:c r="H176" s="44"/>
      <x:c r="I176" s="44"/>
      <x:c r="J176" s="44"/>
      <x:c r="K176" s="44"/>
      <x:c r="L176" s="44"/>
      <x:c r="M176" s="44"/>
      <x:c r="N176" s="44"/>
      <x:c r="O176" s="44"/>
      <x:c r="P176" s="44"/>
      <x:c r="Q176" s="44"/>
      <x:c r="R176" s="44"/>
    </x:row>
    <x:row r="177">
      <x:c r="A177" s="44"/>
      <x:c r="B177" s="44"/>
      <x:c r="C177" s="44"/>
      <x:c r="D177" s="44"/>
      <x:c r="E177" s="44"/>
      <x:c r="F177" s="44"/>
      <x:c r="G177" s="44"/>
      <x:c r="H177" s="44"/>
      <x:c r="I177" s="44"/>
      <x:c r="J177" s="44"/>
      <x:c r="K177" s="44"/>
      <x:c r="L177" s="44"/>
      <x:c r="M177" s="44"/>
      <x:c r="N177" s="44"/>
      <x:c r="O177" s="44"/>
      <x:c r="P177" s="44"/>
      <x:c r="Q177" s="44"/>
      <x:c r="R177" s="44"/>
    </x:row>
    <x:row r="178">
      <x:c r="A178" s="44"/>
      <x:c r="B178" s="44"/>
      <x:c r="C178" s="44"/>
      <x:c r="D178" s="44"/>
      <x:c r="E178" s="44"/>
      <x:c r="F178" s="44"/>
      <x:c r="G178" s="44"/>
      <x:c r="H178" s="44"/>
      <x:c r="I178" s="44"/>
      <x:c r="J178" s="44"/>
      <x:c r="K178" s="44"/>
      <x:c r="L178" s="44"/>
      <x:c r="M178" s="44"/>
      <x:c r="N178" s="44"/>
      <x:c r="O178" s="44"/>
      <x:c r="P178" s="44"/>
      <x:c r="Q178" s="44"/>
      <x:c r="R178" s="44"/>
    </x:row>
    <x:row r="179">
      <x:c r="A179" s="44"/>
      <x:c r="B179" s="44"/>
      <x:c r="C179" s="44"/>
      <x:c r="D179" s="44"/>
      <x:c r="E179" s="44"/>
      <x:c r="F179" s="44"/>
      <x:c r="G179" s="44"/>
      <x:c r="H179" s="44"/>
      <x:c r="I179" s="44"/>
      <x:c r="J179" s="44"/>
      <x:c r="K179" s="44"/>
      <x:c r="L179" s="44"/>
      <x:c r="M179" s="44"/>
      <x:c r="N179" s="44"/>
      <x:c r="O179" s="44"/>
      <x:c r="P179" s="44"/>
      <x:c r="Q179" s="44"/>
      <x:c r="R179" s="44"/>
    </x:row>
    <x:row r="180">
      <x:c r="A180" s="44"/>
      <x:c r="B180" s="44"/>
      <x:c r="C180" s="44"/>
      <x:c r="D180" s="44"/>
      <x:c r="E180" s="44"/>
      <x:c r="F180" s="44"/>
      <x:c r="G180" s="44"/>
      <x:c r="H180" s="44"/>
      <x:c r="I180" s="44"/>
      <x:c r="J180" s="44"/>
      <x:c r="K180" s="44"/>
      <x:c r="L180" s="44"/>
      <x:c r="M180" s="44"/>
      <x:c r="N180" s="44"/>
      <x:c r="O180" s="44"/>
      <x:c r="P180" s="44"/>
      <x:c r="Q180" s="44"/>
      <x:c r="R180" s="44"/>
    </x:row>
    <x:row r="181">
      <x:c r="A181" s="44"/>
      <x:c r="B181" s="44"/>
      <x:c r="C181" s="44"/>
      <x:c r="D181" s="44"/>
      <x:c r="E181" s="44"/>
      <x:c r="F181" s="44"/>
      <x:c r="G181" s="44"/>
      <x:c r="H181" s="44"/>
      <x:c r="I181" s="44"/>
      <x:c r="J181" s="44"/>
      <x:c r="K181" s="44"/>
      <x:c r="L181" s="44"/>
      <x:c r="M181" s="44"/>
      <x:c r="N181" s="44"/>
      <x:c r="O181" s="44"/>
      <x:c r="P181" s="44"/>
      <x:c r="Q181" s="44"/>
      <x:c r="R181" s="44"/>
    </x:row>
    <x:row r="182">
      <x:c r="A182" s="44"/>
      <x:c r="B182" s="44"/>
      <x:c r="C182" s="44"/>
      <x:c r="D182" s="44"/>
      <x:c r="E182" s="44"/>
      <x:c r="F182" s="44"/>
      <x:c r="G182" s="44"/>
      <x:c r="H182" s="44"/>
      <x:c r="I182" s="44"/>
      <x:c r="J182" s="44"/>
      <x:c r="K182" s="44"/>
      <x:c r="L182" s="44"/>
      <x:c r="M182" s="44"/>
      <x:c r="N182" s="44"/>
      <x:c r="O182" s="44"/>
      <x:c r="P182" s="44"/>
      <x:c r="Q182" s="44"/>
      <x:c r="R182" s="44"/>
    </x:row>
    <x:row r="183">
      <x:c r="A183" s="44"/>
      <x:c r="B183" s="44"/>
      <x:c r="C183" s="44"/>
      <x:c r="D183" s="44"/>
      <x:c r="E183" s="44"/>
      <x:c r="F183" s="44"/>
      <x:c r="G183" s="44"/>
      <x:c r="H183" s="44"/>
      <x:c r="I183" s="44"/>
      <x:c r="J183" s="44"/>
      <x:c r="K183" s="44"/>
      <x:c r="L183" s="44"/>
      <x:c r="M183" s="44"/>
      <x:c r="N183" s="44"/>
      <x:c r="O183" s="44"/>
      <x:c r="P183" s="44"/>
      <x:c r="Q183" s="44"/>
      <x:c r="R183" s="44"/>
    </x:row>
    <x:row r="184">
      <x:c r="A184" s="44"/>
      <x:c r="B184" s="44"/>
      <x:c r="C184" s="44"/>
      <x:c r="D184" s="44"/>
      <x:c r="E184" s="44"/>
      <x:c r="F184" s="44"/>
      <x:c r="G184" s="44"/>
      <x:c r="H184" s="44"/>
      <x:c r="I184" s="44"/>
      <x:c r="J184" s="44"/>
      <x:c r="K184" s="44"/>
      <x:c r="L184" s="44"/>
      <x:c r="M184" s="44"/>
      <x:c r="N184" s="44"/>
      <x:c r="O184" s="44"/>
      <x:c r="P184" s="44"/>
      <x:c r="Q184" s="44"/>
      <x:c r="R184" s="44"/>
    </x:row>
    <x:row r="185">
      <x:c r="A185" s="44"/>
      <x:c r="B185" s="44"/>
      <x:c r="C185" s="44"/>
      <x:c r="D185" s="44"/>
      <x:c r="E185" s="44"/>
      <x:c r="F185" s="44"/>
      <x:c r="G185" s="44"/>
      <x:c r="H185" s="44"/>
      <x:c r="I185" s="44"/>
      <x:c r="J185" s="44"/>
      <x:c r="K185" s="44"/>
      <x:c r="L185" s="44"/>
      <x:c r="M185" s="44"/>
      <x:c r="N185" s="44"/>
      <x:c r="O185" s="44"/>
      <x:c r="P185" s="44"/>
      <x:c r="Q185" s="44"/>
      <x:c r="R185" s="44"/>
    </x:row>
    <x:row r="186">
      <x:c r="A186" s="44"/>
      <x:c r="B186" s="44"/>
      <x:c r="C186" s="44"/>
      <x:c r="D186" s="44"/>
      <x:c r="E186" s="44"/>
      <x:c r="F186" s="44"/>
      <x:c r="G186" s="44"/>
      <x:c r="H186" s="44"/>
      <x:c r="I186" s="44"/>
      <x:c r="J186" s="44"/>
      <x:c r="K186" s="44"/>
      <x:c r="L186" s="44"/>
      <x:c r="M186" s="44"/>
      <x:c r="N186" s="44"/>
      <x:c r="O186" s="44"/>
      <x:c r="P186" s="44"/>
      <x:c r="Q186" s="44"/>
      <x:c r="R186" s="44"/>
    </x:row>
    <x:row r="187">
      <x:c r="A187" s="44"/>
      <x:c r="B187" s="44"/>
      <x:c r="C187" s="44"/>
      <x:c r="D187" s="44"/>
      <x:c r="E187" s="44"/>
      <x:c r="F187" s="44"/>
      <x:c r="G187" s="44"/>
      <x:c r="H187" s="44"/>
      <x:c r="I187" s="44"/>
      <x:c r="J187" s="44"/>
      <x:c r="K187" s="44"/>
      <x:c r="L187" s="44"/>
      <x:c r="M187" s="44"/>
      <x:c r="N187" s="44"/>
      <x:c r="O187" s="44"/>
      <x:c r="P187" s="44"/>
      <x:c r="Q187" s="44"/>
      <x:c r="R187" s="44"/>
    </x:row>
    <x:row r="188">
      <x:c r="A188" s="44"/>
      <x:c r="B188" s="44"/>
      <x:c r="C188" s="44"/>
      <x:c r="D188" s="44"/>
      <x:c r="E188" s="44"/>
      <x:c r="F188" s="44"/>
      <x:c r="G188" s="44"/>
      <x:c r="H188" s="44"/>
      <x:c r="I188" s="44"/>
      <x:c r="J188" s="44"/>
      <x:c r="K188" s="44"/>
      <x:c r="L188" s="44"/>
      <x:c r="M188" s="44"/>
      <x:c r="N188" s="44"/>
      <x:c r="O188" s="44"/>
      <x:c r="P188" s="44"/>
      <x:c r="Q188" s="44"/>
      <x:c r="R188" s="44"/>
    </x:row>
    <x:row r="189">
      <x:c r="A189" s="44"/>
      <x:c r="B189" s="44"/>
      <x:c r="C189" s="44"/>
      <x:c r="D189" s="44"/>
      <x:c r="E189" s="44"/>
      <x:c r="F189" s="44"/>
      <x:c r="G189" s="44"/>
      <x:c r="H189" s="44"/>
      <x:c r="I189" s="44"/>
      <x:c r="J189" s="44"/>
      <x:c r="K189" s="44"/>
      <x:c r="L189" s="44"/>
      <x:c r="M189" s="44"/>
      <x:c r="N189" s="44"/>
      <x:c r="O189" s="44"/>
      <x:c r="P189" s="44"/>
      <x:c r="Q189" s="44"/>
      <x:c r="R189" s="44"/>
    </x:row>
    <x:row r="190">
      <x:c r="A190" s="44"/>
      <x:c r="B190" s="44"/>
      <x:c r="C190" s="44"/>
      <x:c r="D190" s="44"/>
      <x:c r="E190" s="44"/>
      <x:c r="F190" s="44"/>
      <x:c r="G190" s="44"/>
      <x:c r="H190" s="44"/>
      <x:c r="I190" s="44"/>
      <x:c r="J190" s="44"/>
      <x:c r="K190" s="44"/>
      <x:c r="L190" s="44"/>
      <x:c r="M190" s="44"/>
      <x:c r="N190" s="44"/>
      <x:c r="O190" s="44"/>
      <x:c r="P190" s="44"/>
      <x:c r="Q190" s="44"/>
      <x:c r="R190" s="44"/>
    </x:row>
    <x:row r="191">
      <x:c r="A191" s="44"/>
      <x:c r="B191" s="44"/>
      <x:c r="C191" s="44"/>
      <x:c r="D191" s="44"/>
      <x:c r="E191" s="44"/>
      <x:c r="F191" s="44"/>
      <x:c r="G191" s="44"/>
      <x:c r="H191" s="44"/>
      <x:c r="I191" s="44"/>
      <x:c r="J191" s="44"/>
      <x:c r="K191" s="44"/>
      <x:c r="L191" s="44"/>
      <x:c r="M191" s="44"/>
      <x:c r="N191" s="44"/>
      <x:c r="O191" s="44"/>
      <x:c r="P191" s="44"/>
      <x:c r="Q191" s="44"/>
      <x:c r="R191" s="44"/>
    </x:row>
    <x:row r="192">
      <x:c r="A192" s="44"/>
      <x:c r="B192" s="44"/>
      <x:c r="C192" s="44"/>
      <x:c r="D192" s="44"/>
      <x:c r="E192" s="44"/>
      <x:c r="F192" s="44"/>
      <x:c r="G192" s="44"/>
      <x:c r="H192" s="44"/>
      <x:c r="I192" s="44"/>
      <x:c r="J192" s="44"/>
      <x:c r="K192" s="44"/>
      <x:c r="L192" s="44"/>
      <x:c r="M192" s="44"/>
      <x:c r="N192" s="44"/>
      <x:c r="O192" s="44"/>
      <x:c r="P192" s="44"/>
      <x:c r="Q192" s="44"/>
      <x:c r="R192" s="44"/>
    </x:row>
    <x:row r="193">
      <x:c r="A193" s="44"/>
      <x:c r="B193" s="44"/>
      <x:c r="C193" s="44"/>
      <x:c r="D193" s="44"/>
      <x:c r="E193" s="44"/>
      <x:c r="F193" s="44"/>
      <x:c r="G193" s="44"/>
      <x:c r="H193" s="44"/>
      <x:c r="I193" s="44"/>
      <x:c r="J193" s="44"/>
      <x:c r="K193" s="44"/>
      <x:c r="L193" s="44"/>
      <x:c r="M193" s="44"/>
      <x:c r="N193" s="44"/>
      <x:c r="O193" s="44"/>
      <x:c r="P193" s="44"/>
      <x:c r="Q193" s="44"/>
      <x:c r="R193" s="44"/>
    </x:row>
    <x:row r="194">
      <x:c r="A194" s="44"/>
      <x:c r="B194" s="44"/>
      <x:c r="C194" s="44"/>
      <x:c r="D194" s="44"/>
      <x:c r="E194" s="44"/>
      <x:c r="F194" s="44"/>
      <x:c r="G194" s="44"/>
      <x:c r="H194" s="44"/>
      <x:c r="I194" s="44"/>
      <x:c r="J194" s="44"/>
      <x:c r="K194" s="44"/>
      <x:c r="L194" s="44"/>
      <x:c r="M194" s="44"/>
      <x:c r="N194" s="44"/>
      <x:c r="O194" s="44"/>
      <x:c r="P194" s="44"/>
      <x:c r="Q194" s="44"/>
      <x:c r="R194" s="44"/>
    </x:row>
    <x:row r="195">
      <x:c r="A195" s="44"/>
      <x:c r="B195" s="44"/>
      <x:c r="C195" s="44"/>
      <x:c r="D195" s="44"/>
      <x:c r="E195" s="44"/>
      <x:c r="F195" s="44"/>
      <x:c r="G195" s="44"/>
      <x:c r="H195" s="44"/>
      <x:c r="I195" s="44"/>
      <x:c r="J195" s="44"/>
      <x:c r="K195" s="44"/>
      <x:c r="L195" s="44"/>
      <x:c r="M195" s="44"/>
      <x:c r="N195" s="44"/>
      <x:c r="O195" s="44"/>
      <x:c r="P195" s="44"/>
      <x:c r="Q195" s="44"/>
      <x:c r="R195" s="44"/>
    </x:row>
    <x:row r="196">
      <x:c r="A196" s="44"/>
      <x:c r="B196" s="44"/>
      <x:c r="C196" s="44"/>
      <x:c r="D196" s="44"/>
      <x:c r="E196" s="44"/>
      <x:c r="F196" s="44"/>
      <x:c r="G196" s="44"/>
      <x:c r="H196" s="44"/>
      <x:c r="I196" s="44"/>
      <x:c r="J196" s="44"/>
      <x:c r="K196" s="44"/>
      <x:c r="L196" s="44"/>
      <x:c r="M196" s="44"/>
      <x:c r="N196" s="44"/>
      <x:c r="O196" s="44"/>
      <x:c r="P196" s="44"/>
      <x:c r="Q196" s="44"/>
      <x:c r="R196" s="44"/>
    </x:row>
    <x:row r="197">
      <x:c r="A197" s="44"/>
      <x:c r="B197" s="44"/>
      <x:c r="C197" s="44"/>
      <x:c r="D197" s="44"/>
      <x:c r="E197" s="44"/>
      <x:c r="F197" s="44"/>
      <x:c r="G197" s="44"/>
      <x:c r="H197" s="44"/>
      <x:c r="I197" s="44"/>
      <x:c r="J197" s="44"/>
      <x:c r="K197" s="44"/>
      <x:c r="L197" s="44"/>
      <x:c r="M197" s="44"/>
      <x:c r="N197" s="44"/>
      <x:c r="O197" s="44"/>
      <x:c r="P197" s="44"/>
      <x:c r="Q197" s="44"/>
      <x:c r="R197" s="44"/>
    </x:row>
    <x:row r="198">
      <x:c r="A198" s="44"/>
      <x:c r="B198" s="44"/>
      <x:c r="C198" s="44"/>
      <x:c r="D198" s="44"/>
      <x:c r="E198" s="44"/>
      <x:c r="F198" s="44"/>
      <x:c r="G198" s="44"/>
      <x:c r="H198" s="44"/>
      <x:c r="I198" s="44"/>
      <x:c r="J198" s="44"/>
      <x:c r="K198" s="44"/>
      <x:c r="L198" s="44"/>
      <x:c r="M198" s="44"/>
      <x:c r="N198" s="44"/>
      <x:c r="O198" s="44"/>
      <x:c r="P198" s="44"/>
      <x:c r="Q198" s="44"/>
      <x:c r="R198" s="44"/>
    </x:row>
    <x:row r="199">
      <x:c r="A199" s="44"/>
      <x:c r="B199" s="44"/>
      <x:c r="C199" s="44"/>
      <x:c r="D199" s="44"/>
      <x:c r="E199" s="44"/>
      <x:c r="F199" s="44"/>
      <x:c r="G199" s="44"/>
      <x:c r="H199" s="44"/>
      <x:c r="I199" s="44"/>
      <x:c r="J199" s="44"/>
      <x:c r="K199" s="44"/>
      <x:c r="L199" s="44"/>
      <x:c r="M199" s="44"/>
      <x:c r="N199" s="44"/>
      <x:c r="O199" s="44"/>
      <x:c r="P199" s="44"/>
      <x:c r="Q199" s="44"/>
      <x:c r="R199" s="44"/>
    </x:row>
    <x:row r="200">
      <x:c r="A200" s="45"/>
      <x:c r="B200" s="45"/>
      <x:c r="C200" s="45"/>
      <x:c r="D200" s="45"/>
      <x:c r="E200" s="45"/>
      <x:c r="F200" s="45"/>
      <x:c r="G200" s="45"/>
      <x:c r="H200" s="45"/>
      <x:c r="I200" s="45"/>
      <x:c r="J200" s="45"/>
      <x:c r="K200" s="45"/>
      <x:c r="L200" s="45"/>
      <x:c r="M200" s="45"/>
      <x:c r="N200" s="45"/>
      <x:c r="O200" s="45"/>
      <x:c r="P200" s="45"/>
      <x:c r="Q200" s="45"/>
      <x:c r="R200" s="45"/>
    </x:row>
  </x:sheetData>
  <x:mergeCells>
    <x:mergeCell ref="A1:R1"/>
    <x:mergeCell ref="A2:R2"/>
    <x:mergeCell ref="A3:R3"/>
  </x:mergeCells>
  <x:conditionalFormatting sqref="Q5:Q60">
    <x:cfRule type="expression" dxfId="9" priority="1">
      <x:formula>Q5="APROBADA"</x:formula>
    </x:cfRule>
    <x:cfRule type="expression" dxfId="10" priority="2">
      <x:formula>Q5="REVISAR"</x:formula>
    </x:cfRule>
    <x:cfRule type="expression" dxfId="11" priority="3">
      <x:formula>Q5="Pendiente de completar"</x:formula>
    </x:cfRule>
  </x:conditionalFormatting>
  <x:conditionalFormatting sqref="M5:M60">
    <x:cfRule type="expression" dxfId="12" priority="4">
      <x:formula>M5="Sí"</x:formula>
    </x:cfRule>
    <x:cfRule type="expression" dxfId="13" priority="5">
      <x:formula>M5="No"</x:formula>
    </x:cfRule>
  </x:conditionalFormatting>
  <x:dataValidations count="12">
    <x:dataValidation type="list" sqref="C5:C200">
      <x:formula1>"Tecnología,Servicio,Producto,Modelo de negocio,Investigación,Mixto"</x:formula1>
    </x:dataValidation>
    <x:dataValidation type="list" sqref="F5:G200">
      <x:formula1>"1,2,3,4,5,6,7,8,9,N/A"</x:formula1>
    </x:dataValidation>
    <x:dataValidation type="list" sqref="M5:M200">
      <x:formula1>"Sí,Parcial,No,No evaluado"</x:formula1>
    </x:dataValidation>
    <x:dataValidation type="list" sqref="Q5:Q200">
      <x:formula1>"No iniciado,En prueba,Ajustar reglas,Aprobado,Descartado"</x:formula1>
    </x:dataValidation>
    <x:dataValidation type="list" sqref="C5:C60">
      <x:formula1>"Producto,Tecnología,Software,Farmacéutico,Servicio,Modelo de negocio,Otro"</x:formula1>
    </x:dataValidation>
    <x:dataValidation type="list" sqref="F5:F60">
      <x:formula1>"1,2,3,4,5,6,7,8,9"</x:formula1>
    </x:dataValidation>
    <x:dataValidation type="list" sqref="G5:G60">
      <x:formula1>"0,1,2,3,4,5,6,7,8,9"</x:formula1>
    </x:dataValidation>
    <x:dataValidation type="list" sqref="H5:H60">
      <x:formula1>'21_SIMULADOR_AUX'!$A$5:$A$30</x:formula1>
    </x:dataValidation>
    <x:dataValidation type="list" sqref="I5:I60">
      <x:formula1>"No existe,Parcial / insuficiente,Válida y vigente,Válida pero requiere actualización"</x:formula1>
    </x:dataValidation>
    <x:dataValidation type="list" sqref="K5:K60">
      <x:formula1>'21_SIMULADOR_AUX'!$Q$2:$Q$39</x:formula1>
    </x:dataValidation>
    <x:dataValidation type="list" sqref="H5:H18">
      <x:formula1>'21_SIMULADOR_AUX'!$A$5:$A$38</x:formula1>
    </x:dataValidation>
    <x:dataValidation type="list" sqref="I5:I18">
      <x:formula1>"No existe,Existe parcialmente,Válida pero requiere actualización,Válida y vigente"</x:formula1>
    </x:dataValidation>
  </x:dataValidations>
  <x:pageMargins left="0.7" right="0.7" top="0.75" bottom="0.75" header="0.3" footer="0.3"/>
  <x:tableParts count="1">
    <x:tablePart xmlns:r="http://schemas.openxmlformats.org/officeDocument/2006/relationships" r:id="R4cd377d633154c7e"/>
  </x:tableParts>
</x:worksheet>
</file>

<file path=xl/worksheets/sheet1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s>
  <x:sheetData>
    <x:row r="1" ht="28" customHeight="1">
      <x:c r="A1" s="6" t="str">
        <x:v>10 — LISTAS DE CONTROL (REFERENCIA)</x:v>
      </x:c>
      <x:c r="B1" s="6" t="str">
        <x:v>10 — LISTAS DE CONTROL (REFERENCIA)</x:v>
      </x:c>
      <x:c r="C1" s="6" t="str">
        <x:v>10 — LISTAS DE CONTROL (REFERENCIA)</x:v>
      </x:c>
      <x:c r="D1" s="6" t="str">
        <x:v>10 — LISTAS DE CONTROL (REFERENCIA)</x:v>
      </x:c>
      <x:c r="E1" s="6" t="str">
        <x:v>10 — LISTAS DE CONTROL (REFERENCIA)</x:v>
      </x:c>
      <x:c r="F1" s="6" t="str">
        <x:v>10 — LISTAS DE CONTROL (REFERENCIA)</x:v>
      </x:c>
    </x:row>
    <x:row r="2" ht="35" customHeight="1">
      <x:c r="A2" s="15" t="str">
        <x:v>Hoja de apoyo para estandarizar categorías. Puedes ampliar estas listas si CEDIA define nuevas opciones. No contiene lógica del motor.</x:v>
      </x:c>
      <x:c r="B2" s="15" t="str">
        <x:v>Hoja de apoyo para estandarizar categorías. Puedes ampliar estas listas si CEDIA define nuevas opciones. No contiene lógica del motor.</x:v>
      </x:c>
      <x:c r="C2" s="15" t="str">
        <x:v>Hoja de apoyo para estandarizar categorías. Puedes ampliar estas listas si CEDIA define nuevas opciones. No contiene lógica del motor.</x:v>
      </x:c>
      <x:c r="D2" s="15" t="str">
        <x:v>Hoja de apoyo para estandarizar categorías. Puedes ampliar estas listas si CEDIA define nuevas opciones. No contiene lógica del motor.</x:v>
      </x:c>
      <x:c r="E2" s="15" t="str">
        <x:v>Hoja de apoyo para estandarizar categorías. Puedes ampliar estas listas si CEDIA define nuevas opciones. No contiene lógica del motor.</x:v>
      </x:c>
      <x:c r="F2" s="15" t="str">
        <x:v>Hoja de apoyo para estandarizar categorías. Puedes ampliar estas listas si CEDIA define nuevas opciones. No contiene lógica del motor.</x:v>
      </x:c>
    </x:row>
    <x:row r="4" ht="34" customHeight="1">
      <x:c r="A4" s="129" t="str">
        <x:v>FAMILIAS</x:v>
      </x:c>
      <x:c r="B4" s="130" t="str">
        <x:v>DIMENSIONES</x:v>
      </x:c>
      <x:c r="C4" s="130" t="str">
        <x:v>ESTADOS_VALIDACION</x:v>
      </x:c>
      <x:c r="D4" s="130" t="str">
        <x:v>MODALIDADES</x:v>
      </x:c>
      <x:c r="E4" s="130" t="str">
        <x:v>TIPOS_PROYECTO</x:v>
      </x:c>
      <x:c r="F4" s="165" t="str">
        <x:v>NIVELES</x:v>
      </x:c>
      <x:c r="G4" s="130" t="str">
        <x:v>ETAPAS_CADENA_CEDIA</x:v>
      </x:c>
      <x:c r="H4" s="130" t="str">
        <x:v>TIPOS_RELACION</x:v>
      </x:c>
      <x:c r="I4" s="130" t="str">
        <x:v>ORIGEN_DATO</x:v>
      </x:c>
      <x:c r="J4" s="131" t="str">
        <x:v>NIVEL_SUSTENTO</x:v>
      </x:c>
    </x:row>
    <x:row r="5">
      <x:c r="A5" s="136" t="str">
        <x:v>Ideación</x:v>
      </x:c>
      <x:c r="B5" s="136" t="str">
        <x:v>Problema</x:v>
      </x:c>
      <x:c r="C5" s="136" t="str">
        <x:v>Pendiente de levantar</x:v>
      </x:c>
      <x:c r="D5" s="136" t="str">
        <x:v>Autogestión</x:v>
      </x:c>
      <x:c r="E5" s="136" t="str">
        <x:v>Tecnología / Producto</x:v>
      </x:c>
      <x:c r="F5" s="136" t="str">
        <x:v>1</x:v>
      </x:c>
      <x:c r="G5" s="136" t="str">
        <x:v>IDEACIÓN</x:v>
      </x:c>
      <x:c r="H5" s="136" t="str">
        <x:v>Directa</x:v>
      </x:c>
      <x:c r="I5" s="136" t="str">
        <x:v>Documento CEDIA</x:v>
      </x:c>
      <x:c r="J5" s="136" t="str">
        <x:v>Directo</x:v>
      </x:c>
    </x:row>
    <x:row r="6">
      <x:c r="A6" s="136" t="str">
        <x:v>Marketing</x:v>
      </x:c>
      <x:c r="B6" s="136" t="str">
        <x:v>Investigación / Evidencia</x:v>
      </x:c>
      <x:c r="C6" s="136" t="str">
        <x:v>Preliminar</x:v>
      </x:c>
      <x:c r="D6" s="136" t="str">
        <x:v>IA</x:v>
      </x:c>
      <x:c r="E6" s="136" t="str">
        <x:v>Software</x:v>
      </x:c>
      <x:c r="F6" s="136" t="str">
        <x:v>2</x:v>
      </x:c>
      <x:c r="G6" s="136" t="str">
        <x:v>INVESTIGACIÓN</x:v>
      </x:c>
      <x:c r="H6" s="136" t="str">
        <x:v>Complementaria</x:v>
      </x:c>
      <x:c r="I6" s="136" t="str">
        <x:v>Fuente institucional CEDIA</x:v>
      </x:c>
      <x:c r="J6" s="136" t="str">
        <x:v>Inferido</x:v>
      </x:c>
    </x:row>
    <x:row r="7">
      <x:c r="A7" s="136" t="str">
        <x:v>Modelo de Negocio</x:v>
      </x:c>
      <x:c r="B7" s="136" t="str">
        <x:v>Ideación / Alternativas</x:v>
      </x:c>
      <x:c r="C7" s="136" t="str">
        <x:v>Por validar CEDIA</x:v>
      </x:c>
      <x:c r="D7" s="136" t="str">
        <x:v>Taller</x:v>
      </x:c>
      <x:c r="E7" s="136" t="str">
        <x:v>Farmacéutico</x:v>
      </x:c>
      <x:c r="F7" s="136" t="str">
        <x:v>3</x:v>
      </x:c>
      <x:c r="G7" s="136" t="str">
        <x:v>PROTOTIPACIÓN</x:v>
      </x:c>
      <x:c r="H7" s="136" t="str">
        <x:v>Transversal</x:v>
      </x:c>
      <x:c r="I7" s="136" t="str">
        <x:v>Calculadora CEDIA</x:v>
      </x:c>
      <x:c r="J7" s="136" t="str">
        <x:v>Mixto (directo + inferido)</x:v>
      </x:c>
    </x:row>
    <x:row r="8">
      <x:c r="A8" s="136" t="str">
        <x:v>Prototipado</x:v>
      </x:c>
      <x:c r="B8" s="136" t="str">
        <x:v>Entorno / Tendencias</x:v>
      </x:c>
      <x:c r="C8" s="136" t="str">
        <x:v>Validado CEDIA</x:v>
      </x:c>
      <x:c r="D8" s="136" t="str">
        <x:v>Acompañamiento</x:v>
      </x:c>
      <x:c r="E8" s="136" t="str">
        <x:v>Servicio</x:v>
      </x:c>
      <x:c r="F8" s="136" t="str">
        <x:v>4</x:v>
      </x:c>
      <x:c r="G8" s="136" t="str">
        <x:v>VINCULACIÓN</x:v>
      </x:c>
      <x:c r="H8" s="136" t="str">
        <x:v>No aplica</x:v>
      </x:c>
      <x:c r="I8" s="136" t="str">
        <x:v>Fuente externa</x:v>
      </x:c>
      <x:c r="J8" s="136" t="str">
        <x:v>Por validar</x:v>
      </x:c>
    </x:row>
    <x:row r="9">
      <x:c r="A9" s="136" t="str">
        <x:v>Servucción</x:v>
      </x:c>
      <x:c r="B9" s="136" t="str">
        <x:v>Usuario</x:v>
      </x:c>
      <x:c r="C9" s="136" t="str">
        <x:v>Fuente interna; confirmar versión vigente</x:v>
      </x:c>
      <x:c r="D9" s="136" t="str">
        <x:v>Mixta</x:v>
      </x:c>
      <x:c r="E9" s="136" t="str">
        <x:v>Modelo de negocio</x:v>
      </x:c>
      <x:c r="F9" s="136" t="str">
        <x:v>5</x:v>
      </x:c>
      <x:c r="G9" s="136" t="str">
        <x:v>PROPIEDAD INTELECTUAL</x:v>
      </x:c>
      <x:c r="H9" s="136" t="str">
        <x:v>Por validar</x:v>
      </x:c>
      <x:c r="I9" s="136" t="str">
        <x:v>Inferencia sustentada</x:v>
      </x:c>
      <x:c r="J9" s="136"/>
    </x:row>
    <x:row r="10">
      <x:c r="A10" s="136" t="str">
        <x:v>Tendencias</x:v>
      </x:c>
      <x:c r="B10" s="136" t="str">
        <x:v>Solución</x:v>
      </x:c>
      <x:c r="C10" s="136" t="str">
        <x:v>Descartado</x:v>
      </x:c>
      <x:c r="D10" s="136" t="str">
        <x:v>En vivo</x:v>
      </x:c>
      <x:c r="E10" s="136" t="str">
        <x:v>Investigación</x:v>
      </x:c>
      <x:c r="F10" s="136" t="str">
        <x:v>6</x:v>
      </x:c>
      <x:c r="G10" s="136" t="str">
        <x:v>TRANSFERENCIA</x:v>
      </x:c>
      <x:c r="H10" s="136"/>
      <x:c r="I10" s="136" t="str">
        <x:v>Propuesta del proyecto</x:v>
      </x:c>
      <x:c r="J10" s="136"/>
    </x:row>
    <x:row r="11">
      <x:c r="A11" s="136" t="str">
        <x:v>Otra</x:v>
      </x:c>
      <x:c r="B11" s="136" t="str">
        <x:v>Prototipado</x:v>
      </x:c>
      <x:c r="C11" s="136" t="str">
        <x:v>No aplica</x:v>
      </x:c>
      <x:c r="D11" s="136" t="str">
        <x:v>Híbrida</x:v>
      </x:c>
      <x:c r="E11" s="136" t="str">
        <x:v>Mixto</x:v>
      </x:c>
      <x:c r="F11" s="136" t="str">
        <x:v>7</x:v>
      </x:c>
      <x:c r="G11" s="136" t="str">
        <x:v>DIFUSIÓN CIENTÍFICA</x:v>
      </x:c>
      <x:c r="H11" s="136"/>
      <x:c r="I11" s="136"/>
      <x:c r="J11" s="136"/>
    </x:row>
    <x:row r="12">
      <x:c r="A12" s="136" t="str">
        <x:v>Validación</x:v>
      </x:c>
      <x:c r="B12" s="136" t="str">
        <x:v>Tecnología</x:v>
      </x:c>
      <x:c r="C12" s="136"/>
      <x:c r="D12" s="136" t="str">
        <x:v>Virtual</x:v>
      </x:c>
      <x:c r="E12" s="136" t="str">
        <x:v>Cualquiera</x:v>
      </x:c>
      <x:c r="F12" s="136" t="str">
        <x:v>8</x:v>
      </x:c>
      <x:c r="G12" s="136" t="str">
        <x:v>Por validar</x:v>
      </x:c>
      <x:c r="H12" s="136"/>
      <x:c r="I12" s="136"/>
      <x:c r="J12" s="136"/>
    </x:row>
    <x:row r="13">
      <x:c r="A13" s="136" t="str">
        <x:v>Maduración tecnológica</x:v>
      </x:c>
      <x:c r="B13" s="136" t="str">
        <x:v>Mercado</x:v>
      </x:c>
      <x:c r="C13" s="136"/>
      <x:c r="D13" s="136" t="str">
        <x:v>Presencial</x:v>
      </x:c>
      <x:c r="E13" s="136" t="str">
        <x:v>Por validar</x:v>
      </x:c>
      <x:c r="F13" s="136" t="str">
        <x:v>9</x:v>
      </x:c>
      <x:c r="G13" s="136" t="str">
        <x:v>VALIDACIÓN / EXPERIMENTACIÓN</x:v>
      </x:c>
      <x:c r="H13" s="136"/>
      <x:c r="I13" s="136"/>
      <x:c r="J13" s="136"/>
    </x:row>
    <x:row r="14">
      <x:c r="A14" s="136" t="str">
        <x:v>Transferencia / PI</x:v>
      </x:c>
      <x:c r="B14" s="136" t="str">
        <x:v>Propuesta de valor</x:v>
      </x:c>
      <x:c r="C14" s="136"/>
      <x:c r="D14" s="136" t="str">
        <x:v>Por validar</x:v>
      </x:c>
      <x:c r="E14" s="136"/>
      <x:c r="F14" s="136"/>
      <x:c r="G14" s="136" t="str">
        <x:v>MADURACIÓN TECNOLÓGICA</x:v>
      </x:c>
      <x:c r="H14" s="136"/>
      <x:c r="I14" s="136"/>
      <x:c r="J14" s="136"/>
    </x:row>
    <x:row r="15">
      <x:c r="A15" s="136" t="str">
        <x:v>Adopción / Comercialización</x:v>
      </x:c>
      <x:c r="B15" s="136" t="str">
        <x:v>Modelo de negocio</x:v>
      </x:c>
      <x:c r="C15" s="136"/>
      <x:c r="D15" s="136"/>
      <x:c r="E15" s="136"/>
      <x:c r="F15" s="136"/>
      <x:c r="G15" s="136" t="str">
        <x:v>ADOPCIÓN / COMERCIALIZACIÓN</x:v>
      </x:c>
      <x:c r="H15" s="136"/>
      <x:c r="I15" s="136"/>
      <x:c r="J15" s="136"/>
    </x:row>
    <x:row r="16">
      <x:c r="A16" s="136"/>
      <x:c r="B16" s="136" t="str">
        <x:v>Posicionamiento</x:v>
      </x:c>
      <x:c r="C16" s="136"/>
      <x:c r="D16" s="136"/>
      <x:c r="E16" s="136"/>
      <x:c r="F16" s="136"/>
      <x:c r="G16" s="136"/>
      <x:c r="H16" s="136"/>
      <x:c r="I16" s="136"/>
      <x:c r="J16" s="136"/>
    </x:row>
    <x:row r="17">
      <x:c r="A17" s="136"/>
      <x:c r="B17" s="136" t="str">
        <x:v>Servicio / Servucción</x:v>
      </x:c>
      <x:c r="C17" s="136"/>
      <x:c r="D17" s="136"/>
      <x:c r="E17" s="136"/>
      <x:c r="F17" s="136"/>
      <x:c r="G17" s="136"/>
      <x:c r="H17" s="136"/>
      <x:c r="I17" s="136"/>
      <x:c r="J17" s="136"/>
    </x:row>
    <x:row r="18">
      <x:c r="A18" s="136"/>
      <x:c r="B18" s="136" t="str">
        <x:v>Comunicación / Pitch</x:v>
      </x:c>
      <x:c r="C18" s="136"/>
      <x:c r="D18" s="136"/>
      <x:c r="E18" s="136"/>
      <x:c r="F18" s="136"/>
      <x:c r="G18" s="136"/>
      <x:c r="H18" s="136"/>
      <x:c r="I18" s="136"/>
      <x:c r="J18" s="136"/>
    </x:row>
    <x:row r="19">
      <x:c r="A19" s="136"/>
      <x:c r="B19" s="136" t="str">
        <x:v>Viabilidad</x:v>
      </x:c>
      <x:c r="C19" s="136"/>
      <x:c r="D19" s="136"/>
      <x:c r="E19" s="136"/>
      <x:c r="F19" s="136"/>
      <x:c r="G19" s="136"/>
      <x:c r="H19" s="136"/>
      <x:c r="I19" s="136"/>
      <x:c r="J19" s="136"/>
    </x:row>
    <x:row r="20">
      <x:c r="A20" s="136"/>
      <x:c r="B20" s="136" t="str">
        <x:v>Estrategia</x:v>
      </x:c>
      <x:c r="C20" s="136"/>
      <x:c r="D20" s="136"/>
      <x:c r="E20" s="136"/>
      <x:c r="F20" s="136"/>
      <x:c r="G20" s="136"/>
      <x:c r="H20" s="136"/>
      <x:c r="I20" s="136"/>
      <x:c r="J20" s="136"/>
    </x:row>
    <x:row r="21">
      <x:c r="A21" s="136"/>
      <x:c r="B21" s="136" t="str">
        <x:v>Propiedad Intelectual</x:v>
      </x:c>
      <x:c r="C21" s="136"/>
      <x:c r="D21" s="136"/>
      <x:c r="E21" s="136"/>
      <x:c r="F21" s="136"/>
      <x:c r="G21" s="136"/>
      <x:c r="H21" s="136"/>
      <x:c r="I21" s="136"/>
      <x:c r="J21" s="136"/>
    </x:row>
    <x:row r="22">
      <x:c r="A22" s="136"/>
      <x:c r="B22" s="136" t="str">
        <x:v>Regulación / Normativa</x:v>
      </x:c>
      <x:c r="C22" s="136"/>
      <x:c r="D22" s="136"/>
      <x:c r="E22" s="136"/>
      <x:c r="F22" s="136"/>
      <x:c r="G22" s="136"/>
      <x:c r="H22" s="136"/>
      <x:c r="I22" s="136"/>
      <x:c r="J22" s="136"/>
    </x:row>
    <x:row r="23">
      <x:c r="A23" s="136"/>
      <x:c r="B23" s="136" t="str">
        <x:v>Comercialización / Escalabilidad</x:v>
      </x:c>
      <x:c r="C23" s="136"/>
      <x:c r="D23" s="136"/>
      <x:c r="E23" s="136"/>
      <x:c r="F23" s="136"/>
      <x:c r="G23" s="136"/>
      <x:c r="H23" s="136"/>
      <x:c r="I23" s="136"/>
      <x:c r="J23" s="136"/>
    </x:row>
    <x:row r="24">
      <x:c r="A24" s="136"/>
      <x:c r="B24" s="136" t="str">
        <x:v>Otra</x:v>
      </x:c>
      <x:c r="C24" s="136"/>
      <x:c r="D24" s="136"/>
      <x:c r="E24" s="136"/>
      <x:c r="F24" s="136"/>
      <x:c r="G24" s="136"/>
      <x:c r="H24" s="136"/>
      <x:c r="I24" s="136"/>
      <x:c r="J24" s="136"/>
    </x:row>
    <x:row r="25">
      <x:c r="A25" s="136"/>
      <x:c r="B25" s="136" t="str">
        <x:v>Validación / Evidencia</x:v>
      </x:c>
      <x:c r="C25" s="136"/>
      <x:c r="D25" s="136"/>
      <x:c r="E25" s="136"/>
      <x:c r="F25" s="136"/>
      <x:c r="G25" s="136"/>
      <x:c r="H25" s="136"/>
      <x:c r="I25" s="136"/>
      <x:c r="J25" s="136"/>
    </x:row>
    <x:row r="26">
      <x:c r="A26" s="136"/>
      <x:c r="B26" s="136" t="str">
        <x:v>Maduración tecnológica</x:v>
      </x:c>
      <x:c r="C26" s="136"/>
      <x:c r="D26" s="136"/>
      <x:c r="E26" s="136"/>
      <x:c r="F26" s="136"/>
      <x:c r="G26" s="136"/>
      <x:c r="H26" s="136"/>
      <x:c r="I26" s="136"/>
      <x:c r="J26" s="136"/>
    </x:row>
    <x:row r="27">
      <x:c r="A27" s="136"/>
      <x:c r="B27" s="136" t="str">
        <x:v>Ecosistema / Cadena de valor</x:v>
      </x:c>
      <x:c r="C27" s="136"/>
      <x:c r="D27" s="136"/>
      <x:c r="E27" s="136"/>
      <x:c r="F27" s="136"/>
      <x:c r="G27" s="136"/>
      <x:c r="H27" s="136"/>
      <x:c r="I27" s="136"/>
      <x:c r="J27" s="136"/>
    </x:row>
    <x:row r="28">
      <x:c r="A28" s="136"/>
      <x:c r="B28" s="136" t="str">
        <x:v>Adopción / Comercialización</x:v>
      </x:c>
      <x:c r="C28" s="136"/>
      <x:c r="D28" s="136"/>
      <x:c r="E28" s="136"/>
      <x:c r="F28" s="136"/>
      <x:c r="G28" s="136"/>
      <x:c r="H28" s="136"/>
      <x:c r="I28" s="136"/>
      <x:c r="J28" s="136"/>
    </x:row>
    <x:row r="29">
      <x:c r="A29" s="136"/>
      <x:c r="B29" s="136"/>
      <x:c r="C29" s="136"/>
      <x:c r="D29" s="136"/>
      <x:c r="E29" s="136"/>
      <x:c r="F29" s="136"/>
      <x:c r="G29" s="136"/>
      <x:c r="H29" s="136"/>
      <x:c r="I29" s="136"/>
      <x:c r="J29" s="136"/>
    </x:row>
    <x:row r="30">
      <x:c r="A30" s="45"/>
      <x:c r="B30" s="45"/>
      <x:c r="C30" s="45"/>
      <x:c r="D30" s="45"/>
      <x:c r="E30" s="45"/>
      <x:c r="F30" s="45"/>
      <x:c r="G30" s="136"/>
      <x:c r="H30" s="136"/>
      <x:c r="I30" s="136"/>
      <x:c r="J30" s="136"/>
    </x:row>
    <x:row r="31">
      <x:c r="A31" s="136"/>
      <x:c r="B31" s="136"/>
      <x:c r="C31" s="136"/>
      <x:c r="D31" s="136"/>
      <x:c r="E31" s="136"/>
      <x:c r="F31" s="136"/>
      <x:c r="G31" s="136"/>
      <x:c r="H31" s="136"/>
      <x:c r="I31" s="136"/>
      <x:c r="J31" s="136"/>
    </x:row>
    <x:row r="32">
      <x:c r="A32" s="136"/>
      <x:c r="B32" s="136"/>
      <x:c r="C32" s="136"/>
      <x:c r="D32" s="136"/>
      <x:c r="E32" s="136"/>
      <x:c r="F32" s="136"/>
      <x:c r="G32" s="136"/>
      <x:c r="H32" s="136"/>
      <x:c r="I32" s="136"/>
      <x:c r="J32" s="136"/>
    </x:row>
    <x:row r="33">
      <x:c r="A33" s="136"/>
      <x:c r="B33" s="136"/>
      <x:c r="C33" s="136"/>
      <x:c r="D33" s="136"/>
      <x:c r="E33" s="136"/>
      <x:c r="F33" s="136"/>
      <x:c r="G33" s="136"/>
      <x:c r="H33" s="136"/>
      <x:c r="I33" s="136"/>
      <x:c r="J33" s="136"/>
    </x:row>
    <x:row r="34">
      <x:c r="A34" s="136"/>
      <x:c r="B34" s="136"/>
      <x:c r="C34" s="136"/>
      <x:c r="D34" s="136"/>
      <x:c r="E34" s="136"/>
      <x:c r="F34" s="136"/>
      <x:c r="G34" s="136"/>
      <x:c r="H34" s="136"/>
      <x:c r="I34" s="136"/>
      <x:c r="J34" s="136"/>
    </x:row>
    <x:row r="35">
      <x:c r="A35" s="136"/>
      <x:c r="B35" s="136"/>
      <x:c r="C35" s="136"/>
      <x:c r="D35" s="136"/>
      <x:c r="E35" s="136"/>
      <x:c r="F35" s="136"/>
      <x:c r="G35" s="136"/>
      <x:c r="H35" s="136"/>
      <x:c r="I35" s="136"/>
      <x:c r="J35" s="136"/>
    </x:row>
    <x:row r="36">
      <x:c r="A36" s="136"/>
      <x:c r="B36" s="136"/>
      <x:c r="C36" s="136"/>
      <x:c r="D36" s="136"/>
      <x:c r="E36" s="136"/>
      <x:c r="F36" s="136"/>
      <x:c r="G36" s="136"/>
      <x:c r="H36" s="136"/>
      <x:c r="I36" s="136"/>
      <x:c r="J36" s="136"/>
    </x:row>
    <x:row r="37">
      <x:c r="A37" s="136"/>
      <x:c r="B37" s="136"/>
      <x:c r="C37" s="136"/>
      <x:c r="D37" s="136"/>
      <x:c r="E37" s="136"/>
      <x:c r="F37" s="136"/>
      <x:c r="G37" s="136"/>
      <x:c r="H37" s="136"/>
      <x:c r="I37" s="136"/>
      <x:c r="J37" s="136"/>
    </x:row>
    <x:row r="38">
      <x:c r="A38" s="136"/>
      <x:c r="B38" s="136"/>
      <x:c r="C38" s="136"/>
      <x:c r="D38" s="136"/>
      <x:c r="E38" s="136"/>
      <x:c r="F38" s="136"/>
      <x:c r="G38" s="136"/>
      <x:c r="H38" s="136"/>
      <x:c r="I38" s="136"/>
      <x:c r="J38" s="136"/>
    </x:row>
    <x:row r="39">
      <x:c r="A39" s="136"/>
      <x:c r="B39" s="136"/>
      <x:c r="C39" s="136"/>
      <x:c r="D39" s="136"/>
      <x:c r="E39" s="136"/>
      <x:c r="F39" s="136"/>
      <x:c r="G39" s="136"/>
      <x:c r="H39" s="136"/>
      <x:c r="I39" s="136"/>
      <x:c r="J39" s="136"/>
    </x:row>
    <x:row r="40">
      <x:c r="A40" s="137"/>
      <x:c r="B40" s="137"/>
      <x:c r="C40" s="137"/>
      <x:c r="D40" s="137"/>
      <x:c r="E40" s="137"/>
      <x:c r="F40" s="137"/>
      <x:c r="G40" s="137"/>
      <x:c r="H40" s="137"/>
      <x:c r="I40" s="137"/>
      <x:c r="J40" s="137"/>
    </x:row>
  </x:sheetData>
  <x:mergeCells>
    <x:mergeCell ref="A1:F1"/>
    <x:mergeCell ref="A2:F2"/>
  </x:mergeCells>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32" hidden="0" customWidth="1"/>
    <x:col min="5" max="5" width="9" hidden="0" customWidth="1"/>
    <x:col min="6" max="6" width="40" hidden="0" customWidth="1"/>
    <x:col min="7" max="7" width="10" hidden="0" customWidth="1"/>
    <x:col min="8" max="8" width="10" hidden="0" customWidth="1"/>
    <x:col min="9" max="9" width="60" hidden="0" customWidth="1"/>
    <x:col min="10" max="10" width="14" hidden="0" customWidth="1"/>
    <x:col min="11" max="11" width="10" hidden="0" customWidth="1"/>
    <x:col min="12" max="12" width="28" hidden="0" customWidth="1"/>
    <x:col min="13" max="13" width="28" hidden="0" customWidth="1"/>
    <x:col min="14" max="14" width="42" hidden="0" customWidth="1"/>
  </x:cols>
  <x:sheetData>
    <x:row r="1" ht="28" customHeight="1">
      <x:c r="A1" s="157" t="str">
        <x:v>11 — CRITERIOS DETALLADOS DE TRL (CALCULADORA CEDIA)</x:v>
      </x:c>
      <x:c r="B1" s="157" t="str">
        <x:v>11 — CRITERIOS DETALLADOS DE TRL (CALCULADORA CEDIA)</x:v>
      </x:c>
      <x:c r="C1" s="157" t="str">
        <x:v>11 — CRITERIOS DETALLADOS DE TRL (CALCULADORA CEDIA)</x:v>
      </x:c>
      <x:c r="D1" s="157" t="str">
        <x:v>11 — CRITERIOS DETALLADOS DE TRL (CALCULADORA CEDIA)</x:v>
      </x:c>
      <x:c r="E1" s="157" t="str">
        <x:v>11 — CRITERIOS DETALLADOS DE TRL (CALCULADORA CEDIA)</x:v>
      </x:c>
      <x:c r="F1" s="157" t="str">
        <x:v>11 — CRITERIOS DETALLADOS DE TRL (CALCULADORA CEDIA)</x:v>
      </x:c>
      <x:c r="G1" s="157" t="str">
        <x:v>11 — CRITERIOS DETALLADOS DE TRL (CALCULADORA CEDIA)</x:v>
      </x:c>
      <x:c r="H1" s="157" t="str">
        <x:v>11 — CRITERIOS DETALLADOS DE TRL (CALCULADORA CEDIA)</x:v>
      </x:c>
      <x:c r="I1" s="157" t="str">
        <x:v>11 — CRITERIOS DETALLADOS DE TRL (CALCULADORA CEDIA)</x:v>
      </x:c>
      <x:c r="J1" s="157" t="str">
        <x:v>11 — CRITERIOS DETALLADOS DE TRL (CALCULADORA CEDIA)</x:v>
      </x:c>
      <x:c r="K1" s="157" t="str">
        <x:v>11 — CRITERIOS DETALLADOS DE TRL (CALCULADORA CEDIA)</x:v>
      </x:c>
      <x:c r="L1" s="157" t="str">
        <x:v>11 — CRITERIOS DETALLADOS DE TRL (CALCULADORA CEDIA)</x:v>
      </x:c>
      <x:c r="M1" s="157" t="str">
        <x:v>11 — CRITERIOS DETALLADOS DE TRL (CALCULADORA CEDIA)</x:v>
      </x:c>
      <x:c r="N1" s="157" t="str">
        <x:v>11 — CRITERIOS DETALLADOS DE TRL (CALCULADORA CEDIA)</x:v>
      </x:c>
    </x:row>
    <x:row r="2" ht="34" customHeight="1">
      <x:c r="A2" s="143" t="str">
        <x:v>Una fila = una opción/criterio de respuesta. Se conserva el rango TRL y puntaje de referencia del archivo fuente; las anotaciones internas se preservan para revisión.</x:v>
      </x:c>
      <x:c r="B2" s="143" t="str">
        <x:v>Una fila = una opción/criterio de respuesta. Se conserva el rango TRL y puntaje de referencia del archivo fuente; las anotaciones internas se preservan para revisión.</x:v>
      </x:c>
      <x:c r="C2" s="143" t="str">
        <x:v>Una fila = una opción/criterio de respuesta. Se conserva el rango TRL y puntaje de referencia del archivo fuente; las anotaciones internas se preservan para revisión.</x:v>
      </x:c>
      <x:c r="D2" s="143" t="str">
        <x:v>Una fila = una opción/criterio de respuesta. Se conserva el rango TRL y puntaje de referencia del archivo fuente; las anotaciones internas se preservan para revisión.</x:v>
      </x:c>
      <x:c r="E2" s="143" t="str">
        <x:v>Una fila = una opción/criterio de respuesta. Se conserva el rango TRL y puntaje de referencia del archivo fuente; las anotaciones internas se preservan para revisión.</x:v>
      </x:c>
      <x:c r="F2" s="143" t="str">
        <x:v>Una fila = una opción/criterio de respuesta. Se conserva el rango TRL y puntaje de referencia del archivo fuente; las anotaciones internas se preservan para revisión.</x:v>
      </x:c>
      <x:c r="G2" s="143" t="str">
        <x:v>Una fila = una opción/criterio de respuesta. Se conserva el rango TRL y puntaje de referencia del archivo fuente; las anotaciones internas se preservan para revisión.</x:v>
      </x:c>
      <x:c r="H2" s="143" t="str">
        <x:v>Una fila = una opción/criterio de respuesta. Se conserva el rango TRL y puntaje de referencia del archivo fuente; las anotaciones internas se preservan para revisión.</x:v>
      </x:c>
      <x:c r="I2" s="143" t="str">
        <x:v>Una fila = una opción/criterio de respuesta. Se conserva el rango TRL y puntaje de referencia del archivo fuente; las anotaciones internas se preservan para revisión.</x:v>
      </x:c>
      <x:c r="J2" s="143" t="str">
        <x:v>Una fila = una opción/criterio de respuesta. Se conserva el rango TRL y puntaje de referencia del archivo fuente; las anotaciones internas se preservan para revisión.</x:v>
      </x:c>
      <x:c r="K2" s="143" t="str">
        <x:v>Una fila = una opción/criterio de respuesta. Se conserva el rango TRL y puntaje de referencia del archivo fuente; las anotaciones internas se preservan para revisión.</x:v>
      </x:c>
      <x:c r="L2" s="143" t="str">
        <x:v>Una fila = una opción/criterio de respuesta. Se conserva el rango TRL y puntaje de referencia del archivo fuente; las anotaciones internas se preservan para revisión.</x:v>
      </x:c>
      <x:c r="M2" s="143" t="str">
        <x:v>Una fila = una opción/criterio de respuesta. Se conserva el rango TRL y puntaje de referencia del archivo fuente; las anotaciones internas se preservan para revisión.</x:v>
      </x:c>
      <x:c r="N2" s="143" t="str">
        <x:v>Una fila = una opción/criterio de respuesta. Se conserva el rango TRL y puntaje de referencia del archivo fuente; las anotaciones internas se preservan para revisión.</x:v>
      </x:c>
    </x:row>
    <x:row r="4" ht="34" customHeight="1">
      <x:c r="A4" s="129" t="str">
        <x:v>ID_CRITERIO</x:v>
      </x:c>
      <x:c r="B4" s="130" t="str">
        <x:v>TIPO_PROYECTO</x:v>
      </x:c>
      <x:c r="C4" s="130" t="str">
        <x:v>ID_DIMENSION</x:v>
      </x:c>
      <x:c r="D4" s="130" t="str">
        <x:v>DIMENSION</x:v>
      </x:c>
      <x:c r="E4" s="130" t="str">
        <x:v>PESO</x:v>
      </x:c>
      <x:c r="F4" s="130" t="str">
        <x:v>PREGUNTA</x:v>
      </x:c>
      <x:c r="G4" s="130" t="str">
        <x:v>TRL_DESDE</x:v>
      </x:c>
      <x:c r="H4" s="130" t="str">
        <x:v>TRL_HASTA</x:v>
      </x:c>
      <x:c r="I4" s="130" t="str">
        <x:v>CRITERIO_RESPUESTA</x:v>
      </x:c>
      <x:c r="J4" s="130" t="str">
        <x:v>PUNTAJE_REFERENCIA</x:v>
      </x:c>
      <x:c r="K4" s="130" t="str">
        <x:v>FILA_ORIGEN</x:v>
      </x:c>
      <x:c r="L4" s="130" t="str">
        <x:v>FUENTE</x:v>
      </x:c>
      <x:c r="M4" s="130" t="str">
        <x:v>ESTADO_VALIDACION</x:v>
      </x:c>
      <x:c r="N4" s="131" t="str">
        <x:v>NOTAS_FUENTE</x:v>
      </x:c>
    </x:row>
    <x:row r="5">
      <x:c r="A5" s="136" t="str">
        <x:v>TRL-C-001</x:v>
      </x:c>
      <x:c r="B5" s="136" t="str">
        <x:v>Tecnología / Producto</x:v>
      </x:c>
      <x:c r="C5" s="136" t="str">
        <x:v>TEC-01</x:v>
      </x:c>
      <x:c r="D5" s="136" t="str">
        <x:v>ETAPA DE DESARROLLO</x:v>
      </x:c>
      <x:c r="E5" s="152" t="n">
        <x:v>0.25</x:v>
      </x:c>
      <x:c r="F5" s="136" t="str">
        <x:v>¿En qué nivel de desarrollo se encuentra actualmente su proyecto o producto?</x:v>
      </x:c>
      <x:c r="G5" s="136" t="n">
        <x:v>1</x:v>
      </x:c>
      <x:c r="H5" s="136" t="n">
        <x:v>1</x:v>
      </x:c>
      <x:c r="I5" s="136" t="str">
        <x:v>Solo se han identificado principios básicos y una posible solución.</x:v>
      </x:c>
      <x:c r="J5" s="136" t="n">
        <x:v>1</x:v>
      </x:c>
      <x:c r="K5" s="136" t="n">
        <x:v>5</x:v>
      </x:c>
      <x:c r="L5" s="136" t="str">
        <x:v>CALCULADORA TRL Y CRLS.xlsx</x:v>
      </x:c>
      <x:c r="M5" s="136" t="str">
        <x:v>Fuente interna; confirmar versión vigente</x:v>
      </x:c>
      <x:c r="N5" s="136"/>
    </x:row>
    <x:row r="6">
      <x:c r="A6" s="136" t="str">
        <x:v>TRL-C-002</x:v>
      </x:c>
      <x:c r="B6" s="136" t="str">
        <x:v>Tecnología / Producto</x:v>
      </x:c>
      <x:c r="C6" s="136" t="str">
        <x:v>TEC-01</x:v>
      </x:c>
      <x:c r="D6" s="136" t="str">
        <x:v>ETAPA DE DESARROLLO</x:v>
      </x:c>
      <x:c r="E6" s="152" t="n">
        <x:v>0.25</x:v>
      </x:c>
      <x:c r="F6" s="136" t="str">
        <x:v>¿En qué nivel de desarrollo se encuentra actualmente su proyecto o producto?</x:v>
      </x:c>
      <x:c r="G6" s="136" t="n">
        <x:v>2</x:v>
      </x:c>
      <x:c r="H6" s="136" t="n">
        <x:v>2</x:v>
      </x:c>
      <x:c r="I6" s="136" t="str">
        <x:v>Formulación de hipótesis detalladas y diseño de un modelo conceptual básico.</x:v>
      </x:c>
      <x:c r="J6" s="136" t="n">
        <x:v>2</x:v>
      </x:c>
      <x:c r="K6" s="136" t="n">
        <x:v>6</x:v>
      </x:c>
      <x:c r="L6" s="136" t="str">
        <x:v>CALCULADORA TRL Y CRLS.xlsx</x:v>
      </x:c>
      <x:c r="M6" s="136" t="str">
        <x:v>Fuente interna; confirmar versión vigente</x:v>
      </x:c>
      <x:c r="N6" s="136"/>
    </x:row>
    <x:row r="7">
      <x:c r="A7" s="136" t="str">
        <x:v>TRL-C-003</x:v>
      </x:c>
      <x:c r="B7" s="136" t="str">
        <x:v>Tecnología / Producto</x:v>
      </x:c>
      <x:c r="C7" s="136" t="str">
        <x:v>TEC-01</x:v>
      </x:c>
      <x:c r="D7" s="136" t="str">
        <x:v>ETAPA DE DESARROLLO</x:v>
      </x:c>
      <x:c r="E7" s="152" t="n">
        <x:v>0.25</x:v>
      </x:c>
      <x:c r="F7" s="136" t="str">
        <x:v>¿En qué nivel de desarrollo se encuentra actualmente su proyecto o producto?</x:v>
      </x:c>
      <x:c r="G7" s="136" t="n">
        <x:v>3</x:v>
      </x:c>
      <x:c r="H7" s="136" t="n">
        <x:v>3</x:v>
      </x:c>
      <x:c r="I7" s="136" t="str">
        <x:v>Creación de un prototipo básico y validación en laboratorio de su funcionalidad básica.</x:v>
      </x:c>
      <x:c r="J7" s="136" t="n">
        <x:v>3</x:v>
      </x:c>
      <x:c r="K7" s="136" t="n">
        <x:v>7</x:v>
      </x:c>
      <x:c r="L7" s="136" t="str">
        <x:v>CALCULADORA TRL Y CRLS.xlsx</x:v>
      </x:c>
      <x:c r="M7" s="136" t="str">
        <x:v>Fuente interna; confirmar versión vigente</x:v>
      </x:c>
      <x:c r="N7" s="136"/>
    </x:row>
    <x:row r="8">
      <x:c r="A8" s="136" t="str">
        <x:v>TRL-C-004</x:v>
      </x:c>
      <x:c r="B8" s="136" t="str">
        <x:v>Tecnología / Producto</x:v>
      </x:c>
      <x:c r="C8" s="136" t="str">
        <x:v>TEC-01</x:v>
      </x:c>
      <x:c r="D8" s="136" t="str">
        <x:v>ETAPA DE DESARROLLO</x:v>
      </x:c>
      <x:c r="E8" s="152" t="n">
        <x:v>0.25</x:v>
      </x:c>
      <x:c r="F8" s="136" t="str">
        <x:v>¿En qué nivel de desarrollo se encuentra actualmente su proyecto o producto?</x:v>
      </x:c>
      <x:c r="G8" s="136" t="n">
        <x:v>4</x:v>
      </x:c>
      <x:c r="H8" s="136" t="n">
        <x:v>4</x:v>
      </x:c>
      <x:c r="I8" s="136" t="str">
        <x:v>Prototipo funcional probado en laboratorio y listo para pruebas simuladas avanzadas.</x:v>
      </x:c>
      <x:c r="J8" s="136" t="n">
        <x:v>4</x:v>
      </x:c>
      <x:c r="K8" s="136" t="n">
        <x:v>8</x:v>
      </x:c>
      <x:c r="L8" s="136" t="str">
        <x:v>CALCULADORA TRL Y CRLS.xlsx</x:v>
      </x:c>
      <x:c r="M8" s="136" t="str">
        <x:v>Fuente interna; confirmar versión vigente</x:v>
      </x:c>
      <x:c r="N8" s="136"/>
    </x:row>
    <x:row r="9">
      <x:c r="A9" s="136" t="str">
        <x:v>TRL-C-005</x:v>
      </x:c>
      <x:c r="B9" s="136" t="str">
        <x:v>Tecnología / Producto</x:v>
      </x:c>
      <x:c r="C9" s="136" t="str">
        <x:v>TEC-01</x:v>
      </x:c>
      <x:c r="D9" s="136" t="str">
        <x:v>ETAPA DE DESARROLLO</x:v>
      </x:c>
      <x:c r="E9" s="152" t="n">
        <x:v>0.25</x:v>
      </x:c>
      <x:c r="F9" s="136" t="str">
        <x:v>¿En qué nivel de desarrollo se encuentra actualmente su proyecto o producto?</x:v>
      </x:c>
      <x:c r="G9" s="136" t="n">
        <x:v>5</x:v>
      </x:c>
      <x:c r="H9" s="136" t="n">
        <x:v>5</x:v>
      </x:c>
      <x:c r="I9" s="136" t="str">
        <x:v>El prototipo ha sido validado en un entorno controlado con simulaciones detalladas, analizando su desempeño bajo condiciones experimentales representativas.</x:v>
      </x:c>
      <x:c r="J9" s="136" t="n">
        <x:v>5</x:v>
      </x:c>
      <x:c r="K9" s="136" t="n">
        <x:v>9</x:v>
      </x:c>
      <x:c r="L9" s="136" t="str">
        <x:v>CALCULADORA TRL Y CRLS.xlsx</x:v>
      </x:c>
      <x:c r="M9" s="136" t="str">
        <x:v>Fuente interna; confirmar versión vigente</x:v>
      </x:c>
      <x:c r="N9" s="136" t="str">
        <x:v>(entorno relevante = un ambiente que no es el laboratorio puro, sino con ciertas condiciones de campo)</x:v>
      </x:c>
    </x:row>
    <x:row r="10">
      <x:c r="A10" s="136" t="str">
        <x:v>TRL-C-006</x:v>
      </x:c>
      <x:c r="B10" s="136" t="str">
        <x:v>Tecnología / Producto</x:v>
      </x:c>
      <x:c r="C10" s="136" t="str">
        <x:v>TEC-01</x:v>
      </x:c>
      <x:c r="D10" s="136" t="str">
        <x:v>ETAPA DE DESARROLLO</x:v>
      </x:c>
      <x:c r="E10" s="152" t="n">
        <x:v>0.25</x:v>
      </x:c>
      <x:c r="F10" s="136" t="str">
        <x:v>¿En qué nivel de desarrollo se encuentra actualmente su proyecto o producto?</x:v>
      </x:c>
      <x:c r="G10" s="136" t="n">
        <x:v>6</x:v>
      </x:c>
      <x:c r="H10" s="136" t="n">
        <x:v>6</x:v>
      </x:c>
      <x:c r="I10" s="136" t="str">
        <x:v>El prototipo ha sido probado en un entorno relevante que simula condiciones reales de uso, evaluando su funcionalidad y viabilidad técnica</x:v>
      </x:c>
      <x:c r="J10" s="136" t="n">
        <x:v>6</x:v>
      </x:c>
      <x:c r="K10" s="136" t="n">
        <x:v>10</x:v>
      </x:c>
      <x:c r="L10" s="136" t="str">
        <x:v>CALCULADORA TRL Y CRLS.xlsx</x:v>
      </x:c>
      <x:c r="M10" s="136" t="str">
        <x:v>Fuente interna; confirmar versión vigente</x:v>
      </x:c>
      <x:c r="N10" s="136"/>
    </x:row>
    <x:row r="11">
      <x:c r="A11" s="136" t="str">
        <x:v>TRL-C-007</x:v>
      </x:c>
      <x:c r="B11" s="136" t="str">
        <x:v>Tecnología / Producto</x:v>
      </x:c>
      <x:c r="C11" s="136" t="str">
        <x:v>TEC-01</x:v>
      </x:c>
      <x:c r="D11" s="136" t="str">
        <x:v>ETAPA DE DESARROLLO</x:v>
      </x:c>
      <x:c r="E11" s="152" t="n">
        <x:v>0.25</x:v>
      </x:c>
      <x:c r="F11" s="136" t="str">
        <x:v>¿En qué nivel de desarrollo se encuentra actualmente su proyecto o producto?</x:v>
      </x:c>
      <x:c r="G11" s="136" t="n">
        <x:v>7</x:v>
      </x:c>
      <x:c r="H11" s="136" t="n">
        <x:v>7</x:v>
      </x:c>
      <x:c r="I11" s="136" t="str">
        <x:v>Prototipo probado en entornos operativos reales que simulan el uso final, con validación preliminar realizada con usuarios clave y expertos del sector</x:v>
      </x:c>
      <x:c r="J11" s="136" t="n">
        <x:v>7</x:v>
      </x:c>
      <x:c r="K11" s="136" t="n">
        <x:v>11</x:v>
      </x:c>
      <x:c r="L11" s="136" t="str">
        <x:v>CALCULADORA TRL Y CRLS.xlsx</x:v>
      </x:c>
      <x:c r="M11" s="136" t="str">
        <x:v>Fuente interna; confirmar versión vigente</x:v>
      </x:c>
      <x:c r="N11" s="136"/>
    </x:row>
    <x:row r="12">
      <x:c r="A12" s="136" t="str">
        <x:v>TRL-C-008</x:v>
      </x:c>
      <x:c r="B12" s="136" t="str">
        <x:v>Tecnología / Producto</x:v>
      </x:c>
      <x:c r="C12" s="136" t="str">
        <x:v>TEC-01</x:v>
      </x:c>
      <x:c r="D12" s="136" t="str">
        <x:v>ETAPA DE DESARROLLO</x:v>
      </x:c>
      <x:c r="E12" s="152" t="n">
        <x:v>0.25</x:v>
      </x:c>
      <x:c r="F12" s="136" t="str">
        <x:v>¿En qué nivel de desarrollo se encuentra actualmente su proyecto o producto?</x:v>
      </x:c>
      <x:c r="G12" s="136" t="n">
        <x:v>8</x:v>
      </x:c>
      <x:c r="H12" s="136" t="n">
        <x:v>8</x:v>
      </x:c>
      <x:c r="I12" s="136" t="str">
        <x:v>Producto validado por clientes o usuarios en condiciones reales; cercano a su disponibilidad en el mercado.</x:v>
      </x:c>
      <x:c r="J12" s="136" t="n">
        <x:v>8</x:v>
      </x:c>
      <x:c r="K12" s="136" t="n">
        <x:v>12</x:v>
      </x:c>
      <x:c r="L12" s="136" t="str">
        <x:v>CALCULADORA TRL Y CRLS.xlsx</x:v>
      </x:c>
      <x:c r="M12" s="136" t="str">
        <x:v>Fuente interna; confirmar versión vigente</x:v>
      </x:c>
      <x:c r="N12" s="136"/>
    </x:row>
    <x:row r="13">
      <x:c r="A13" s="136" t="str">
        <x:v>TRL-C-009</x:v>
      </x:c>
      <x:c r="B13" s="136" t="str">
        <x:v>Tecnología / Producto</x:v>
      </x:c>
      <x:c r="C13" s="136" t="str">
        <x:v>TEC-01</x:v>
      </x:c>
      <x:c r="D13" s="136" t="str">
        <x:v>ETAPA DE DESARROLLO</x:v>
      </x:c>
      <x:c r="E13" s="152" t="n">
        <x:v>0.25</x:v>
      </x:c>
      <x:c r="F13" s="136" t="str">
        <x:v>¿En qué nivel de desarrollo se encuentra actualmente su proyecto o producto?</x:v>
      </x:c>
      <x:c r="G13" s="136" t="n">
        <x:v>9</x:v>
      </x:c>
      <x:c r="H13" s="136" t="n">
        <x:v>9</x:v>
      </x:c>
      <x:c r="I13" s="136" t="str">
        <x:v>Producto totalmente disponible en el mercado y aceptado por los usuarios finales.</x:v>
      </x:c>
      <x:c r="J13" s="136" t="n">
        <x:v>9</x:v>
      </x:c>
      <x:c r="K13" s="136" t="n">
        <x:v>13</x:v>
      </x:c>
      <x:c r="L13" s="136" t="str">
        <x:v>CALCULADORA TRL Y CRLS.xlsx</x:v>
      </x:c>
      <x:c r="M13" s="136" t="str">
        <x:v>Fuente interna; confirmar versión vigente</x:v>
      </x:c>
      <x:c r="N13" s="136"/>
    </x:row>
    <x:row r="14">
      <x:c r="A14" s="136" t="str">
        <x:v>TRL-C-010</x:v>
      </x:c>
      <x:c r="B14" s="136" t="str">
        <x:v>Tecnología / Producto</x:v>
      </x:c>
      <x:c r="C14" s="136" t="str">
        <x:v>TEC-02</x:v>
      </x:c>
      <x:c r="D14" s="136" t="str">
        <x:v>CLARIDAD DEL CONCEPTO</x:v>
      </x:c>
      <x:c r="E14" s="152" t="n">
        <x:v>0.05</x:v>
      </x:c>
      <x:c r="F14" s="136" t="str">
        <x:v>¿Cuál es el grado de definición del concepto de su tecnología?</x:v>
      </x:c>
      <x:c r="G14" s="136" t="n">
        <x:v>1</x:v>
      </x:c>
      <x:c r="H14" s="136" t="n">
        <x:v>1</x:v>
      </x:c>
      <x:c r="I14" s="136" t="str">
        <x:v>Solo exploración teórica de conceptos fundamentales.</x:v>
      </x:c>
      <x:c r="J14" s="136" t="n">
        <x:v>1</x:v>
      </x:c>
      <x:c r="K14" s="136" t="n">
        <x:v>15</x:v>
      </x:c>
      <x:c r="L14" s="136" t="str">
        <x:v>CALCULADORA TRL Y CRLS.xlsx</x:v>
      </x:c>
      <x:c r="M14" s="136" t="str">
        <x:v>Fuente interna; confirmar versión vigente</x:v>
      </x:c>
      <x:c r="N14" s="136"/>
    </x:row>
    <x:row r="15">
      <x:c r="A15" s="136" t="str">
        <x:v>TRL-C-011</x:v>
      </x:c>
      <x:c r="B15" s="136" t="str">
        <x:v>Tecnología / Producto</x:v>
      </x:c>
      <x:c r="C15" s="136" t="str">
        <x:v>TEC-02</x:v>
      </x:c>
      <x:c r="D15" s="136" t="str">
        <x:v>CLARIDAD DEL CONCEPTO</x:v>
      </x:c>
      <x:c r="E15" s="152" t="n">
        <x:v>0.05</x:v>
      </x:c>
      <x:c r="F15" s="136" t="str">
        <x:v>¿Cuál es el grado de definición del concepto de su tecnología?</x:v>
      </x:c>
      <x:c r="G15" s="136" t="n">
        <x:v>2</x:v>
      </x:c>
      <x:c r="H15" s="136" t="n">
        <x:v>3</x:v>
      </x:c>
      <x:c r="I15" s="136" t="str">
        <x:v>Concepto formulado con una posible aplicación, pero sin validación experimental.</x:v>
      </x:c>
      <x:c r="J15" s="136" t="n">
        <x:v>2.5</x:v>
      </x:c>
      <x:c r="K15" s="136" t="n">
        <x:v>16</x:v>
      </x:c>
      <x:c r="L15" s="136" t="str">
        <x:v>CALCULADORA TRL Y CRLS.xlsx</x:v>
      </x:c>
      <x:c r="M15" s="136" t="str">
        <x:v>Fuente interna; confirmar versión vigente</x:v>
      </x:c>
      <x:c r="N15" s="136"/>
    </x:row>
    <x:row r="16">
      <x:c r="A16" s="136" t="str">
        <x:v>TRL-C-012</x:v>
      </x:c>
      <x:c r="B16" s="136" t="str">
        <x:v>Tecnología / Producto</x:v>
      </x:c>
      <x:c r="C16" s="136" t="str">
        <x:v>TEC-02</x:v>
      </x:c>
      <x:c r="D16" s="136" t="str">
        <x:v>CLARIDAD DEL CONCEPTO</x:v>
      </x:c>
      <x:c r="E16" s="152" t="n">
        <x:v>0.05</x:v>
      </x:c>
      <x:c r="F16" s="136" t="str">
        <x:v>¿Cuál es el grado de definición del concepto de su tecnología?</x:v>
      </x:c>
      <x:c r="G16" s="136" t="n">
        <x:v>4</x:v>
      </x:c>
      <x:c r="H16" s="136" t="n">
        <x:v>6</x:v>
      </x:c>
      <x:c r="I16" s="136" t="str">
        <x:v>Concepto probado con evidencia experimental que respalda su viabilidad técnica y aplicación práctica.</x:v>
      </x:c>
      <x:c r="J16" s="136" t="n">
        <x:v>5</x:v>
      </x:c>
      <x:c r="K16" s="136" t="n">
        <x:v>17</x:v>
      </x:c>
      <x:c r="L16" s="136" t="str">
        <x:v>CALCULADORA TRL Y CRLS.xlsx</x:v>
      </x:c>
      <x:c r="M16" s="136" t="str">
        <x:v>Fuente interna; confirmar versión vigente</x:v>
      </x:c>
      <x:c r="N16" s="136"/>
    </x:row>
    <x:row r="17">
      <x:c r="A17" s="136" t="str">
        <x:v>TRL-C-013</x:v>
      </x:c>
      <x:c r="B17" s="136" t="str">
        <x:v>Tecnología / Producto</x:v>
      </x:c>
      <x:c r="C17" s="136" t="str">
        <x:v>TEC-02</x:v>
      </x:c>
      <x:c r="D17" s="136" t="str">
        <x:v>CLARIDAD DEL CONCEPTO</x:v>
      </x:c>
      <x:c r="E17" s="152" t="n">
        <x:v>0.05</x:v>
      </x:c>
      <x:c r="F17" s="136" t="str">
        <x:v>¿Cuál es el grado de definición del concepto de su tecnología?</x:v>
      </x:c>
      <x:c r="G17" s="136" t="n">
        <x:v>7</x:v>
      </x:c>
      <x:c r="H17" s="136" t="n">
        <x:v>9</x:v>
      </x:c>
      <x:c r="I17" s="136" t="str">
        <x:v>Concepto listo para adopción comercial, validado en condiciones reales y con aceptación del mercado.</x:v>
      </x:c>
      <x:c r="J17" s="136" t="n">
        <x:v>8</x:v>
      </x:c>
      <x:c r="K17" s="136" t="n">
        <x:v>18</x:v>
      </x:c>
      <x:c r="L17" s="136" t="str">
        <x:v>CALCULADORA TRL Y CRLS.xlsx</x:v>
      </x:c>
      <x:c r="M17" s="136" t="str">
        <x:v>Fuente interna; confirmar versión vigente</x:v>
      </x:c>
      <x:c r="N17" s="136"/>
    </x:row>
    <x:row r="18">
      <x:c r="A18" s="136" t="str">
        <x:v>TRL-C-014</x:v>
      </x:c>
      <x:c r="B18" s="136" t="str">
        <x:v>Tecnología / Producto</x:v>
      </x:c>
      <x:c r="C18" s="136" t="str">
        <x:v>TEC-03</x:v>
      </x:c>
      <x:c r="D18" s="136" t="str">
        <x:v>Pruebas o prototipos</x:v>
      </x:c>
      <x:c r="E18" s="152" t="n">
        <x:v>0.1</x:v>
      </x:c>
      <x:c r="F18" s="136" t="str">
        <x:v>¿Cuál de las siguientes opciones describe mejor el estado actual de su prototipo?</x:v>
      </x:c>
      <x:c r="G18" s="136" t="n">
        <x:v>1</x:v>
      </x:c>
      <x:c r="H18" s="136" t="n">
        <x:v>2</x:v>
      </x:c>
      <x:c r="I18" s="136" t="str">
        <x:v>Todavía no hemos creado un prototipo.</x:v>
      </x:c>
      <x:c r="J18" s="136" t="n">
        <x:v>1.5</x:v>
      </x:c>
      <x:c r="K18" s="136" t="n">
        <x:v>20</x:v>
      </x:c>
      <x:c r="L18" s="136" t="str">
        <x:v>CALCULADORA TRL Y CRLS.xlsx</x:v>
      </x:c>
      <x:c r="M18" s="136" t="str">
        <x:v>Fuente interna; confirmar versión vigente</x:v>
      </x:c>
      <x:c r="N18" s="136" t="str">
        <x:v>En ciertos casos, podrías asignar un valor ponderado según la probabilidad de cada TRL en el rango. Por ejemplo, si crees que la opción está un 60% en TRL 4 y un 40% en TRL 5, podrías calcular un valor ponderado como (0.6 * 4) + (0.4 * 5) = 4.4.</x:v>
      </x:c>
    </x:row>
    <x:row r="19">
      <x:c r="A19" s="136" t="str">
        <x:v>TRL-C-015</x:v>
      </x:c>
      <x:c r="B19" s="136" t="str">
        <x:v>Tecnología / Producto</x:v>
      </x:c>
      <x:c r="C19" s="136" t="str">
        <x:v>TEC-03</x:v>
      </x:c>
      <x:c r="D19" s="136" t="str">
        <x:v>Pruebas o prototipos</x:v>
      </x:c>
      <x:c r="E19" s="152" t="n">
        <x:v>0.1</x:v>
      </x:c>
      <x:c r="F19" s="136" t="str">
        <x:v>¿Cuál de las siguientes opciones describe mejor el estado actual de su prototipo?</x:v>
      </x:c>
      <x:c r="G19" s="136" t="n">
        <x:v>3</x:v>
      </x:c>
      <x:c r="H19" s="136" t="n">
        <x:v>3</x:v>
      </x:c>
      <x:c r="I19" s="136" t="str">
        <x:v>Tenemos un prototipo básico para probar las funciones principales.</x:v>
      </x:c>
      <x:c r="J19" s="136" t="n">
        <x:v>3</x:v>
      </x:c>
      <x:c r="K19" s="136" t="n">
        <x:v>21</x:v>
      </x:c>
      <x:c r="L19" s="136" t="str">
        <x:v>CALCULADORA TRL Y CRLS.xlsx</x:v>
      </x:c>
      <x:c r="M19" s="136" t="str">
        <x:v>Fuente interna; confirmar versión vigente</x:v>
      </x:c>
      <x:c r="N19" s="136"/>
    </x:row>
    <x:row r="20">
      <x:c r="A20" s="136" t="str">
        <x:v>TRL-C-016</x:v>
      </x:c>
      <x:c r="B20" s="136" t="str">
        <x:v>Tecnología / Producto</x:v>
      </x:c>
      <x:c r="C20" s="136" t="str">
        <x:v>TEC-03</x:v>
      </x:c>
      <x:c r="D20" s="136" t="str">
        <x:v>Pruebas o prototipos</x:v>
      </x:c>
      <x:c r="E20" s="152" t="n">
        <x:v>0.1</x:v>
      </x:c>
      <x:c r="F20" s="136" t="str">
        <x:v>¿Cuál de las siguientes opciones describe mejor el estado actual de su prototipo?</x:v>
      </x:c>
      <x:c r="G20" s="136" t="n">
        <x:v>4</x:v>
      </x:c>
      <x:c r="H20" s="136" t="n">
        <x:v>4</x:v>
      </x:c>
      <x:c r="I20" s="136" t="str">
        <x:v>Hemos probado un prototipo funcional en laboratorio, y ahora está listo para pruebas simuladas más avanzada</x:v>
      </x:c>
      <x:c r="J20" s="136" t="n">
        <x:v>4</x:v>
      </x:c>
      <x:c r="K20" s="136" t="n">
        <x:v>22</x:v>
      </x:c>
      <x:c r="L20" s="136" t="str">
        <x:v>CALCULADORA TRL Y CRLS.xlsx</x:v>
      </x:c>
      <x:c r="M20" s="136" t="str">
        <x:v>Fuente interna; confirmar versión vigente</x:v>
      </x:c>
      <x:c r="N20" s="136"/>
    </x:row>
    <x:row r="21">
      <x:c r="A21" s="136" t="str">
        <x:v>TRL-C-017</x:v>
      </x:c>
      <x:c r="B21" s="136" t="str">
        <x:v>Tecnología / Producto</x:v>
      </x:c>
      <x:c r="C21" s="136" t="str">
        <x:v>TEC-03</x:v>
      </x:c>
      <x:c r="D21" s="136" t="str">
        <x:v>Pruebas o prototipos</x:v>
      </x:c>
      <x:c r="E21" s="152" t="n">
        <x:v>0.1</x:v>
      </x:c>
      <x:c r="F21" s="136" t="str">
        <x:v>¿Cuál de las siguientes opciones describe mejor el estado actual de su prototipo?</x:v>
      </x:c>
      <x:c r="G21" s="136" t="n">
        <x:v>5</x:v>
      </x:c>
      <x:c r="H21" s="136" t="n">
        <x:v>5</x:v>
      </x:c>
      <x:c r="I21" s="136" t="str">
        <x:v>Nuestro prototipo ha avanzado y está listo para simulaciones.</x:v>
      </x:c>
      <x:c r="J21" s="136" t="n">
        <x:v>5</x:v>
      </x:c>
      <x:c r="K21" s="136" t="n">
        <x:v>23</x:v>
      </x:c>
      <x:c r="L21" s="136" t="str">
        <x:v>CALCULADORA TRL Y CRLS.xlsx</x:v>
      </x:c>
      <x:c r="M21" s="136" t="str">
        <x:v>Fuente interna; confirmar versión vigente</x:v>
      </x:c>
      <x:c r="N21" s="136"/>
    </x:row>
    <x:row r="22">
      <x:c r="A22" s="136" t="str">
        <x:v>TRL-C-018</x:v>
      </x:c>
      <x:c r="B22" s="136" t="str">
        <x:v>Tecnología / Producto</x:v>
      </x:c>
      <x:c r="C22" s="136" t="str">
        <x:v>TEC-03</x:v>
      </x:c>
      <x:c r="D22" s="136" t="str">
        <x:v>Pruebas o prototipos</x:v>
      </x:c>
      <x:c r="E22" s="152" t="n">
        <x:v>0.1</x:v>
      </x:c>
      <x:c r="F22" s="136" t="str">
        <x:v>¿Cuál de las siguientes opciones describe mejor el estado actual de su prototipo?</x:v>
      </x:c>
      <x:c r="G22" s="136" t="n">
        <x:v>6</x:v>
      </x:c>
      <x:c r="H22" s="136" t="n">
        <x:v>7</x:v>
      </x:c>
      <x:c r="I22" s="136" t="str">
        <x:v>Nuestro prototipo ha sido refinado para pruebas en condiciones reales.</x:v>
      </x:c>
      <x:c r="J22" s="136" t="n">
        <x:v>6.5</x:v>
      </x:c>
      <x:c r="K22" s="136" t="n">
        <x:v>24</x:v>
      </x:c>
      <x:c r="L22" s="136" t="str">
        <x:v>CALCULADORA TRL Y CRLS.xlsx</x:v>
      </x:c>
      <x:c r="M22" s="136" t="str">
        <x:v>Fuente interna; confirmar versión vigente</x:v>
      </x:c>
      <x:c r="N22" s="136"/>
    </x:row>
    <x:row r="23">
      <x:c r="A23" s="136" t="str">
        <x:v>TRL-C-019</x:v>
      </x:c>
      <x:c r="B23" s="136" t="str">
        <x:v>Tecnología / Producto</x:v>
      </x:c>
      <x:c r="C23" s="136" t="str">
        <x:v>TEC-03</x:v>
      </x:c>
      <x:c r="D23" s="136" t="str">
        <x:v>Pruebas o prototipos</x:v>
      </x:c>
      <x:c r="E23" s="152" t="n">
        <x:v>0.1</x:v>
      </x:c>
      <x:c r="F23" s="136" t="str">
        <x:v>¿Cuál de las siguientes opciones describe mejor el estado actual de su prototipo?</x:v>
      </x:c>
      <x:c r="G23" s="136" t="n">
        <x:v>8</x:v>
      </x:c>
      <x:c r="H23" s="136" t="n">
        <x:v>9</x:v>
      </x:c>
      <x:c r="I23" s="136" t="str">
        <x:v>El producto está validado en condiciones reales y listo para lanzamiento comercial.</x:v>
      </x:c>
      <x:c r="J23" s="136" t="n">
        <x:v>8.5</x:v>
      </x:c>
      <x:c r="K23" s="136" t="n">
        <x:v>25</x:v>
      </x:c>
      <x:c r="L23" s="136" t="str">
        <x:v>CALCULADORA TRL Y CRLS.xlsx</x:v>
      </x:c>
      <x:c r="M23" s="136" t="str">
        <x:v>Fuente interna; confirmar versión vigente</x:v>
      </x:c>
      <x:c r="N23" s="136" t="str">
        <x:v>SELECCIONAR TODAS LAS QUE SE OBTUVIERON O TIENES</x:v>
      </x:c>
    </x:row>
    <x:row r="24">
      <x:c r="A24" s="136" t="str">
        <x:v>TRL-C-020</x:v>
      </x:c>
      <x:c r="B24" s="136" t="str">
        <x:v>Tecnología / Producto</x:v>
      </x:c>
      <x:c r="C24" s="136" t="str">
        <x:v>TEC-04</x:v>
      </x:c>
      <x:c r="D24" s="136" t="str">
        <x:v>Documentación y soporte</x:v>
      </x:c>
      <x:c r="E24" s="152" t="n">
        <x:v>0.05</x:v>
      </x:c>
      <x:c r="F24" s="136" t="str">
        <x:v>¿Qué evidencias o resultados tangibles se han obtenido hasta ahora en el desarrollo de su tecnología?</x:v>
      </x:c>
      <x:c r="G24" s="136" t="n">
        <x:v>1</x:v>
      </x:c>
      <x:c r="H24" s="136" t="n">
        <x:v>1</x:v>
      </x:c>
      <x:c r="I24" s="136" t="str">
        <x:v>Artículos científicos publicados sobre los principios de la nueva tecnología.</x:v>
      </x:c>
      <x:c r="J24" s="136" t="n">
        <x:v>1</x:v>
      </x:c>
      <x:c r="K24" s="136" t="n">
        <x:v>27</x:v>
      </x:c>
      <x:c r="L24" s="136" t="str">
        <x:v>CALCULADORA TRL Y CRLS.xlsx</x:v>
      </x:c>
      <x:c r="M24" s="136" t="str">
        <x:v>Fuente interna; confirmar versión vigente</x:v>
      </x:c>
      <x:c r="N24" s="136"/>
    </x:row>
    <x:row r="25">
      <x:c r="A25" s="136" t="str">
        <x:v>TRL-C-021</x:v>
      </x:c>
      <x:c r="B25" s="136" t="str">
        <x:v>Tecnología / Producto</x:v>
      </x:c>
      <x:c r="C25" s="136" t="str">
        <x:v>TEC-04</x:v>
      </x:c>
      <x:c r="D25" s="136" t="str">
        <x:v>Documentación y soporte</x:v>
      </x:c>
      <x:c r="E25" s="152" t="n">
        <x:v>0.05</x:v>
      </x:c>
      <x:c r="F25" s="136" t="str">
        <x:v>¿Qué evidencias o resultados tangibles se han obtenido hasta ahora en el desarrollo de su tecnología?</x:v>
      </x:c>
      <x:c r="G25" s="136" t="n">
        <x:v>2</x:v>
      </x:c>
      <x:c r="H25" s="136" t="n">
        <x:v>2</x:v>
      </x:c>
      <x:c r="I25" s="136" t="str">
        <x:v>Publicaciones o referencias que subrayan las
aplicaciones de la nueva tecnología.</x:v>
      </x:c>
      <x:c r="J25" s="136" t="n">
        <x:v>2</x:v>
      </x:c>
      <x:c r="K25" s="136" t="n">
        <x:v>28</x:v>
      </x:c>
      <x:c r="L25" s="136" t="str">
        <x:v>CALCULADORA TRL Y CRLS.xlsx</x:v>
      </x:c>
      <x:c r="M25" s="136" t="str">
        <x:v>Fuente interna; confirmar versión vigente</x:v>
      </x:c>
      <x:c r="N25" s="136"/>
    </x:row>
    <x:row r="26">
      <x:c r="A26" s="136" t="str">
        <x:v>TRL-C-022</x:v>
      </x:c>
      <x:c r="B26" s="136" t="str">
        <x:v>Tecnología / Producto</x:v>
      </x:c>
      <x:c r="C26" s="136" t="str">
        <x:v>TEC-04</x:v>
      </x:c>
      <x:c r="D26" s="136" t="str">
        <x:v>Documentación y soporte</x:v>
      </x:c>
      <x:c r="E26" s="152" t="n">
        <x:v>0.05</x:v>
      </x:c>
      <x:c r="F26" s="136" t="str">
        <x:v>¿Qué evidencias o resultados tangibles se han obtenido hasta ahora en el desarrollo de su tecnología?</x:v>
      </x:c>
      <x:c r="G26" s="136" t="n">
        <x:v>3</x:v>
      </x:c>
      <x:c r="H26" s="136" t="n">
        <x:v>3</x:v>
      </x:c>
      <x:c r="I26" s="136" t="str">
        <x:v>Medida de parámetros en laboratorio.</x:v>
      </x:c>
      <x:c r="J26" s="136" t="n">
        <x:v>3</x:v>
      </x:c>
      <x:c r="K26" s="136" t="n">
        <x:v>29</x:v>
      </x:c>
      <x:c r="L26" s="136" t="str">
        <x:v>CALCULADORA TRL Y CRLS.xlsx</x:v>
      </x:c>
      <x:c r="M26" s="136" t="str">
        <x:v>Fuente interna; confirmar versión vigente</x:v>
      </x:c>
      <x:c r="N26" s="136" t="str">
        <x:v>podria elegir varias opciones | hacerlo con 5 y 6</x:v>
      </x:c>
    </x:row>
    <x:row r="27">
      <x:c r="A27" s="136" t="str">
        <x:v>TRL-C-023</x:v>
      </x:c>
      <x:c r="B27" s="136" t="str">
        <x:v>Tecnología / Producto</x:v>
      </x:c>
      <x:c r="C27" s="136" t="str">
        <x:v>TEC-04</x:v>
      </x:c>
      <x:c r="D27" s="136" t="str">
        <x:v>Documentación y soporte</x:v>
      </x:c>
      <x:c r="E27" s="152" t="n">
        <x:v>0.05</x:v>
      </x:c>
      <x:c r="F27" s="136" t="str">
        <x:v>¿Qué evidencias o resultados tangibles se han obtenido hasta ahora en el desarrollo de su tecnología?</x:v>
      </x:c>
      <x:c r="G27" s="136" t="n">
        <x:v>4</x:v>
      </x:c>
      <x:c r="H27" s="136" t="n">
        <x:v>4</x:v>
      </x:c>
      <x:c r="I27" s="136" t="str">
        <x:v>Resultados de las pruebas realizadas en laboratorio.</x:v>
      </x:c>
      <x:c r="J27" s="136" t="n">
        <x:v>4</x:v>
      </x:c>
      <x:c r="K27" s="136" t="n">
        <x:v>30</x:v>
      </x:c>
      <x:c r="L27" s="136" t="str">
        <x:v>CALCULADORA TRL Y CRLS.xlsx</x:v>
      </x:c>
      <x:c r="M27" s="136" t="str">
        <x:v>Fuente interna; confirmar versión vigente</x:v>
      </x:c>
      <x:c r="N27" s="136" t="str">
        <x:v>y según eso | el otro 7 y 8</x:v>
      </x:c>
    </x:row>
    <x:row r="28">
      <x:c r="A28" s="136" t="str">
        <x:v>TRL-C-024</x:v>
      </x:c>
      <x:c r="B28" s="136" t="str">
        <x:v>Tecnología / Producto</x:v>
      </x:c>
      <x:c r="C28" s="136" t="str">
        <x:v>TEC-04</x:v>
      </x:c>
      <x:c r="D28" s="136" t="str">
        <x:v>Documentación y soporte</x:v>
      </x:c>
      <x:c r="E28" s="152" t="n">
        <x:v>0.05</x:v>
      </x:c>
      <x:c r="F28" s="136" t="str">
        <x:v>¿Qué evidencias o resultados tangibles se han obtenido hasta ahora en el desarrollo de su tecnología?</x:v>
      </x:c>
      <x:c r="G28" s="136" t="n">
        <x:v>5</x:v>
      </x:c>
      <x:c r="H28" s="136" t="n">
        <x:v>5</x:v>
      </x:c>
      <x:c r="I28" s="136" t="str">
        <x:v>Componentes validados en entorno relevante.</x:v>
      </x:c>
      <x:c r="J28" s="136" t="n">
        <x:v>5</x:v>
      </x:c>
      <x:c r="K28" s="136" t="n">
        <x:v>31</x:v>
      </x:c>
      <x:c r="L28" s="136" t="str">
        <x:v>CALCULADORA TRL Y CRLS.xlsx</x:v>
      </x:c>
      <x:c r="M28" s="136" t="str">
        <x:v>Fuente interna; confirmar versión vigente</x:v>
      </x:c>
      <x:c r="N28" s="136" t="str">
        <x:v>ver en que estado esta cada cosa | final 9</x:v>
      </x:c>
    </x:row>
    <x:row r="29">
      <x:c r="A29" s="136" t="str">
        <x:v>TRL-C-025</x:v>
      </x:c>
      <x:c r="B29" s="136" t="str">
        <x:v>Tecnología / Producto</x:v>
      </x:c>
      <x:c r="C29" s="136" t="str">
        <x:v>TEC-04</x:v>
      </x:c>
      <x:c r="D29" s="136" t="str">
        <x:v>Documentación y soporte</x:v>
      </x:c>
      <x:c r="E29" s="152" t="n">
        <x:v>0.05</x:v>
      </x:c>
      <x:c r="F29" s="136" t="str">
        <x:v>¿Qué evidencias o resultados tangibles se han obtenido hasta ahora en el desarrollo de su tecnología?</x:v>
      </x:c>
      <x:c r="G29" s="136" t="n">
        <x:v>6</x:v>
      </x:c>
      <x:c r="H29" s="136" t="n">
        <x:v>6</x:v>
      </x:c>
      <x:c r="I29" s="136" t="str">
        <x:v>Resultados de las pruebas realizadas a nivel de prototipo en entorno relevante.</x:v>
      </x:c>
      <x:c r="J29" s="136" t="n">
        <x:v>6</x:v>
      </x:c>
      <x:c r="K29" s="136" t="n">
        <x:v>32</x:v>
      </x:c>
      <x:c r="L29" s="136" t="str">
        <x:v>CALCULADORA TRL Y CRLS.xlsx</x:v>
      </x:c>
      <x:c r="M29" s="136" t="str">
        <x:v>Fuente interna; confirmar versión vigente</x:v>
      </x:c>
      <x:c r="N29" s="136" t="str">
        <x:v>o poner la opcion de ninguna o otras</x:v>
      </x:c>
    </x:row>
    <x:row r="30">
      <x:c r="A30" s="136" t="str">
        <x:v>TRL-C-026</x:v>
      </x:c>
      <x:c r="B30" s="136" t="str">
        <x:v>Tecnología / Producto</x:v>
      </x:c>
      <x:c r="C30" s="136" t="str">
        <x:v>TEC-04</x:v>
      </x:c>
      <x:c r="D30" s="136" t="str">
        <x:v>Documentación y soporte</x:v>
      </x:c>
      <x:c r="E30" s="152" t="n">
        <x:v>0.05</x:v>
      </x:c>
      <x:c r="F30" s="136" t="str">
        <x:v>¿Qué evidencias o resultados tangibles se han obtenido hasta ahora en el desarrollo de su tecnología?</x:v>
      </x:c>
      <x:c r="G30" s="136" t="n">
        <x:v>7</x:v>
      </x:c>
      <x:c r="H30" s="136" t="n">
        <x:v>7</x:v>
      </x:c>
      <x:c r="I30" s="136" t="str">
        <x:v>Resultado de las pruebas a nivel de prototipo realizadas en entorno operativo.</x:v>
      </x:c>
      <x:c r="J30" s="136" t="n">
        <x:v>7</x:v>
      </x:c>
      <x:c r="K30" s="136" t="n">
        <x:v>33</x:v>
      </x:c>
      <x:c r="L30" s="136" t="str">
        <x:v>CALCULADORA TRL Y CRLS.xlsx</x:v>
      </x:c>
      <x:c r="M30" s="136" t="str">
        <x:v>Fuente interna; confirmar versión vigente</x:v>
      </x:c>
      <x:c r="N30" s="136"/>
    </x:row>
    <x:row r="31">
      <x:c r="A31" s="136" t="str">
        <x:v>TRL-C-027</x:v>
      </x:c>
      <x:c r="B31" s="136" t="str">
        <x:v>Tecnología / Producto</x:v>
      </x:c>
      <x:c r="C31" s="136" t="str">
        <x:v>TEC-04</x:v>
      </x:c>
      <x:c r="D31" s="136" t="str">
        <x:v>Documentación y soporte</x:v>
      </x:c>
      <x:c r="E31" s="152" t="n">
        <x:v>0.05</x:v>
      </x:c>
      <x:c r="F31" s="136" t="str">
        <x:v>¿Qué evidencias o resultados tangibles se han obtenido hasta ahora en el desarrollo de su tecnología?</x:v>
      </x:c>
      <x:c r="G31" s="136" t="n">
        <x:v>8</x:v>
      </x:c>
      <x:c r="H31" s="136" t="n">
        <x:v>8</x:v>
      </x:c>
      <x:c r="I31" s="136" t="str">
        <x:v>Resultados de las pruebas del sistema en su configuración final</x:v>
      </x:c>
      <x:c r="J31" s="136" t="n">
        <x:v>8</x:v>
      </x:c>
      <x:c r="K31" s="136" t="n">
        <x:v>34</x:v>
      </x:c>
      <x:c r="L31" s="136" t="str">
        <x:v>CALCULADORA TRL Y CRLS.xlsx</x:v>
      </x:c>
      <x:c r="M31" s="136" t="str">
        <x:v>Fuente interna; confirmar versión vigente</x:v>
      </x:c>
      <x:c r="N31" s="136"/>
    </x:row>
    <x:row r="32">
      <x:c r="A32" s="136" t="str">
        <x:v>TRL-C-028</x:v>
      </x:c>
      <x:c r="B32" s="136" t="str">
        <x:v>Tecnología / Producto</x:v>
      </x:c>
      <x:c r="C32" s="136" t="str">
        <x:v>TEC-04</x:v>
      </x:c>
      <x:c r="D32" s="136" t="str">
        <x:v>Documentación y soporte</x:v>
      </x:c>
      <x:c r="E32" s="152" t="n">
        <x:v>0.05</x:v>
      </x:c>
      <x:c r="F32" s="136" t="str">
        <x:v>¿Qué evidencias o resultados tangibles se han obtenido hasta ahora en el desarrollo de su tecnología?</x:v>
      </x:c>
      <x:c r="G32" s="136" t="n">
        <x:v>9</x:v>
      </x:c>
      <x:c r="H32" s="136" t="n">
        <x:v>9</x:v>
      </x:c>
      <x:c r="I32" s="136" t="str">
        <x:v>Se cuenta con manuales, documentación técnica y capacitación necesaria para la implementación de la tecnología</x:v>
      </x:c>
      <x:c r="J32" s="136" t="n">
        <x:v>9</x:v>
      </x:c>
      <x:c r="K32" s="136" t="n">
        <x:v>35</x:v>
      </x:c>
      <x:c r="L32" s="136" t="str">
        <x:v>CALCULADORA TRL Y CRLS.xlsx</x:v>
      </x:c>
      <x:c r="M32" s="136" t="str">
        <x:v>Fuente interna; confirmar versión vigente</x:v>
      </x:c>
      <x:c r="N32" s="136"/>
    </x:row>
    <x:row r="33">
      <x:c r="A33" s="136" t="str">
        <x:v>TRL-C-029</x:v>
      </x:c>
      <x:c r="B33" s="136" t="str">
        <x:v>Tecnología / Producto</x:v>
      </x:c>
      <x:c r="C33" s="136" t="str">
        <x:v>TEC-05</x:v>
      </x:c>
      <x:c r="D33" s="136" t="str">
        <x:v>FINANCIAMIENTO</x:v>
      </x:c>
      <x:c r="E33" s="152" t="n">
        <x:v>0.05</x:v>
      </x:c>
      <x:c r="F33" s="136" t="str">
        <x:v>¿Cuál es el estado actual del financiamiento de su proyecto o tecnología?</x:v>
      </x:c>
      <x:c r="G33" s="136" t="n">
        <x:v>1</x:v>
      </x:c>
      <x:c r="H33" s="136" t="n">
        <x:v>1</x:v>
      </x:c>
      <x:c r="I33" s="136" t="str">
        <x:v>Por el momento no contamos con ningún tipo de financiamiento</x:v>
      </x:c>
      <x:c r="J33" s="136" t="n">
        <x:v>1</x:v>
      </x:c>
      <x:c r="K33" s="136" t="n">
        <x:v>37</x:v>
      </x:c>
      <x:c r="L33" s="136" t="str">
        <x:v>CALCULADORA TRL Y CRLS.xlsx</x:v>
      </x:c>
      <x:c r="M33" s="136" t="str">
        <x:v>Fuente interna; confirmar versión vigente</x:v>
      </x:c>
      <x:c r="N33" s="136"/>
    </x:row>
    <x:row r="34">
      <x:c r="A34" s="136" t="str">
        <x:v>TRL-C-030</x:v>
      </x:c>
      <x:c r="B34" s="136" t="str">
        <x:v>Tecnología / Producto</x:v>
      </x:c>
      <x:c r="C34" s="136" t="str">
        <x:v>TEC-05</x:v>
      </x:c>
      <x:c r="D34" s="136" t="str">
        <x:v>FINANCIAMIENTO</x:v>
      </x:c>
      <x:c r="E34" s="152" t="n">
        <x:v>0.05</x:v>
      </x:c>
      <x:c r="F34" s="136" t="str">
        <x:v>¿Cuál es el estado actual del financiamiento de su proyecto o tecnología?</x:v>
      </x:c>
      <x:c r="G34" s="136" t="n">
        <x:v>1</x:v>
      </x:c>
      <x:c r="H34" s="136" t="n">
        <x:v>2</x:v>
      </x:c>
      <x:c r="I34" s="136" t="str">
        <x:v>Contamos con recursos financieros limitados y aún no hemos asegurado fondos para las fases de investigación</x:v>
      </x:c>
      <x:c r="J34" s="136" t="n">
        <x:v>1.5</x:v>
      </x:c>
      <x:c r="K34" s="136" t="n">
        <x:v>38</x:v>
      </x:c>
      <x:c r="L34" s="136" t="str">
        <x:v>CALCULADORA TRL Y CRLS.xlsx</x:v>
      </x:c>
      <x:c r="M34" s="136" t="str">
        <x:v>Fuente interna; confirmar versión vigente</x:v>
      </x:c>
      <x:c r="N34" s="136"/>
    </x:row>
    <x:row r="35">
      <x:c r="A35" s="136" t="str">
        <x:v>TRL-C-031</x:v>
      </x:c>
      <x:c r="B35" s="136" t="str">
        <x:v>Tecnología / Producto</x:v>
      </x:c>
      <x:c r="C35" s="136" t="str">
        <x:v>TEC-05</x:v>
      </x:c>
      <x:c r="D35" s="136" t="str">
        <x:v>FINANCIAMIENTO</x:v>
      </x:c>
      <x:c r="E35" s="152" t="n">
        <x:v>0.05</x:v>
      </x:c>
      <x:c r="F35" s="136" t="str">
        <x:v>¿Cuál es el estado actual del financiamiento de su proyecto o tecnología?</x:v>
      </x:c>
      <x:c r="G35" s="136" t="n">
        <x:v>3</x:v>
      </x:c>
      <x:c r="H35" s="136" t="n">
        <x:v>4</x:v>
      </x:c>
      <x:c r="I35" s="136" t="str">
        <x:v>Hemos obtenido financiamiento básico para la fase de investigación y desarrollo inicial, cubriendo pruebas de concepto y validación preliminar.</x:v>
      </x:c>
      <x:c r="J35" s="136" t="n">
        <x:v>3.5</x:v>
      </x:c>
      <x:c r="K35" s="136" t="n">
        <x:v>39</x:v>
      </x:c>
      <x:c r="L35" s="136" t="str">
        <x:v>CALCULADORA TRL Y CRLS.xlsx</x:v>
      </x:c>
      <x:c r="M35" s="136" t="str">
        <x:v>Fuente interna; confirmar versión vigente</x:v>
      </x:c>
      <x:c r="N35" s="136"/>
    </x:row>
    <x:row r="36">
      <x:c r="A36" s="136" t="str">
        <x:v>TRL-C-032</x:v>
      </x:c>
      <x:c r="B36" s="136" t="str">
        <x:v>Tecnología / Producto</x:v>
      </x:c>
      <x:c r="C36" s="136" t="str">
        <x:v>TEC-05</x:v>
      </x:c>
      <x:c r="D36" s="136" t="str">
        <x:v>FINANCIAMIENTO</x:v>
      </x:c>
      <x:c r="E36" s="152" t="n">
        <x:v>0.05</x:v>
      </x:c>
      <x:c r="F36" s="136" t="str">
        <x:v>¿Cuál es el estado actual del financiamiento de su proyecto o tecnología?</x:v>
      </x:c>
      <x:c r="G36" s="136" t="n">
        <x:v>5</x:v>
      </x:c>
      <x:c r="H36" s="136" t="n">
        <x:v>6</x:v>
      </x:c>
      <x:c r="I36" s="136" t="str">
        <x:v>Hemos asegurado fondos para la fase de pruebas y validación.</x:v>
      </x:c>
      <x:c r="J36" s="136" t="n">
        <x:v>5.5</x:v>
      </x:c>
      <x:c r="K36" s="136" t="n">
        <x:v>40</x:v>
      </x:c>
      <x:c r="L36" s="136" t="str">
        <x:v>CALCULADORA TRL Y CRLS.xlsx</x:v>
      </x:c>
      <x:c r="M36" s="136" t="str">
        <x:v>Fuente interna; confirmar versión vigente</x:v>
      </x:c>
      <x:c r="N36" s="136"/>
    </x:row>
    <x:row r="37">
      <x:c r="A37" s="136" t="str">
        <x:v>TRL-C-033</x:v>
      </x:c>
      <x:c r="B37" s="136" t="str">
        <x:v>Tecnología / Producto</x:v>
      </x:c>
      <x:c r="C37" s="136" t="str">
        <x:v>TEC-05</x:v>
      </x:c>
      <x:c r="D37" s="136" t="str">
        <x:v>FINANCIAMIENTO</x:v>
      </x:c>
      <x:c r="E37" s="152" t="n">
        <x:v>0.05</x:v>
      </x:c>
      <x:c r="F37" s="136" t="str">
        <x:v>¿Cuál es el estado actual del financiamiento de su proyecto o tecnología?</x:v>
      </x:c>
      <x:c r="G37" s="136" t="n">
        <x:v>7</x:v>
      </x:c>
      <x:c r="H37" s="136" t="n">
        <x:v>7</x:v>
      </x:c>
      <x:c r="I37" s="136" t="str">
        <x:v>Contamos con financiamiento para producción en pequeña escala</x:v>
      </x:c>
      <x:c r="J37" s="136" t="n">
        <x:v>7</x:v>
      </x:c>
      <x:c r="K37" s="136" t="n">
        <x:v>41</x:v>
      </x:c>
      <x:c r="L37" s="136" t="str">
        <x:v>CALCULADORA TRL Y CRLS.xlsx</x:v>
      </x:c>
      <x:c r="M37" s="136" t="str">
        <x:v>Fuente interna; confirmar versión vigente</x:v>
      </x:c>
      <x:c r="N37" s="136"/>
    </x:row>
    <x:row r="38">
      <x:c r="A38" s="136" t="str">
        <x:v>TRL-C-034</x:v>
      </x:c>
      <x:c r="B38" s="136" t="str">
        <x:v>Tecnología / Producto</x:v>
      </x:c>
      <x:c r="C38" s="136" t="str">
        <x:v>TEC-05</x:v>
      </x:c>
      <x:c r="D38" s="136" t="str">
        <x:v>FINANCIAMIENTO</x:v>
      </x:c>
      <x:c r="E38" s="152" t="n">
        <x:v>0.05</x:v>
      </x:c>
      <x:c r="F38" s="136" t="str">
        <x:v>¿Cuál es el estado actual del financiamiento de su proyecto o tecnología?</x:v>
      </x:c>
      <x:c r="G38" s="136" t="n">
        <x:v>8</x:v>
      </x:c>
      <x:c r="H38" s="136" t="n">
        <x:v>9</x:v>
      </x:c>
      <x:c r="I38" s="136" t="str">
        <x:v>Tenemos asegurados fondos para producción a gran escala, distribución y comercialización del producto en el mercado.</x:v>
      </x:c>
      <x:c r="J38" s="136" t="n">
        <x:v>8.5</x:v>
      </x:c>
      <x:c r="K38" s="136" t="n">
        <x:v>42</x:v>
      </x:c>
      <x:c r="L38" s="136" t="str">
        <x:v>CALCULADORA TRL Y CRLS.xlsx</x:v>
      </x:c>
      <x:c r="M38" s="136" t="str">
        <x:v>Fuente interna; confirmar versión vigente</x:v>
      </x:c>
      <x:c r="N38" s="136"/>
    </x:row>
    <x:row r="39">
      <x:c r="A39" s="136" t="str">
        <x:v>TRL-C-035</x:v>
      </x:c>
      <x:c r="B39" s="136" t="str">
        <x:v>Tecnología / Producto</x:v>
      </x:c>
      <x:c r="C39" s="136" t="str">
        <x:v>TEC-06</x:v>
      </x:c>
      <x:c r="D39" s="136" t="str">
        <x:v>PRUEBAS DE DESEMPEÑO DURABILIDAD Y VALIDACIÓN</x:v>
      </x:c>
      <x:c r="E39" s="152" t="n">
        <x:v>0.1</x:v>
      </x:c>
      <x:c r="F39" s="136" t="str">
        <x:v>¿Qué nivel de pruebas de durabilidad, desempeño y validación se han realizado?</x:v>
      </x:c>
      <x:c r="G39" s="136" t="n">
        <x:v>1</x:v>
      </x:c>
      <x:c r="H39" s="136" t="n">
        <x:v>2</x:v>
      </x:c>
      <x:c r="I39" s="136" t="str">
        <x:v>Aún no hemos evaluado pruebas de durabilidad, rendimiento ni análisis de riesgos.</x:v>
      </x:c>
      <x:c r="J39" s="136" t="n">
        <x:v>1.5</x:v>
      </x:c>
      <x:c r="K39" s="136" t="n">
        <x:v>44</x:v>
      </x:c>
      <x:c r="L39" s="136" t="str">
        <x:v>CALCULADORA TRL Y CRLS.xlsx</x:v>
      </x:c>
      <x:c r="M39" s="136" t="str">
        <x:v>Fuente interna; confirmar versión vigente</x:v>
      </x:c>
      <x:c r="N39" s="136"/>
    </x:row>
    <x:row r="40">
      <x:c r="A40" s="136" t="str">
        <x:v>TRL-C-036</x:v>
      </x:c>
      <x:c r="B40" s="136" t="str">
        <x:v>Tecnología / Producto</x:v>
      </x:c>
      <x:c r="C40" s="136" t="str">
        <x:v>TEC-06</x:v>
      </x:c>
      <x:c r="D40" s="136" t="str">
        <x:v>PRUEBAS DE DESEMPEÑO DURABILIDAD Y VALIDACIÓN</x:v>
      </x:c>
      <x:c r="E40" s="152" t="n">
        <x:v>0.1</x:v>
      </x:c>
      <x:c r="F40" s="136" t="str">
        <x:v>¿Qué nivel de pruebas de durabilidad, desempeño y validación se han realizado?</x:v>
      </x:c>
      <x:c r="G40" s="136" t="n">
        <x:v>3</x:v>
      </x:c>
      <x:c r="H40" s="136" t="n">
        <x:v>4</x:v>
      </x:c>
      <x:c r="I40" s="136" t="str">
        <x:v>Hemos realizado pruebas iniciales de desempeño y validación en laboratorio, identificando riesgos preliminares.</x:v>
      </x:c>
      <x:c r="J40" s="136" t="n">
        <x:v>3.5</x:v>
      </x:c>
      <x:c r="K40" s="136" t="n">
        <x:v>45</x:v>
      </x:c>
      <x:c r="L40" s="136" t="str">
        <x:v>CALCULADORA TRL Y CRLS.xlsx</x:v>
      </x:c>
      <x:c r="M40" s="136" t="str">
        <x:v>Fuente interna; confirmar versión vigente</x:v>
      </x:c>
      <x:c r="N40" s="136"/>
    </x:row>
    <x:row r="41">
      <x:c r="A41" s="136" t="str">
        <x:v>TRL-C-037</x:v>
      </x:c>
      <x:c r="B41" s="136" t="str">
        <x:v>Tecnología / Producto</x:v>
      </x:c>
      <x:c r="C41" s="136" t="str">
        <x:v>TEC-06</x:v>
      </x:c>
      <x:c r="D41" s="136" t="str">
        <x:v>PRUEBAS DE DESEMPEÑO DURABILIDAD Y VALIDACIÓN</x:v>
      </x:c>
      <x:c r="E41" s="152" t="n">
        <x:v>0.1</x:v>
      </x:c>
      <x:c r="F41" s="136" t="str">
        <x:v>¿Qué nivel de pruebas de durabilidad, desempeño y validación se han realizado?</x:v>
      </x:c>
      <x:c r="G41" s="136" t="n">
        <x:v>5</x:v>
      </x:c>
      <x:c r="H41" s="136" t="n">
        <x:v>5</x:v>
      </x:c>
      <x:c r="I41" s="136" t="str">
        <x:v>El prototipo ha mostrado un desempeño satisfactorio en condiciones simuladas, con un análisis básico de fallas y riesgos potenciales.</x:v>
      </x:c>
      <x:c r="J41" s="136" t="n">
        <x:v>5</x:v>
      </x:c>
      <x:c r="K41" s="136" t="n">
        <x:v>46</x:v>
      </x:c>
      <x:c r="L41" s="136" t="str">
        <x:v>CALCULADORA TRL Y CRLS.xlsx</x:v>
      </x:c>
      <x:c r="M41" s="136" t="str">
        <x:v>Fuente interna; confirmar versión vigente</x:v>
      </x:c>
      <x:c r="N41" s="136"/>
    </x:row>
    <x:row r="42">
      <x:c r="A42" s="136" t="str">
        <x:v>TRL-C-038</x:v>
      </x:c>
      <x:c r="B42" s="136" t="str">
        <x:v>Tecnología / Producto</x:v>
      </x:c>
      <x:c r="C42" s="136" t="str">
        <x:v>TEC-06</x:v>
      </x:c>
      <x:c r="D42" s="136" t="str">
        <x:v>PRUEBAS DE DESEMPEÑO DURABILIDAD Y VALIDACIÓN</x:v>
      </x:c>
      <x:c r="E42" s="152" t="n">
        <x:v>0.1</x:v>
      </x:c>
      <x:c r="F42" s="136" t="str">
        <x:v>¿Qué nivel de pruebas de durabilidad, desempeño y validación se han realizado?</x:v>
      </x:c>
      <x:c r="G42" s="136" t="n">
        <x:v>6</x:v>
      </x:c>
      <x:c r="H42" s="136" t="n">
        <x:v>7</x:v>
      </x:c>
      <x:c r="I42" s="136" t="str">
        <x:v>Hemos evaluado su durabilidad y rendimiento en pruebas reales, considerando escenarios de fallos críticos y mitigación de riesgos.</x:v>
      </x:c>
      <x:c r="J42" s="136" t="n">
        <x:v>6.5</x:v>
      </x:c>
      <x:c r="K42" s="136" t="n">
        <x:v>47</x:v>
      </x:c>
      <x:c r="L42" s="136" t="str">
        <x:v>CALCULADORA TRL Y CRLS.xlsx</x:v>
      </x:c>
      <x:c r="M42" s="136" t="str">
        <x:v>Fuente interna; confirmar versión vigente</x:v>
      </x:c>
      <x:c r="N42" s="136"/>
    </x:row>
    <x:row r="43">
      <x:c r="A43" s="136" t="str">
        <x:v>TRL-C-039</x:v>
      </x:c>
      <x:c r="B43" s="136" t="str">
        <x:v>Tecnología / Producto</x:v>
      </x:c>
      <x:c r="C43" s="136" t="str">
        <x:v>TEC-06</x:v>
      </x:c>
      <x:c r="D43" s="136" t="str">
        <x:v>PRUEBAS DE DESEMPEÑO DURABILIDAD Y VALIDACIÓN</x:v>
      </x:c>
      <x:c r="E43" s="152" t="n">
        <x:v>0.1</x:v>
      </x:c>
      <x:c r="F43" s="136" t="str">
        <x:v>¿Qué nivel de pruebas de durabilidad, desempeño y validación se han realizado?</x:v>
      </x:c>
      <x:c r="G43" s="136" t="n">
        <x:v>8</x:v>
      </x:c>
      <x:c r="H43" s="136" t="n">
        <x:v>9</x:v>
      </x:c>
      <x:c r="I43" s="136" t="str">
        <x:v>Nuestro producto ha demostrado cumplir todos los requisitos de durabilidad, rendimiento y seguridad exigidos por el mercado, con análisis de riesgos completos y estrategias de mitigación implementadas.</x:v>
      </x:c>
      <x:c r="J43" s="136" t="n">
        <x:v>8.5</x:v>
      </x:c>
      <x:c r="K43" s="136" t="n">
        <x:v>48</x:v>
      </x:c>
      <x:c r="L43" s="136" t="str">
        <x:v>CALCULADORA TRL Y CRLS.xlsx</x:v>
      </x:c>
      <x:c r="M43" s="136" t="str">
        <x:v>Fuente interna; confirmar versión vigente</x:v>
      </x:c>
      <x:c r="N43" s="136"/>
    </x:row>
    <x:row r="44">
      <x:c r="A44" s="136" t="str">
        <x:v>TRL-C-040</x:v>
      </x:c>
      <x:c r="B44" s="136" t="str">
        <x:v>Tecnología / Producto</x:v>
      </x:c>
      <x:c r="C44" s="136" t="str">
        <x:v>TEC-07</x:v>
      </x:c>
      <x:c r="D44" s="136" t="str">
        <x:v>Escalabilidad y Producción</x:v>
      </x:c>
      <x:c r="E44" s="152" t="n">
        <x:v>0.1</x:v>
      </x:c>
      <x:c r="F44" s="136" t="str">
        <x:v>¿En qué estado se encuentra la estrategia de producción y escalabilidad de su proyecto o tecnología?</x:v>
      </x:c>
      <x:c r="G44" s="136" t="n">
        <x:v>1</x:v>
      </x:c>
      <x:c r="H44" s="136" t="n">
        <x:v>2</x:v>
      </x:c>
      <x:c r="I44" s="136" t="str">
        <x:v>Aún no hemos considerado cómo escalar o producir el proyecto.</x:v>
      </x:c>
      <x:c r="J44" s="136" t="n">
        <x:v>1.5</x:v>
      </x:c>
      <x:c r="K44" s="136" t="n">
        <x:v>50</x:v>
      </x:c>
      <x:c r="L44" s="136" t="str">
        <x:v>CALCULADORA TRL Y CRLS.xlsx</x:v>
      </x:c>
      <x:c r="M44" s="136" t="str">
        <x:v>Fuente interna; confirmar versión vigente</x:v>
      </x:c>
      <x:c r="N44" s="136"/>
    </x:row>
    <x:row r="45">
      <x:c r="A45" s="136" t="str">
        <x:v>TRL-C-041</x:v>
      </x:c>
      <x:c r="B45" s="136" t="str">
        <x:v>Tecnología / Producto</x:v>
      </x:c>
      <x:c r="C45" s="136" t="str">
        <x:v>TEC-07</x:v>
      </x:c>
      <x:c r="D45" s="136" t="str">
        <x:v>Escalabilidad y Producción</x:v>
      </x:c>
      <x:c r="E45" s="152" t="n">
        <x:v>0.1</x:v>
      </x:c>
      <x:c r="F45" s="136" t="str">
        <x:v>¿En qué estado se encuentra la estrategia de producción y escalabilidad de su proyecto o tecnología?</x:v>
      </x:c>
      <x:c r="G45" s="136" t="n">
        <x:v>3</x:v>
      </x:c>
      <x:c r="H45" s="136" t="n">
        <x:v>3</x:v>
      </x:c>
      <x:c r="I45" s="136" t="str">
        <x:v>Tenemos una idea general sobre cómo escalar la producción.</x:v>
      </x:c>
      <x:c r="J45" s="136" t="n">
        <x:v>3</x:v>
      </x:c>
      <x:c r="K45" s="136" t="n">
        <x:v>51</x:v>
      </x:c>
      <x:c r="L45" s="136" t="str">
        <x:v>CALCULADORA TRL Y CRLS.xlsx</x:v>
      </x:c>
      <x:c r="M45" s="136" t="str">
        <x:v>Fuente interna; confirmar versión vigente</x:v>
      </x:c>
      <x:c r="N45" s="136"/>
    </x:row>
    <x:row r="46">
      <x:c r="A46" s="136" t="str">
        <x:v>TRL-C-042</x:v>
      </x:c>
      <x:c r="B46" s="136" t="str">
        <x:v>Tecnología / Producto</x:v>
      </x:c>
      <x:c r="C46" s="136" t="str">
        <x:v>TEC-07</x:v>
      </x:c>
      <x:c r="D46" s="136" t="str">
        <x:v>Escalabilidad y Producción</x:v>
      </x:c>
      <x:c r="E46" s="152" t="n">
        <x:v>0.1</x:v>
      </x:c>
      <x:c r="F46" s="136" t="str">
        <x:v>¿En qué estado se encuentra la estrategia de producción y escalabilidad de su proyecto o tecnología?</x:v>
      </x:c>
      <x:c r="G46" s="136" t="n">
        <x:v>4</x:v>
      </x:c>
      <x:c r="H46" s="136" t="n">
        <x:v>5</x:v>
      </x:c>
      <x:c r="I46" s="136" t="str">
        <x:v>Contamos con una estrategia preliminar para producir a menor escala.</x:v>
      </x:c>
      <x:c r="J46" s="136" t="n">
        <x:v>4.5</x:v>
      </x:c>
      <x:c r="K46" s="136" t="n">
        <x:v>52</x:v>
      </x:c>
      <x:c r="L46" s="136" t="str">
        <x:v>CALCULADORA TRL Y CRLS.xlsx</x:v>
      </x:c>
      <x:c r="M46" s="136" t="str">
        <x:v>Fuente interna; confirmar versión vigente</x:v>
      </x:c>
      <x:c r="N46" s="136"/>
    </x:row>
    <x:row r="47">
      <x:c r="A47" s="136" t="str">
        <x:v>TRL-C-043</x:v>
      </x:c>
      <x:c r="B47" s="136" t="str">
        <x:v>Tecnología / Producto</x:v>
      </x:c>
      <x:c r="C47" s="136" t="str">
        <x:v>TEC-07</x:v>
      </x:c>
      <x:c r="D47" s="136" t="str">
        <x:v>Escalabilidad y Producción</x:v>
      </x:c>
      <x:c r="E47" s="152" t="n">
        <x:v>0.1</x:v>
      </x:c>
      <x:c r="F47" s="136" t="str">
        <x:v>¿En qué estado se encuentra la estrategia de producción y escalabilidad de su proyecto o tecnología?</x:v>
      </x:c>
      <x:c r="G47" s="136" t="n">
        <x:v>6</x:v>
      </x:c>
      <x:c r="H47" s="136" t="n">
        <x:v>6</x:v>
      </x:c>
      <x:c r="I47" s="136" t="str">
        <x:v>Hemos realizado pruebas de producción en pequeña escala para evaluar su viabilidad.</x:v>
      </x:c>
      <x:c r="J47" s="136" t="n">
        <x:v>6</x:v>
      </x:c>
      <x:c r="K47" s="136" t="n">
        <x:v>53</x:v>
      </x:c>
      <x:c r="L47" s="136" t="str">
        <x:v>CALCULADORA TRL Y CRLS.xlsx</x:v>
      </x:c>
      <x:c r="M47" s="136" t="str">
        <x:v>Fuente interna; confirmar versión vigente</x:v>
      </x:c>
      <x:c r="N47" s="136"/>
    </x:row>
    <x:row r="48">
      <x:c r="A48" s="136" t="str">
        <x:v>TRL-C-044</x:v>
      </x:c>
      <x:c r="B48" s="136" t="str">
        <x:v>Tecnología / Producto</x:v>
      </x:c>
      <x:c r="C48" s="136" t="str">
        <x:v>TEC-07</x:v>
      </x:c>
      <x:c r="D48" s="136" t="str">
        <x:v>Escalabilidad y Producción</x:v>
      </x:c>
      <x:c r="E48" s="152" t="n">
        <x:v>0.1</x:v>
      </x:c>
      <x:c r="F48" s="136" t="str">
        <x:v>¿En qué estado se encuentra la estrategia de producción y escalabilidad de su proyecto o tecnología?</x:v>
      </x:c>
      <x:c r="G48" s="136" t="n">
        <x:v>7</x:v>
      </x:c>
      <x:c r="H48" s="136" t="n">
        <x:v>8</x:v>
      </x:c>
      <x:c r="I48" s="136" t="str">
        <x:v>Contamos con una estrategia clara para la producción a gran escala.</x:v>
      </x:c>
      <x:c r="J48" s="136" t="n">
        <x:v>7.5</x:v>
      </x:c>
      <x:c r="K48" s="136" t="n">
        <x:v>54</x:v>
      </x:c>
      <x:c r="L48" s="136" t="str">
        <x:v>CALCULADORA TRL Y CRLS.xlsx</x:v>
      </x:c>
      <x:c r="M48" s="136" t="str">
        <x:v>Fuente interna; confirmar versión vigente</x:v>
      </x:c>
      <x:c r="N48" s="136"/>
    </x:row>
    <x:row r="49">
      <x:c r="A49" s="136" t="str">
        <x:v>TRL-C-045</x:v>
      </x:c>
      <x:c r="B49" s="136" t="str">
        <x:v>Tecnología / Producto</x:v>
      </x:c>
      <x:c r="C49" s="136" t="str">
        <x:v>TEC-07</x:v>
      </x:c>
      <x:c r="D49" s="136" t="str">
        <x:v>Escalabilidad y Producción</x:v>
      </x:c>
      <x:c r="E49" s="152" t="n">
        <x:v>0.1</x:v>
      </x:c>
      <x:c r="F49" s="136" t="str">
        <x:v>¿En qué estado se encuentra la estrategia de producción y escalabilidad de su proyecto o tecnología?</x:v>
      </x:c>
      <x:c r="G49" s="136" t="n">
        <x:v>9</x:v>
      </x:c>
      <x:c r="H49" s="136" t="n">
        <x:v>9</x:v>
      </x:c>
      <x:c r="I49" s="136" t="str">
        <x:v>El producto está listo para producción y distribución completa en el mercado.</x:v>
      </x:c>
      <x:c r="J49" s="136" t="n">
        <x:v>9</x:v>
      </x:c>
      <x:c r="K49" s="136" t="n">
        <x:v>55</x:v>
      </x:c>
      <x:c r="L49" s="136" t="str">
        <x:v>CALCULADORA TRL Y CRLS.xlsx</x:v>
      </x:c>
      <x:c r="M49" s="136" t="str">
        <x:v>Fuente interna; confirmar versión vigente</x:v>
      </x:c>
      <x:c r="N49" s="136"/>
    </x:row>
    <x:row r="50">
      <x:c r="A50" s="136" t="str">
        <x:v>TRL-C-046</x:v>
      </x:c>
      <x:c r="B50" s="136" t="str">
        <x:v>Tecnología / Producto</x:v>
      </x:c>
      <x:c r="C50" s="136" t="str">
        <x:v>TEC-08</x:v>
      </x:c>
      <x:c r="D50" s="136" t="str">
        <x:v>Validación con usuarios</x:v>
      </x:c>
      <x:c r="E50" s="152" t="n">
        <x:v>0.1</x:v>
      </x:c>
      <x:c r="F50" s="136" t="str">
        <x:v>¿Qué nivel de interacción o retroalimentación de los usuarios ha recibido su proyecto?</x:v>
      </x:c>
      <x:c r="G50" s="136" t="n">
        <x:v>1</x:v>
      </x:c>
      <x:c r="H50" s="136" t="n">
        <x:v>3</x:v>
      </x:c>
      <x:c r="I50" s="136" t="str">
        <x:v>No hemos realizado ninguna prueba con usuarios finales hasta el momento.</x:v>
      </x:c>
      <x:c r="J50" s="136" t="n">
        <x:v>2</x:v>
      </x:c>
      <x:c r="K50" s="136" t="n">
        <x:v>57</x:v>
      </x:c>
      <x:c r="L50" s="136" t="str">
        <x:v>CALCULADORA TRL Y CRLS.xlsx</x:v>
      </x:c>
      <x:c r="M50" s="136" t="str">
        <x:v>Fuente interna; confirmar versión vigente</x:v>
      </x:c>
      <x:c r="N50" s="136"/>
    </x:row>
    <x:row r="51">
      <x:c r="A51" s="136" t="str">
        <x:v>TRL-C-047</x:v>
      </x:c>
      <x:c r="B51" s="136" t="str">
        <x:v>Tecnología / Producto</x:v>
      </x:c>
      <x:c r="C51" s="136" t="str">
        <x:v>TEC-08</x:v>
      </x:c>
      <x:c r="D51" s="136" t="str">
        <x:v>Validación con usuarios</x:v>
      </x:c>
      <x:c r="E51" s="152" t="n">
        <x:v>0.1</x:v>
      </x:c>
      <x:c r="F51" s="136" t="str">
        <x:v>¿Qué nivel de interacción o retroalimentación de los usuarios ha recibido su proyecto?</x:v>
      </x:c>
      <x:c r="G51" s="136" t="n">
        <x:v>4</x:v>
      </x:c>
      <x:c r="H51" s="136" t="n">
        <x:v>4</x:v>
      </x:c>
      <x:c r="I51" s="136" t="str">
        <x:v>Hemos obtenido comentarios iniciales de usuarios en un entorno de laboratorio (pruebas muy controladas).</x:v>
      </x:c>
      <x:c r="J51" s="136" t="n">
        <x:v>4</x:v>
      </x:c>
      <x:c r="K51" s="136" t="n">
        <x:v>58</x:v>
      </x:c>
      <x:c r="L51" s="136" t="str">
        <x:v>CALCULADORA TRL Y CRLS.xlsx</x:v>
      </x:c>
      <x:c r="M51" s="136" t="str">
        <x:v>Fuente interna; confirmar versión vigente</x:v>
      </x:c>
      <x:c r="N51" s="136"/>
    </x:row>
    <x:row r="52">
      <x:c r="A52" s="136" t="str">
        <x:v>TRL-C-048</x:v>
      </x:c>
      <x:c r="B52" s="136" t="str">
        <x:v>Tecnología / Producto</x:v>
      </x:c>
      <x:c r="C52" s="136" t="str">
        <x:v>TEC-08</x:v>
      </x:c>
      <x:c r="D52" s="136" t="str">
        <x:v>Validación con usuarios</x:v>
      </x:c>
      <x:c r="E52" s="152" t="n">
        <x:v>0.1</x:v>
      </x:c>
      <x:c r="F52" s="136" t="str">
        <x:v>¿Qué nivel de interacción o retroalimentación de los usuarios ha recibido su proyecto?</x:v>
      </x:c>
      <x:c r="G52" s="136" t="n">
        <x:v>5</x:v>
      </x:c>
      <x:c r="H52" s="136" t="n">
        <x:v>5</x:v>
      </x:c>
      <x:c r="I52" s="136" t="str">
        <x:v>Algunos usuarios seleccionados han probado el prototipo en un entorno simulado, aportando feedback.</x:v>
      </x:c>
      <x:c r="J52" s="136" t="n">
        <x:v>5</x:v>
      </x:c>
      <x:c r="K52" s="136" t="n">
        <x:v>59</x:v>
      </x:c>
      <x:c r="L52" s="136" t="str">
        <x:v>CALCULADORA TRL Y CRLS.xlsx</x:v>
      </x:c>
      <x:c r="M52" s="136" t="str">
        <x:v>Fuente interna; confirmar versión vigente</x:v>
      </x:c>
      <x:c r="N52" s="136"/>
    </x:row>
    <x:row r="53">
      <x:c r="A53" s="136" t="str">
        <x:v>TRL-C-049</x:v>
      </x:c>
      <x:c r="B53" s="136" t="str">
        <x:v>Tecnología / Producto</x:v>
      </x:c>
      <x:c r="C53" s="136" t="str">
        <x:v>TEC-08</x:v>
      </x:c>
      <x:c r="D53" s="136" t="str">
        <x:v>Validación con usuarios</x:v>
      </x:c>
      <x:c r="E53" s="152" t="n">
        <x:v>0.1</x:v>
      </x:c>
      <x:c r="F53" s="136" t="str">
        <x:v>¿Qué nivel de interacción o retroalimentación de los usuarios ha recibido su proyecto?</x:v>
      </x:c>
      <x:c r="G53" s="136" t="n">
        <x:v>6</x:v>
      </x:c>
      <x:c r="H53" s="136" t="n">
        <x:v>7</x:v>
      </x:c>
      <x:c r="I53" s="136" t="str">
        <x:v>Usuarios han probado el prototipo en un entorno real, pero en condiciones supervisadas y con ajustes posibles</x:v>
      </x:c>
      <x:c r="J53" s="136" t="n">
        <x:v>6.5</x:v>
      </x:c>
      <x:c r="K53" s="136" t="n">
        <x:v>60</x:v>
      </x:c>
      <x:c r="L53" s="136" t="str">
        <x:v>CALCULADORA TRL Y CRLS.xlsx</x:v>
      </x:c>
      <x:c r="M53" s="136" t="str">
        <x:v>Fuente interna; confirmar versión vigente</x:v>
      </x:c>
      <x:c r="N53" s="136"/>
    </x:row>
    <x:row r="54">
      <x:c r="A54" s="136" t="str">
        <x:v>TRL-C-050</x:v>
      </x:c>
      <x:c r="B54" s="136" t="str">
        <x:v>Tecnología / Producto</x:v>
      </x:c>
      <x:c r="C54" s="136" t="str">
        <x:v>TEC-08</x:v>
      </x:c>
      <x:c r="D54" s="136" t="str">
        <x:v>Validación con usuarios</x:v>
      </x:c>
      <x:c r="E54" s="152" t="n">
        <x:v>0.1</x:v>
      </x:c>
      <x:c r="F54" s="136" t="str">
        <x:v>¿Qué nivel de interacción o retroalimentación de los usuarios ha recibido su proyecto?</x:v>
      </x:c>
      <x:c r="G54" s="136" t="n">
        <x:v>8</x:v>
      </x:c>
      <x:c r="H54" s="136" t="n">
        <x:v>8</x:v>
      </x:c>
      <x:c r="I54" s="136" t="str">
        <x:v>Usuarios finales han validado la eficacia del producto en condiciones reales y están satisfechos con los resultados</x:v>
      </x:c>
      <x:c r="J54" s="136" t="n">
        <x:v>8</x:v>
      </x:c>
      <x:c r="K54" s="136" t="n">
        <x:v>61</x:v>
      </x:c>
      <x:c r="L54" s="136" t="str">
        <x:v>CALCULADORA TRL Y CRLS.xlsx</x:v>
      </x:c>
      <x:c r="M54" s="136" t="str">
        <x:v>Fuente interna; confirmar versión vigente</x:v>
      </x:c>
      <x:c r="N54" s="136"/>
    </x:row>
    <x:row r="55">
      <x:c r="A55" s="136" t="str">
        <x:v>TRL-C-051</x:v>
      </x:c>
      <x:c r="B55" s="136" t="str">
        <x:v>Tecnología / Producto</x:v>
      </x:c>
      <x:c r="C55" s="136" t="str">
        <x:v>TEC-08</x:v>
      </x:c>
      <x:c r="D55" s="136" t="str">
        <x:v>Validación con usuarios</x:v>
      </x:c>
      <x:c r="E55" s="152" t="n">
        <x:v>0.1</x:v>
      </x:c>
      <x:c r="F55" s="136" t="str">
        <x:v>¿Qué nivel de interacción o retroalimentación de los usuarios ha recibido su proyecto?</x:v>
      </x:c>
      <x:c r="G55" s="136" t="n">
        <x:v>9</x:v>
      </x:c>
      <x:c r="H55" s="136" t="n">
        <x:v>9</x:v>
      </x:c>
      <x:c r="I55" s="136" t="str">
        <x:v>El producto cuenta con aceptación total en el mercado y uso activo por parte de los clientes</x:v>
      </x:c>
      <x:c r="J55" s="136" t="n">
        <x:v>9</x:v>
      </x:c>
      <x:c r="K55" s="136" t="n">
        <x:v>62</x:v>
      </x:c>
      <x:c r="L55" s="136" t="str">
        <x:v>CALCULADORA TRL Y CRLS.xlsx</x:v>
      </x:c>
      <x:c r="M55" s="136" t="str">
        <x:v>Fuente interna; confirmar versión vigente</x:v>
      </x:c>
      <x:c r="N55" s="136"/>
    </x:row>
    <x:row r="56">
      <x:c r="A56" s="136" t="str">
        <x:v>TRL-C-052</x:v>
      </x:c>
      <x:c r="B56" s="136" t="str">
        <x:v>Tecnología / Producto</x:v>
      </x:c>
      <x:c r="C56" s="136" t="str">
        <x:v>TEC-09</x:v>
      </x:c>
      <x:c r="D56" s="136" t="str">
        <x:v>PROPIEDAD INTELECTUTAL</x:v>
      </x:c>
      <x:c r="E56" s="152" t="n">
        <x:v>0.05</x:v>
      </x:c>
      <x:c r="F56" s="136" t="str">
        <x:v>¿En qué estado de protección se encuentra la Propiedad Intelectual (PI) de su proyecto o tecnología?</x:v>
      </x:c>
      <x:c r="G56" s="136" t="n">
        <x:v>1</x:v>
      </x:c>
      <x:c r="H56" s="136" t="n">
        <x:v>2</x:v>
      </x:c>
      <x:c r="I56" s="136" t="str">
        <x:v>No se ha realizado ninguna acción en relación con la propiedad intelectual</x:v>
      </x:c>
      <x:c r="J56" s="136" t="n">
        <x:v>1.5</x:v>
      </x:c>
      <x:c r="K56" s="136" t="n">
        <x:v>64</x:v>
      </x:c>
      <x:c r="L56" s="136" t="str">
        <x:v>CALCULADORA TRL Y CRLS.xlsx</x:v>
      </x:c>
      <x:c r="M56" s="136" t="str">
        <x:v>Fuente interna; confirmar versión vigente</x:v>
      </x:c>
      <x:c r="N56" s="136"/>
    </x:row>
    <x:row r="57">
      <x:c r="A57" s="136" t="str">
        <x:v>TRL-C-053</x:v>
      </x:c>
      <x:c r="B57" s="136" t="str">
        <x:v>Tecnología / Producto</x:v>
      </x:c>
      <x:c r="C57" s="136" t="str">
        <x:v>TEC-09</x:v>
      </x:c>
      <x:c r="D57" s="136" t="str">
        <x:v>PROPIEDAD INTELECTUTAL</x:v>
      </x:c>
      <x:c r="E57" s="152" t="n">
        <x:v>0.05</x:v>
      </x:c>
      <x:c r="F57" s="136" t="str">
        <x:v>¿En qué estado de protección se encuentra la Propiedad Intelectual (PI) de su proyecto o tecnología?</x:v>
      </x:c>
      <x:c r="G57" s="136" t="n">
        <x:v>3</x:v>
      </x:c>
      <x:c r="H57" s="136" t="n">
        <x:v>3</x:v>
      </x:c>
      <x:c r="I57" s="136" t="str">
        <x:v>Se ha explorado la viabilidad de protección y se han identificado posibles invenciones o áreas de protección</x:v>
      </x:c>
      <x:c r="J57" s="136" t="n">
        <x:v>3</x:v>
      </x:c>
      <x:c r="K57" s="136" t="n">
        <x:v>65</x:v>
      </x:c>
      <x:c r="L57" s="136" t="str">
        <x:v>CALCULADORA TRL Y CRLS.xlsx</x:v>
      </x:c>
      <x:c r="M57" s="136" t="str">
        <x:v>Fuente interna; confirmar versión vigente</x:v>
      </x:c>
      <x:c r="N57" s="136"/>
    </x:row>
    <x:row r="58">
      <x:c r="A58" s="136" t="str">
        <x:v>TRL-C-054</x:v>
      </x:c>
      <x:c r="B58" s="136" t="str">
        <x:v>Tecnología / Producto</x:v>
      </x:c>
      <x:c r="C58" s="136" t="str">
        <x:v>TEC-09</x:v>
      </x:c>
      <x:c r="D58" s="136" t="str">
        <x:v>PROPIEDAD INTELECTUTAL</x:v>
      </x:c>
      <x:c r="E58" s="152" t="n">
        <x:v>0.05</x:v>
      </x:c>
      <x:c r="F58" s="136" t="str">
        <x:v>¿En qué estado de protección se encuentra la Propiedad Intelectual (PI) de su proyecto o tecnología?</x:v>
      </x:c>
      <x:c r="G58" s="136" t="n">
        <x:v>4</x:v>
      </x:c>
      <x:c r="H58" s="136" t="n">
        <x:v>5</x:v>
      </x:c>
      <x:c r="I58" s="136" t="str">
        <x:v>Se han preparado y presentado solicitudes de patentes en mercados clave o jurisdicciones estratégicas.</x:v>
      </x:c>
      <x:c r="J58" s="136" t="n">
        <x:v>4.5</x:v>
      </x:c>
      <x:c r="K58" s="136" t="n">
        <x:v>66</x:v>
      </x:c>
      <x:c r="L58" s="136" t="str">
        <x:v>CALCULADORA TRL Y CRLS.xlsx</x:v>
      </x:c>
      <x:c r="M58" s="136" t="str">
        <x:v>Fuente interna; confirmar versión vigente</x:v>
      </x:c>
      <x:c r="N58" s="136"/>
    </x:row>
    <x:row r="59">
      <x:c r="A59" s="136" t="str">
        <x:v>TRL-C-055</x:v>
      </x:c>
      <x:c r="B59" s="136" t="str">
        <x:v>Tecnología / Producto</x:v>
      </x:c>
      <x:c r="C59" s="136" t="str">
        <x:v>TEC-09</x:v>
      </x:c>
      <x:c r="D59" s="136" t="str">
        <x:v>PROPIEDAD INTELECTUTAL</x:v>
      </x:c>
      <x:c r="E59" s="152" t="n">
        <x:v>0.05</x:v>
      </x:c>
      <x:c r="F59" s="136" t="str">
        <x:v>¿En qué estado de protección se encuentra la Propiedad Intelectual (PI) de su proyecto o tecnología?</x:v>
      </x:c>
      <x:c r="G59" s="136" t="n">
        <x:v>6</x:v>
      </x:c>
      <x:c r="H59" s="136" t="n">
        <x:v>7</x:v>
      </x:c>
      <x:c r="I59" s="136" t="str">
        <x:v>Patentes otorgadas con protección activa en mercados importantes, fortaleciendo la posición de PI.</x:v>
      </x:c>
      <x:c r="J59" s="136" t="n">
        <x:v>6.5</x:v>
      </x:c>
      <x:c r="K59" s="136" t="n">
        <x:v>67</x:v>
      </x:c>
      <x:c r="L59" s="136" t="str">
        <x:v>CALCULADORA TRL Y CRLS.xlsx</x:v>
      </x:c>
      <x:c r="M59" s="136" t="str">
        <x:v>Fuente interna; confirmar versión vigente</x:v>
      </x:c>
      <x:c r="N59" s="136"/>
    </x:row>
    <x:row r="60">
      <x:c r="A60" s="136" t="str">
        <x:v>TRL-C-056</x:v>
      </x:c>
      <x:c r="B60" s="136" t="str">
        <x:v>Tecnología / Producto</x:v>
      </x:c>
      <x:c r="C60" s="136" t="str">
        <x:v>TEC-09</x:v>
      </x:c>
      <x:c r="D60" s="136" t="str">
        <x:v>PROPIEDAD INTELECTUTAL</x:v>
      </x:c>
      <x:c r="E60" s="152" t="n">
        <x:v>0.05</x:v>
      </x:c>
      <x:c r="F60" s="136" t="str">
        <x:v>¿En qué estado de protección se encuentra la Propiedad Intelectual (PI) de su proyecto o tecnología?</x:v>
      </x:c>
      <x:c r="G60" s="136" t="n">
        <x:v>8</x:v>
      </x:c>
      <x:c r="H60" s="136" t="n">
        <x:v>9</x:v>
      </x:c>
      <x:c r="I60" s="136" t="str">
        <x:v>La propiedad intelectual está asegurada globalmente con una estrategia consolidada para proteger y defender los activos en mercados clave.</x:v>
      </x:c>
      <x:c r="J60" s="136" t="n">
        <x:v>8.5</x:v>
      </x:c>
      <x:c r="K60" s="136" t="n">
        <x:v>68</x:v>
      </x:c>
      <x:c r="L60" s="136" t="str">
        <x:v>CALCULADORA TRL Y CRLS.xlsx</x:v>
      </x:c>
      <x:c r="M60" s="136" t="str">
        <x:v>Fuente interna; confirmar versión vigente</x:v>
      </x:c>
      <x:c r="N60" s="136"/>
    </x:row>
    <x:row r="61">
      <x:c r="A61" s="136" t="str">
        <x:v>TRL-C-057</x:v>
      </x:c>
      <x:c r="B61" s="136" t="str">
        <x:v>Tecnología / Producto</x:v>
      </x:c>
      <x:c r="C61" s="136" t="str">
        <x:v>TEC-10</x:v>
      </x:c>
      <x:c r="D61" s="136" t="str">
        <x:v>Certificación y Cumplimiento</x:v>
      </x:c>
      <x:c r="E61" s="152" t="n">
        <x:v>0.05</x:v>
      </x:c>
      <x:c r="F61" s="136" t="str">
        <x:v>¿Cuál es el avance en la certificación y cumplimiento regulatorio de su tecnología?</x:v>
      </x:c>
      <x:c r="G61" s="136" t="n">
        <x:v>1</x:v>
      </x:c>
      <x:c r="H61" s="136" t="n">
        <x:v>4</x:v>
      </x:c>
      <x:c r="I61" s="136" t="str">
        <x:v>No hemos iniciado el proceso de certificación.</x:v>
      </x:c>
      <x:c r="J61" s="136" t="n">
        <x:v>2</x:v>
      </x:c>
      <x:c r="K61" s="136" t="n">
        <x:v>70</x:v>
      </x:c>
      <x:c r="L61" s="136" t="str">
        <x:v>CALCULADORA TRL Y CRLS.xlsx</x:v>
      </x:c>
      <x:c r="M61" s="136" t="str">
        <x:v>Fuente interna; confirmar versión vigente</x:v>
      </x:c>
      <x:c r="N61" s="136"/>
    </x:row>
    <x:row r="62">
      <x:c r="A62" s="136" t="str">
        <x:v>TRL-C-058</x:v>
      </x:c>
      <x:c r="B62" s="136" t="str">
        <x:v>Tecnología / Producto</x:v>
      </x:c>
      <x:c r="C62" s="136" t="str">
        <x:v>TEC-10</x:v>
      </x:c>
      <x:c r="D62" s="136" t="str">
        <x:v>Certificación y Cumplimiento</x:v>
      </x:c>
      <x:c r="E62" s="152" t="n">
        <x:v>0.05</x:v>
      </x:c>
      <x:c r="F62" s="136" t="str">
        <x:v>¿Cuál es el avance en la certificación y cumplimiento regulatorio de su tecnología?</x:v>
      </x:c>
      <x:c r="G62" s="136" t="n">
        <x:v>5</x:v>
      </x:c>
      <x:c r="H62" s="136" t="n">
        <x:v>5</x:v>
      </x:c>
      <x:c r="I62" s="136" t="str">
        <x:v>Estamos explorando los requisitos para la certificación.</x:v>
      </x:c>
      <x:c r="J62" s="136" t="n">
        <x:v>5</x:v>
      </x:c>
      <x:c r="K62" s="136" t="n">
        <x:v>71</x:v>
      </x:c>
      <x:c r="L62" s="136" t="str">
        <x:v>CALCULADORA TRL Y CRLS.xlsx</x:v>
      </x:c>
      <x:c r="M62" s="136" t="str">
        <x:v>Fuente interna; confirmar versión vigente</x:v>
      </x:c>
      <x:c r="N62" s="136"/>
    </x:row>
    <x:row r="63">
      <x:c r="A63" s="136" t="str">
        <x:v>TRL-C-059</x:v>
      </x:c>
      <x:c r="B63" s="136" t="str">
        <x:v>Tecnología / Producto</x:v>
      </x:c>
      <x:c r="C63" s="136" t="str">
        <x:v>TEC-10</x:v>
      </x:c>
      <x:c r="D63" s="136" t="str">
        <x:v>Certificación y Cumplimiento</x:v>
      </x:c>
      <x:c r="E63" s="152" t="n">
        <x:v>0.05</x:v>
      </x:c>
      <x:c r="F63" s="136" t="str">
        <x:v>¿Cuál es el avance en la certificación y cumplimiento regulatorio de su tecnología?</x:v>
      </x:c>
      <x:c r="G63" s="136" t="n">
        <x:v>6</x:v>
      </x:c>
      <x:c r="H63" s="136" t="n">
        <x:v>6</x:v>
      </x:c>
      <x:c r="I63" s="136" t="str">
        <x:v>Estamos trabajando activamente para cumplir con los requisitos regulatorios</x:v>
      </x:c>
      <x:c r="J63" s="136" t="n">
        <x:v>6</x:v>
      </x:c>
      <x:c r="K63" s="136" t="n">
        <x:v>72</x:v>
      </x:c>
      <x:c r="L63" s="136" t="str">
        <x:v>CALCULADORA TRL Y CRLS.xlsx</x:v>
      </x:c>
      <x:c r="M63" s="136" t="str">
        <x:v>Fuente interna; confirmar versión vigente</x:v>
      </x:c>
      <x:c r="N63" s="136"/>
    </x:row>
    <x:row r="64">
      <x:c r="A64" s="136" t="str">
        <x:v>TRL-C-060</x:v>
      </x:c>
      <x:c r="B64" s="136" t="str">
        <x:v>Tecnología / Producto</x:v>
      </x:c>
      <x:c r="C64" s="136" t="str">
        <x:v>TEC-10</x:v>
      </x:c>
      <x:c r="D64" s="136" t="str">
        <x:v>Certificación y Cumplimiento</x:v>
      </x:c>
      <x:c r="E64" s="152" t="n">
        <x:v>0.05</x:v>
      </x:c>
      <x:c r="F64" s="136" t="str">
        <x:v>¿Cuál es el avance en la certificación y cumplimiento regulatorio de su tecnología?</x:v>
      </x:c>
      <x:c r="G64" s="136" t="n">
        <x:v>7</x:v>
      </x:c>
      <x:c r="H64" s="136" t="n">
        <x:v>7</x:v>
      </x:c>
      <x:c r="I64" s="136" t="str">
        <x:v>Algunos permisos y certificaciones están en proceso.</x:v>
      </x:c>
      <x:c r="J64" s="136" t="n">
        <x:v>7</x:v>
      </x:c>
      <x:c r="K64" s="136" t="n">
        <x:v>73</x:v>
      </x:c>
      <x:c r="L64" s="136" t="str">
        <x:v>CALCULADORA TRL Y CRLS.xlsx</x:v>
      </x:c>
      <x:c r="M64" s="136" t="str">
        <x:v>Fuente interna; confirmar versión vigente</x:v>
      </x:c>
      <x:c r="N64" s="136"/>
    </x:row>
    <x:row r="65">
      <x:c r="A65" s="136" t="str">
        <x:v>TRL-C-061</x:v>
      </x:c>
      <x:c r="B65" s="136" t="str">
        <x:v>Tecnología / Producto</x:v>
      </x:c>
      <x:c r="C65" s="136" t="str">
        <x:v>TEC-10</x:v>
      </x:c>
      <x:c r="D65" s="136" t="str">
        <x:v>Certificación y Cumplimiento</x:v>
      </x:c>
      <x:c r="E65" s="152" t="n">
        <x:v>0.05</x:v>
      </x:c>
      <x:c r="F65" s="136" t="str">
        <x:v>¿Cuál es el avance en la certificación y cumplimiento regulatorio de su tecnología?</x:v>
      </x:c>
      <x:c r="G65" s="136" t="n">
        <x:v>8</x:v>
      </x:c>
      <x:c r="H65" s="136" t="n">
        <x:v>8</x:v>
      </x:c>
      <x:c r="I65" s="136" t="str">
        <x:v>La mayoría de los permisos han sido obtenidos, pendientes de aprobaciones menores.</x:v>
      </x:c>
      <x:c r="J65" s="136" t="n">
        <x:v>8</x:v>
      </x:c>
      <x:c r="K65" s="136" t="n">
        <x:v>74</x:v>
      </x:c>
      <x:c r="L65" s="136" t="str">
        <x:v>CALCULADORA TRL Y CRLS.xlsx</x:v>
      </x:c>
      <x:c r="M65" s="136" t="str">
        <x:v>Fuente interna; confirmar versión vigente</x:v>
      </x:c>
      <x:c r="N65" s="136"/>
    </x:row>
    <x:row r="66">
      <x:c r="A66" s="136" t="str">
        <x:v>TRL-C-062</x:v>
      </x:c>
      <x:c r="B66" s="136" t="str">
        <x:v>Tecnología / Producto</x:v>
      </x:c>
      <x:c r="C66" s="136" t="str">
        <x:v>TEC-10</x:v>
      </x:c>
      <x:c r="D66" s="136" t="str">
        <x:v>Certificación y Cumplimiento</x:v>
      </x:c>
      <x:c r="E66" s="152" t="n">
        <x:v>0.05</x:v>
      </x:c>
      <x:c r="F66" s="136" t="str">
        <x:v>¿Cuál es el avance en la certificación y cumplimiento regulatorio de su tecnología?</x:v>
      </x:c>
      <x:c r="G66" s="136" t="n">
        <x:v>9</x:v>
      </x:c>
      <x:c r="H66" s="136" t="n">
        <x:v>9</x:v>
      </x:c>
      <x:c r="I66" s="136" t="str">
        <x:v>El producto cumple con todas las regulaciones de la industria y está listo para el mercado.</x:v>
      </x:c>
      <x:c r="J66" s="136" t="n">
        <x:v>9</x:v>
      </x:c>
      <x:c r="K66" s="136" t="n">
        <x:v>75</x:v>
      </x:c>
      <x:c r="L66" s="136" t="str">
        <x:v>CALCULADORA TRL Y CRLS.xlsx</x:v>
      </x:c>
      <x:c r="M66" s="136" t="str">
        <x:v>Fuente interna; confirmar versión vigente</x:v>
      </x:c>
      <x:c r="N66" s="136"/>
    </x:row>
    <x:row r="67">
      <x:c r="A67" s="136" t="str">
        <x:v>TRL-C-063</x:v>
      </x:c>
      <x:c r="B67" s="136" t="str">
        <x:v>Tecnología / Producto</x:v>
      </x:c>
      <x:c r="C67" s="136" t="str">
        <x:v>TEC-11</x:v>
      </x:c>
      <x:c r="D67" s="136" t="str">
        <x:v>ENTORNO DE PRUEBAS</x:v>
      </x:c>
      <x:c r="E67" s="152" t="n">
        <x:v>0.1</x:v>
      </x:c>
      <x:c r="F67" s="136" t="str">
        <x:v>¿En qué tipo de entorno se han realizado las pruebas de su producto?</x:v>
      </x:c>
      <x:c r="G67" s="136" t="n">
        <x:v>1</x:v>
      </x:c>
      <x:c r="H67" s="136" t="n">
        <x:v>2</x:v>
      </x:c>
      <x:c r="I67" s="136" t="str">
        <x:v>No se han realizado pruebas en ningún entorno</x:v>
      </x:c>
      <x:c r="J67" s="136" t="n">
        <x:v>1.5</x:v>
      </x:c>
      <x:c r="K67" s="136" t="n">
        <x:v>77</x:v>
      </x:c>
      <x:c r="L67" s="136" t="str">
        <x:v>CALCULADORA TRL Y CRLS.xlsx</x:v>
      </x:c>
      <x:c r="M67" s="136" t="str">
        <x:v>Fuente interna; confirmar versión vigente</x:v>
      </x:c>
      <x:c r="N67" s="136"/>
    </x:row>
    <x:row r="68">
      <x:c r="A68" s="136" t="str">
        <x:v>TRL-C-064</x:v>
      </x:c>
      <x:c r="B68" s="136" t="str">
        <x:v>Tecnología / Producto</x:v>
      </x:c>
      <x:c r="C68" s="136" t="str">
        <x:v>TEC-11</x:v>
      </x:c>
      <x:c r="D68" s="136" t="str">
        <x:v>ENTORNO DE PRUEBAS</x:v>
      </x:c>
      <x:c r="E68" s="152" t="n">
        <x:v>0.1</x:v>
      </x:c>
      <x:c r="F68" s="136" t="str">
        <x:v>¿En qué tipo de entorno se han realizado las pruebas de su producto?</x:v>
      </x:c>
      <x:c r="G68" s="136" t="n">
        <x:v>3</x:v>
      </x:c>
      <x:c r="H68" s="136" t="n">
        <x:v>4</x:v>
      </x:c>
      <x:c r="I68" s="136" t="str">
        <x:v>Pruebas en un entorno de laboratorio controlado, con mínima influencia de factores externos</x:v>
      </x:c>
      <x:c r="J68" s="136" t="n">
        <x:v>3.5</x:v>
      </x:c>
      <x:c r="K68" s="136" t="n">
        <x:v>78</x:v>
      </x:c>
      <x:c r="L68" s="136" t="str">
        <x:v>CALCULADORA TRL Y CRLS.xlsx</x:v>
      </x:c>
      <x:c r="M68" s="136" t="str">
        <x:v>Fuente interna; confirmar versión vigente</x:v>
      </x:c>
      <x:c r="N68" s="136"/>
    </x:row>
    <x:row r="69">
      <x:c r="A69" s="136" t="str">
        <x:v>TRL-C-065</x:v>
      </x:c>
      <x:c r="B69" s="136" t="str">
        <x:v>Tecnología / Producto</x:v>
      </x:c>
      <x:c r="C69" s="136" t="str">
        <x:v>TEC-11</x:v>
      </x:c>
      <x:c r="D69" s="136" t="str">
        <x:v>ENTORNO DE PRUEBAS</x:v>
      </x:c>
      <x:c r="E69" s="152" t="n">
        <x:v>0.1</x:v>
      </x:c>
      <x:c r="F69" s="136" t="str">
        <x:v>¿En qué tipo de entorno se han realizado las pruebas de su producto?</x:v>
      </x:c>
      <x:c r="G69" s="136" t="n">
        <x:v>5</x:v>
      </x:c>
      <x:c r="H69" s="136" t="n">
        <x:v>5</x:v>
      </x:c>
      <x:c r="I69" s="136" t="str">
        <x:v>Pruebas en un entorno relevante que simula algunas condiciones del uso final</x:v>
      </x:c>
      <x:c r="J69" s="136" t="n">
        <x:v>5</x:v>
      </x:c>
      <x:c r="K69" s="136" t="n">
        <x:v>79</x:v>
      </x:c>
      <x:c r="L69" s="136" t="str">
        <x:v>CALCULADORA TRL Y CRLS.xlsx</x:v>
      </x:c>
      <x:c r="M69" s="136" t="str">
        <x:v>Fuente interna; confirmar versión vigente</x:v>
      </x:c>
      <x:c r="N69" s="136"/>
    </x:row>
    <x:row r="70">
      <x:c r="A70" s="136" t="str">
        <x:v>TRL-C-066</x:v>
      </x:c>
      <x:c r="B70" s="136" t="str">
        <x:v>Tecnología / Producto</x:v>
      </x:c>
      <x:c r="C70" s="136" t="str">
        <x:v>TEC-11</x:v>
      </x:c>
      <x:c r="D70" s="136" t="str">
        <x:v>ENTORNO DE PRUEBAS</x:v>
      </x:c>
      <x:c r="E70" s="152" t="n">
        <x:v>0.1</x:v>
      </x:c>
      <x:c r="F70" s="136" t="str">
        <x:v>¿En qué tipo de entorno se han realizado las pruebas de su producto?</x:v>
      </x:c>
      <x:c r="G70" s="136" t="n">
        <x:v>6</x:v>
      </x:c>
      <x:c r="H70" s="136" t="n">
        <x:v>7</x:v>
      </x:c>
      <x:c r="I70" s="136" t="str">
        <x:v>Pruebas en un entorno operativo que imita fielmente el entorno final, con algunas variables aún bajo control</x:v>
      </x:c>
      <x:c r="J70" s="136" t="n">
        <x:v>6.5</x:v>
      </x:c>
      <x:c r="K70" s="136" t="n">
        <x:v>80</x:v>
      </x:c>
      <x:c r="L70" s="136" t="str">
        <x:v>CALCULADORA TRL Y CRLS.xlsx</x:v>
      </x:c>
      <x:c r="M70" s="136" t="str">
        <x:v>Fuente interna; confirmar versión vigente</x:v>
      </x:c>
      <x:c r="N70" s="136"/>
    </x:row>
    <x:row r="71">
      <x:c r="A71" s="136" t="str">
        <x:v>TRL-C-067</x:v>
      </x:c>
      <x:c r="B71" s="136" t="str">
        <x:v>Tecnología / Producto</x:v>
      </x:c>
      <x:c r="C71" s="136" t="str">
        <x:v>TEC-11</x:v>
      </x:c>
      <x:c r="D71" s="136" t="str">
        <x:v>ENTORNO DE PRUEBAS</x:v>
      </x:c>
      <x:c r="E71" s="152" t="n">
        <x:v>0.1</x:v>
      </x:c>
      <x:c r="F71" s="136" t="str">
        <x:v>¿En qué tipo de entorno se han realizado las pruebas de su producto?</x:v>
      </x:c>
      <x:c r="G71" s="136" t="n">
        <x:v>8</x:v>
      </x:c>
      <x:c r="H71" s="136" t="n">
        <x:v>9</x:v>
      </x:c>
      <x:c r="I71" s="136" t="str">
        <x:v>Pruebas en el entorno real de uso, sin control sobre las condiciones externas, demostrando funcionalidad completa</x:v>
      </x:c>
      <x:c r="J71" s="136" t="n">
        <x:v>8.5</x:v>
      </x:c>
      <x:c r="K71" s="136" t="n">
        <x:v>81</x:v>
      </x:c>
      <x:c r="L71" s="136" t="str">
        <x:v>CALCULADORA TRL Y CRLS.xlsx</x:v>
      </x:c>
      <x:c r="M71" s="136" t="str">
        <x:v>Fuente interna; confirmar versión vigente</x:v>
      </x:c>
      <x:c r="N71" s="136"/>
    </x:row>
    <x:row r="72">
      <x:c r="A72" s="136" t="str">
        <x:v>TRL-C-068</x:v>
      </x:c>
      <x:c r="B72" s="136" t="str">
        <x:v>Software</x:v>
      </x:c>
      <x:c r="C72" s="136" t="str">
        <x:v>SOF-01</x:v>
      </x:c>
      <x:c r="D72" s="136" t="str">
        <x:v>Funcionalidad y Desarrollo del Software</x:v>
      </x:c>
      <x:c r="E72" s="152" t="n">
        <x:v>0.35</x:v>
      </x:c>
      <x:c r="F72" s="136" t="str">
        <x:v>¿En qué etapa de desarrollo y funcionalidad se encuentra su software actualmente?</x:v>
      </x:c>
      <x:c r="G72" s="136" t="n">
        <x:v>1</x:v>
      </x:c>
      <x:c r="H72" s="136" t="n">
        <x:v>1</x:v>
      </x:c>
      <x:c r="I72" s="136" t="str">
        <x:v>Solo existe un concepto o una idea inicial del software, sin desarrollo de script ni funcionalidades.</x:v>
      </x:c>
      <x:c r="J72" s="136" t="n">
        <x:v>1</x:v>
      </x:c>
      <x:c r="K72" s="136" t="n">
        <x:v>3</x:v>
      </x:c>
      <x:c r="L72" s="136" t="str">
        <x:v>CALCULADORA TRL Y CRLS.xlsx</x:v>
      </x:c>
      <x:c r="M72" s="136" t="str">
        <x:v>Fuente interna; confirmar versión vigente</x:v>
      </x:c>
      <x:c r="N72" s="136"/>
    </x:row>
    <x:row r="73">
      <x:c r="A73" s="136" t="str">
        <x:v>TRL-C-069</x:v>
      </x:c>
      <x:c r="B73" s="136" t="str">
        <x:v>Software</x:v>
      </x:c>
      <x:c r="C73" s="136" t="str">
        <x:v>SOF-01</x:v>
      </x:c>
      <x:c r="D73" s="136" t="str">
        <x:v>Funcionalidad y Desarrollo del Software</x:v>
      </x:c>
      <x:c r="E73" s="152" t="n">
        <x:v>0.35</x:v>
      </x:c>
      <x:c r="F73" s="136" t="str">
        <x:v>¿En qué etapa de desarrollo y funcionalidad se encuentra su software actualmente?</x:v>
      </x:c>
      <x:c r="G73" s="136" t="n">
        <x:v>2</x:v>
      </x:c>
      <x:c r="H73" s="136" t="n">
        <x:v>2</x:v>
      </x:c>
      <x:c r="I73" s="136" t="str">
        <x:v>Concepto definido y algunas funciones básicas de prueba en un prototipo mínimo.</x:v>
      </x:c>
      <x:c r="J73" s="136" t="n">
        <x:v>2</x:v>
      </x:c>
      <x:c r="K73" s="136" t="n">
        <x:v>4</x:v>
      </x:c>
      <x:c r="L73" s="136" t="str">
        <x:v>CALCULADORA TRL Y CRLS.xlsx</x:v>
      </x:c>
      <x:c r="M73" s="136" t="str">
        <x:v>Fuente interna; confirmar versión vigente</x:v>
      </x:c>
      <x:c r="N73" s="136"/>
    </x:row>
    <x:row r="74">
      <x:c r="A74" s="136" t="str">
        <x:v>TRL-C-070</x:v>
      </x:c>
      <x:c r="B74" s="136" t="str">
        <x:v>Software</x:v>
      </x:c>
      <x:c r="C74" s="136" t="str">
        <x:v>SOF-01</x:v>
      </x:c>
      <x:c r="D74" s="136" t="str">
        <x:v>Funcionalidad y Desarrollo del Software</x:v>
      </x:c>
      <x:c r="E74" s="152" t="n">
        <x:v>0.35</x:v>
      </x:c>
      <x:c r="F74" s="136" t="str">
        <x:v>¿En qué etapa de desarrollo y funcionalidad se encuentra su software actualmente?</x:v>
      </x:c>
      <x:c r="G74" s="136" t="n">
        <x:v>3</x:v>
      </x:c>
      <x:c r="H74" s="136" t="n">
        <x:v>3</x:v>
      </x:c>
      <x:c r="I74" s="136" t="str">
        <x:v>Script inicial y funciones básicas desarrolladas para resolver el problema deseado.</x:v>
      </x:c>
      <x:c r="J74" s="136" t="n">
        <x:v>3</x:v>
      </x:c>
      <x:c r="K74" s="136" t="n">
        <x:v>5</x:v>
      </x:c>
      <x:c r="L74" s="136" t="str">
        <x:v>CALCULADORA TRL Y CRLS.xlsx</x:v>
      </x:c>
      <x:c r="M74" s="136" t="str">
        <x:v>Fuente interna; confirmar versión vigente</x:v>
      </x:c>
      <x:c r="N74" s="136"/>
    </x:row>
    <x:row r="75">
      <x:c r="A75" s="136" t="str">
        <x:v>TRL-C-071</x:v>
      </x:c>
      <x:c r="B75" s="136" t="str">
        <x:v>Software</x:v>
      </x:c>
      <x:c r="C75" s="136" t="str">
        <x:v>SOF-01</x:v>
      </x:c>
      <x:c r="D75" s="136" t="str">
        <x:v>Funcionalidad y Desarrollo del Software</x:v>
      </x:c>
      <x:c r="E75" s="152" t="n">
        <x:v>0.35</x:v>
      </x:c>
      <x:c r="F75" s="136" t="str">
        <x:v>¿En qué etapa de desarrollo y funcionalidad se encuentra su software actualmente?</x:v>
      </x:c>
      <x:c r="G75" s="136" t="n">
        <x:v>4</x:v>
      </x:c>
      <x:c r="H75" s="136" t="n">
        <x:v>4</x:v>
      </x:c>
      <x:c r="I75" s="136" t="str">
        <x:v>Versión alfa del software probada internamente por el equipo de desarrollo.</x:v>
      </x:c>
      <x:c r="J75" s="136" t="n">
        <x:v>4</x:v>
      </x:c>
      <x:c r="K75" s="136" t="n">
        <x:v>6</x:v>
      </x:c>
      <x:c r="L75" s="136" t="str">
        <x:v>CALCULADORA TRL Y CRLS.xlsx</x:v>
      </x:c>
      <x:c r="M75" s="136" t="str">
        <x:v>Fuente interna; confirmar versión vigente</x:v>
      </x:c>
      <x:c r="N75" s="136"/>
    </x:row>
    <x:row r="76">
      <x:c r="A76" s="136" t="str">
        <x:v>TRL-C-072</x:v>
      </x:c>
      <x:c r="B76" s="136" t="str">
        <x:v>Software</x:v>
      </x:c>
      <x:c r="C76" s="136" t="str">
        <x:v>SOF-01</x:v>
      </x:c>
      <x:c r="D76" s="136" t="str">
        <x:v>Funcionalidad y Desarrollo del Software</x:v>
      </x:c>
      <x:c r="E76" s="152" t="n">
        <x:v>0.35</x:v>
      </x:c>
      <x:c r="F76" s="136" t="str">
        <x:v>¿En qué etapa de desarrollo y funcionalidad se encuentra su software actualmente?</x:v>
      </x:c>
      <x:c r="G76" s="136" t="n">
        <x:v>5</x:v>
      </x:c>
      <x:c r="H76" s="136" t="n">
        <x:v>5</x:v>
      </x:c>
      <x:c r="I76" s="136" t="str">
        <x:v>Versión alfa con funcionalidades probadas por personas ajenas al equipo.</x:v>
      </x:c>
      <x:c r="J76" s="136" t="n">
        <x:v>5</x:v>
      </x:c>
      <x:c r="K76" s="136" t="n">
        <x:v>7</x:v>
      </x:c>
      <x:c r="L76" s="136" t="str">
        <x:v>CALCULADORA TRL Y CRLS.xlsx</x:v>
      </x:c>
      <x:c r="M76" s="136" t="str">
        <x:v>Fuente interna; confirmar versión vigente</x:v>
      </x:c>
      <x:c r="N76" s="136"/>
    </x:row>
    <x:row r="77">
      <x:c r="A77" s="136" t="str">
        <x:v>TRL-C-073</x:v>
      </x:c>
      <x:c r="B77" s="136" t="str">
        <x:v>Software</x:v>
      </x:c>
      <x:c r="C77" s="136" t="str">
        <x:v>SOF-01</x:v>
      </x:c>
      <x:c r="D77" s="136" t="str">
        <x:v>Funcionalidad y Desarrollo del Software</x:v>
      </x:c>
      <x:c r="E77" s="152" t="n">
        <x:v>0.35</x:v>
      </x:c>
      <x:c r="F77" s="136" t="str">
        <x:v>¿En qué etapa de desarrollo y funcionalidad se encuentra su software actualmente?</x:v>
      </x:c>
      <x:c r="G77" s="136" t="n">
        <x:v>6</x:v>
      </x:c>
      <x:c r="H77" s="136" t="n">
        <x:v>6</x:v>
      </x:c>
      <x:c r="I77" s="136" t="str">
        <x:v>Versión beta probada por usuarios finales seleccionados en modo controlado.</x:v>
      </x:c>
      <x:c r="J77" s="136" t="n">
        <x:v>6</x:v>
      </x:c>
      <x:c r="K77" s="136" t="n">
        <x:v>8</x:v>
      </x:c>
      <x:c r="L77" s="136" t="str">
        <x:v>CALCULADORA TRL Y CRLS.xlsx</x:v>
      </x:c>
      <x:c r="M77" s="136" t="str">
        <x:v>Fuente interna; confirmar versión vigente</x:v>
      </x:c>
      <x:c r="N77" s="136"/>
    </x:row>
    <x:row r="78">
      <x:c r="A78" s="136" t="str">
        <x:v>TRL-C-074</x:v>
      </x:c>
      <x:c r="B78" s="136" t="str">
        <x:v>Software</x:v>
      </x:c>
      <x:c r="C78" s="136" t="str">
        <x:v>SOF-01</x:v>
      </x:c>
      <x:c r="D78" s="136" t="str">
        <x:v>Funcionalidad y Desarrollo del Software</x:v>
      </x:c>
      <x:c r="E78" s="152" t="n">
        <x:v>0.35</x:v>
      </x:c>
      <x:c r="F78" s="136" t="str">
        <x:v>¿En qué etapa de desarrollo y funcionalidad se encuentra su software actualmente?</x:v>
      </x:c>
      <x:c r="G78" s="136" t="n">
        <x:v>7</x:v>
      </x:c>
      <x:c r="H78" s="136" t="n">
        <x:v>7</x:v>
      </x:c>
      <x:c r="I78" s="136" t="str">
        <x:v>Versión beta abierta a usuarios finales para pruebas de funcionalidad.</x:v>
      </x:c>
      <x:c r="J78" s="136" t="n">
        <x:v>7</x:v>
      </x:c>
      <x:c r="K78" s="136" t="n">
        <x:v>9</x:v>
      </x:c>
      <x:c r="L78" s="136" t="str">
        <x:v>CALCULADORA TRL Y CRLS.xlsx</x:v>
      </x:c>
      <x:c r="M78" s="136" t="str">
        <x:v>Fuente interna; confirmar versión vigente</x:v>
      </x:c>
      <x:c r="N78" s="136"/>
    </x:row>
    <x:row r="79">
      <x:c r="A79" s="136" t="str">
        <x:v>TRL-C-075</x:v>
      </x:c>
      <x:c r="B79" s="136" t="str">
        <x:v>Software</x:v>
      </x:c>
      <x:c r="C79" s="136" t="str">
        <x:v>SOF-01</x:v>
      </x:c>
      <x:c r="D79" s="136" t="str">
        <x:v>Funcionalidad y Desarrollo del Software</x:v>
      </x:c>
      <x:c r="E79" s="152" t="n">
        <x:v>0.35</x:v>
      </x:c>
      <x:c r="F79" s="136" t="str">
        <x:v>¿En qué etapa de desarrollo y funcionalidad se encuentra su software actualmente?</x:v>
      </x:c>
      <x:c r="G79" s="136" t="n">
        <x:v>8</x:v>
      </x:c>
      <x:c r="H79" s="136" t="n">
        <x:v>8</x:v>
      </x:c>
      <x:c r="I79" s="136" t="str">
        <x:v>Versión estable disponible en el mercado con todas las funcionalidades.</x:v>
      </x:c>
      <x:c r="J79" s="136" t="n">
        <x:v>8</x:v>
      </x:c>
      <x:c r="K79" s="136" t="n">
        <x:v>10</x:v>
      </x:c>
      <x:c r="L79" s="136" t="str">
        <x:v>CALCULADORA TRL Y CRLS.xlsx</x:v>
      </x:c>
      <x:c r="M79" s="136" t="str">
        <x:v>Fuente interna; confirmar versión vigente</x:v>
      </x:c>
      <x:c r="N79" s="136"/>
    </x:row>
    <x:row r="80">
      <x:c r="A80" s="136" t="str">
        <x:v>TRL-C-076</x:v>
      </x:c>
      <x:c r="B80" s="136" t="str">
        <x:v>Software</x:v>
      </x:c>
      <x:c r="C80" s="136" t="str">
        <x:v>SOF-01</x:v>
      </x:c>
      <x:c r="D80" s="136" t="str">
        <x:v>Funcionalidad y Desarrollo del Software</x:v>
      </x:c>
      <x:c r="E80" s="152" t="n">
        <x:v>0.35</x:v>
      </x:c>
      <x:c r="F80" s="136" t="str">
        <x:v>¿En qué etapa de desarrollo y funcionalidad se encuentra su software actualmente?</x:v>
      </x:c>
      <x:c r="G80" s="136" t="n">
        <x:v>9</x:v>
      </x:c>
      <x:c r="H80" s="136" t="n">
        <x:v>9</x:v>
      </x:c>
      <x:c r="I80" s="136" t="str">
        <x:v>Versión estable disponible en el mercado con plan de negocio completo.</x:v>
      </x:c>
      <x:c r="J80" s="136" t="n">
        <x:v>9</x:v>
      </x:c>
      <x:c r="K80" s="136" t="n">
        <x:v>11</x:v>
      </x:c>
      <x:c r="L80" s="136" t="str">
        <x:v>CALCULADORA TRL Y CRLS.xlsx</x:v>
      </x:c>
      <x:c r="M80" s="136" t="str">
        <x:v>Fuente interna; confirmar versión vigente</x:v>
      </x:c>
      <x:c r="N80" s="136"/>
    </x:row>
    <x:row r="81">
      <x:c r="A81" s="136" t="str">
        <x:v>TRL-C-077</x:v>
      </x:c>
      <x:c r="B81" s="136" t="str">
        <x:v>Software</x:v>
      </x:c>
      <x:c r="C81" s="136" t="str">
        <x:v>SOF-02</x:v>
      </x:c>
      <x:c r="D81" s="136" t="str">
        <x:v>Pruebas de Usabilidad</x:v>
      </x:c>
      <x:c r="E81" s="152" t="n">
        <x:v>0.15</x:v>
      </x:c>
      <x:c r="F81" s="136" t="str">
        <x:v>¿En qué etapa de desarrollo y funcionalidad se encuentra su software actualmente?</x:v>
      </x:c>
      <x:c r="G81" s="136" t="n">
        <x:v>1</x:v>
      </x:c>
      <x:c r="H81" s="136" t="n">
        <x:v>1</x:v>
      </x:c>
      <x:c r="I81" s="136" t="str">
        <x:v>Sin pruebas de usabilidad, el software aún no está listo para pruebas</x:v>
      </x:c>
      <x:c r="J81" s="136" t="n">
        <x:v>1</x:v>
      </x:c>
      <x:c r="K81" s="136" t="n">
        <x:v>13</x:v>
      </x:c>
      <x:c r="L81" s="136" t="str">
        <x:v>CALCULADORA TRL Y CRLS.xlsx</x:v>
      </x:c>
      <x:c r="M81" s="136" t="str">
        <x:v>Fuente interna; confirmar versión vigente</x:v>
      </x:c>
      <x:c r="N81" s="136"/>
    </x:row>
    <x:row r="82">
      <x:c r="A82" s="136" t="str">
        <x:v>TRL-C-078</x:v>
      </x:c>
      <x:c r="B82" s="136" t="str">
        <x:v>Software</x:v>
      </x:c>
      <x:c r="C82" s="136" t="str">
        <x:v>SOF-02</x:v>
      </x:c>
      <x:c r="D82" s="136" t="str">
        <x:v>Pruebas de Usabilidad</x:v>
      </x:c>
      <x:c r="E82" s="152" t="n">
        <x:v>0.15</x:v>
      </x:c>
      <x:c r="F82" s="136" t="str">
        <x:v>¿En qué etapa de desarrollo y funcionalidad se encuentra su software actualmente?</x:v>
      </x:c>
      <x:c r="G82" s="136" t="n">
        <x:v>2</x:v>
      </x:c>
      <x:c r="H82" s="136" t="n">
        <x:v>2</x:v>
      </x:c>
      <x:c r="I82" s="136" t="str">
        <x:v>Se están diseñando las pruebas de usabilidad y se han probado algunas interacciones básicas</x:v>
      </x:c>
      <x:c r="J82" s="136" t="n">
        <x:v>2</x:v>
      </x:c>
      <x:c r="K82" s="136" t="n">
        <x:v>14</x:v>
      </x:c>
      <x:c r="L82" s="136" t="str">
        <x:v>CALCULADORA TRL Y CRLS.xlsx</x:v>
      </x:c>
      <x:c r="M82" s="136" t="str">
        <x:v>Fuente interna; confirmar versión vigente</x:v>
      </x:c>
      <x:c r="N82" s="136"/>
    </x:row>
    <x:row r="83">
      <x:c r="A83" s="136" t="str">
        <x:v>TRL-C-079</x:v>
      </x:c>
      <x:c r="B83" s="136" t="str">
        <x:v>Software</x:v>
      </x:c>
      <x:c r="C83" s="136" t="str">
        <x:v>SOF-02</x:v>
      </x:c>
      <x:c r="D83" s="136" t="str">
        <x:v>Pruebas de Usabilidad</x:v>
      </x:c>
      <x:c r="E83" s="152" t="n">
        <x:v>0.15</x:v>
      </x:c>
      <x:c r="F83" s="136" t="str">
        <x:v>¿En qué etapa de desarrollo y funcionalidad se encuentra su software actualmente?</x:v>
      </x:c>
      <x:c r="G83" s="136" t="n">
        <x:v>3</x:v>
      </x:c>
      <x:c r="H83" s="136" t="n">
        <x:v>3</x:v>
      </x:c>
      <x:c r="I83" s="136" t="str">
        <x:v>Pruebas de usabilidad internas realizadas por el equipo de desarrollo</x:v>
      </x:c>
      <x:c r="J83" s="136" t="n">
        <x:v>3</x:v>
      </x:c>
      <x:c r="K83" s="136" t="n">
        <x:v>15</x:v>
      </x:c>
      <x:c r="L83" s="136" t="str">
        <x:v>CALCULADORA TRL Y CRLS.xlsx</x:v>
      </x:c>
      <x:c r="M83" s="136" t="str">
        <x:v>Fuente interna; confirmar versión vigente</x:v>
      </x:c>
      <x:c r="N83" s="136"/>
    </x:row>
    <x:row r="84">
      <x:c r="A84" s="136" t="str">
        <x:v>TRL-C-080</x:v>
      </x:c>
      <x:c r="B84" s="136" t="str">
        <x:v>Software</x:v>
      </x:c>
      <x:c r="C84" s="136" t="str">
        <x:v>SOF-02</x:v>
      </x:c>
      <x:c r="D84" s="136" t="str">
        <x:v>Pruebas de Usabilidad</x:v>
      </x:c>
      <x:c r="E84" s="152" t="n">
        <x:v>0.15</x:v>
      </x:c>
      <x:c r="F84" s="136" t="str">
        <x:v>¿En qué etapa de desarrollo y funcionalidad se encuentra su software actualmente?</x:v>
      </x:c>
      <x:c r="G84" s="136" t="n">
        <x:v>4</x:v>
      </x:c>
      <x:c r="H84" s="136" t="n">
        <x:v>5</x:v>
      </x:c>
      <x:c r="I84" s="136" t="str">
        <x:v>Pruebas de usabilidad en versión alfa realizadas por un grupo pequeño de usuarios externos</x:v>
      </x:c>
      <x:c r="J84" s="136" t="n">
        <x:v>4.5</x:v>
      </x:c>
      <x:c r="K84" s="136" t="n">
        <x:v>16</x:v>
      </x:c>
      <x:c r="L84" s="136" t="str">
        <x:v>CALCULADORA TRL Y CRLS.xlsx</x:v>
      </x:c>
      <x:c r="M84" s="136" t="str">
        <x:v>Fuente interna; confirmar versión vigente</x:v>
      </x:c>
      <x:c r="N84" s="136"/>
    </x:row>
    <x:row r="85">
      <x:c r="A85" s="136" t="str">
        <x:v>TRL-C-081</x:v>
      </x:c>
      <x:c r="B85" s="136" t="str">
        <x:v>Software</x:v>
      </x:c>
      <x:c r="C85" s="136" t="str">
        <x:v>SOF-02</x:v>
      </x:c>
      <x:c r="D85" s="136" t="str">
        <x:v>Pruebas de Usabilidad</x:v>
      </x:c>
      <x:c r="E85" s="152" t="n">
        <x:v>0.15</x:v>
      </x:c>
      <x:c r="F85" s="136" t="str">
        <x:v>¿En qué etapa de desarrollo y funcionalidad se encuentra su software actualmente?</x:v>
      </x:c>
      <x:c r="G85" s="136" t="n">
        <x:v>6</x:v>
      </x:c>
      <x:c r="H85" s="136" t="n">
        <x:v>6</x:v>
      </x:c>
      <x:c r="I85" s="136" t="str">
        <x:v>Pruebas de usabilidad en versión beta controlada con usuarios seleccionados</x:v>
      </x:c>
      <x:c r="J85" s="136" t="n">
        <x:v>6</x:v>
      </x:c>
      <x:c r="K85" s="136" t="n">
        <x:v>17</x:v>
      </x:c>
      <x:c r="L85" s="136" t="str">
        <x:v>CALCULADORA TRL Y CRLS.xlsx</x:v>
      </x:c>
      <x:c r="M85" s="136" t="str">
        <x:v>Fuente interna; confirmar versión vigente</x:v>
      </x:c>
      <x:c r="N85" s="136"/>
    </x:row>
    <x:row r="86">
      <x:c r="A86" s="136" t="str">
        <x:v>TRL-C-082</x:v>
      </x:c>
      <x:c r="B86" s="136" t="str">
        <x:v>Software</x:v>
      </x:c>
      <x:c r="C86" s="136" t="str">
        <x:v>SOF-02</x:v>
      </x:c>
      <x:c r="D86" s="136" t="str">
        <x:v>Pruebas de Usabilidad</x:v>
      </x:c>
      <x:c r="E86" s="152" t="n">
        <x:v>0.15</x:v>
      </x:c>
      <x:c r="F86" s="136" t="str">
        <x:v>¿En qué etapa de desarrollo y funcionalidad se encuentra su software actualmente?</x:v>
      </x:c>
      <x:c r="G86" s="136" t="n">
        <x:v>7</x:v>
      </x:c>
      <x:c r="H86" s="136" t="n">
        <x:v>7</x:v>
      </x:c>
      <x:c r="I86" s="136" t="str">
        <x:v>Pruebas de usabilidad en versión beta abierta con retroalimentación de un grupo amplio de usuarios</x:v>
      </x:c>
      <x:c r="J86" s="136" t="n">
        <x:v>7</x:v>
      </x:c>
      <x:c r="K86" s="136" t="n">
        <x:v>18</x:v>
      </x:c>
      <x:c r="L86" s="136" t="str">
        <x:v>CALCULADORA TRL Y CRLS.xlsx</x:v>
      </x:c>
      <x:c r="M86" s="136" t="str">
        <x:v>Fuente interna; confirmar versión vigente</x:v>
      </x:c>
      <x:c r="N86" s="136"/>
    </x:row>
    <x:row r="87">
      <x:c r="A87" s="136" t="str">
        <x:v>TRL-C-083</x:v>
      </x:c>
      <x:c r="B87" s="136" t="str">
        <x:v>Software</x:v>
      </x:c>
      <x:c r="C87" s="136" t="str">
        <x:v>SOF-02</x:v>
      </x:c>
      <x:c r="D87" s="136" t="str">
        <x:v>Pruebas de Usabilidad</x:v>
      </x:c>
      <x:c r="E87" s="152" t="n">
        <x:v>0.15</x:v>
      </x:c>
      <x:c r="F87" s="136" t="str">
        <x:v>¿En qué etapa de desarrollo y funcionalidad se encuentra su software actualmente?</x:v>
      </x:c>
      <x:c r="G87" s="136" t="n">
        <x:v>8</x:v>
      </x:c>
      <x:c r="H87" s="136" t="n">
        <x:v>8</x:v>
      </x:c>
      <x:c r="I87" s="136" t="str">
        <x:v>Pruebas completas en versión estable, con ajustes basados en retroalimentación del mercado</x:v>
      </x:c>
      <x:c r="J87" s="136" t="n">
        <x:v>8</x:v>
      </x:c>
      <x:c r="K87" s="136" t="n">
        <x:v>19</x:v>
      </x:c>
      <x:c r="L87" s="136" t="str">
        <x:v>CALCULADORA TRL Y CRLS.xlsx</x:v>
      </x:c>
      <x:c r="M87" s="136" t="str">
        <x:v>Fuente interna; confirmar versión vigente</x:v>
      </x:c>
      <x:c r="N87" s="136"/>
    </x:row>
    <x:row r="88">
      <x:c r="A88" s="136" t="str">
        <x:v>TRL-C-084</x:v>
      </x:c>
      <x:c r="B88" s="136" t="str">
        <x:v>Software</x:v>
      </x:c>
      <x:c r="C88" s="136" t="str">
        <x:v>SOF-02</x:v>
      </x:c>
      <x:c r="D88" s="136" t="str">
        <x:v>Pruebas de Usabilidad</x:v>
      </x:c>
      <x:c r="E88" s="152" t="n">
        <x:v>0.15</x:v>
      </x:c>
      <x:c r="F88" s="136" t="str">
        <x:v>¿En qué etapa de desarrollo y funcionalidad se encuentra su software actualmente?</x:v>
      </x:c>
      <x:c r="G88" s="136" t="n">
        <x:v>9</x:v>
      </x:c>
      <x:c r="H88" s="136" t="n">
        <x:v>9</x:v>
      </x:c>
      <x:c r="I88" s="136" t="str">
        <x:v>Monitoreo continuo de usabilidad y retroalimentación de usuarios finales en condiciones de mercado</x:v>
      </x:c>
      <x:c r="J88" s="136" t="n">
        <x:v>9</x:v>
      </x:c>
      <x:c r="K88" s="136" t="n">
        <x:v>20</x:v>
      </x:c>
      <x:c r="L88" s="136" t="str">
        <x:v>CALCULADORA TRL Y CRLS.xlsx</x:v>
      </x:c>
      <x:c r="M88" s="136" t="str">
        <x:v>Fuente interna; confirmar versión vigente</x:v>
      </x:c>
      <x:c r="N88" s="136"/>
    </x:row>
    <x:row r="89">
      <x:c r="A89" s="136" t="str">
        <x:v>TRL-C-085</x:v>
      </x:c>
      <x:c r="B89" s="136" t="str">
        <x:v>Software</x:v>
      </x:c>
      <x:c r="C89" s="136" t="str">
        <x:v>SOF-03</x:v>
      </x:c>
      <x:c r="D89" s="136" t="str">
        <x:v>NORMATIVAS</x:v>
      </x:c>
      <x:c r="E89" s="152" t="n">
        <x:v>0.2</x:v>
      </x:c>
      <x:c r="F89" s="136" t="str">
        <x:v>¿En qué etapa de desarrollo y funcionalidad se encuentra su software actualmente?</x:v>
      </x:c>
      <x:c r="G89" s="136" t="n">
        <x:v>1</x:v>
      </x:c>
      <x:c r="H89" s="136" t="n">
        <x:v>1</x:v>
      </x:c>
      <x:c r="I89" s="136" t="str">
        <x:v>No se han considerado aspectos de seguridad ni de cumplimiento.</x:v>
      </x:c>
      <x:c r="J89" s="136" t="n">
        <x:v>1</x:v>
      </x:c>
      <x:c r="K89" s="136" t="n">
        <x:v>22</x:v>
      </x:c>
      <x:c r="L89" s="136" t="str">
        <x:v>CALCULADORA TRL Y CRLS.xlsx</x:v>
      </x:c>
      <x:c r="M89" s="136" t="str">
        <x:v>Fuente interna; confirmar versión vigente</x:v>
      </x:c>
      <x:c r="N89" s="136"/>
    </x:row>
    <x:row r="90">
      <x:c r="A90" s="136" t="str">
        <x:v>TRL-C-086</x:v>
      </x:c>
      <x:c r="B90" s="136" t="str">
        <x:v>Software</x:v>
      </x:c>
      <x:c r="C90" s="136" t="str">
        <x:v>SOF-03</x:v>
      </x:c>
      <x:c r="D90" s="136" t="str">
        <x:v>NORMATIVAS</x:v>
      </x:c>
      <x:c r="E90" s="152" t="n">
        <x:v>0.2</x:v>
      </x:c>
      <x:c r="F90" s="136" t="str">
        <x:v>¿En qué etapa de desarrollo y funcionalidad se encuentra su software actualmente?</x:v>
      </x:c>
      <x:c r="G90" s="136" t="n">
        <x:v>2</x:v>
      </x:c>
      <x:c r="H90" s="136" t="n">
        <x:v>2</x:v>
      </x:c>
      <x:c r="I90" s="136" t="str">
        <x:v>Se ha comenzado a definir una estrategia de seguridad, pero sin pruebas formales.</x:v>
      </x:c>
      <x:c r="J90" s="136" t="n">
        <x:v>2</x:v>
      </x:c>
      <x:c r="K90" s="136" t="n">
        <x:v>23</x:v>
      </x:c>
      <x:c r="L90" s="136" t="str">
        <x:v>CALCULADORA TRL Y CRLS.xlsx</x:v>
      </x:c>
      <x:c r="M90" s="136" t="str">
        <x:v>Fuente interna; confirmar versión vigente</x:v>
      </x:c>
      <x:c r="N90" s="136"/>
    </x:row>
    <x:row r="91">
      <x:c r="A91" s="136" t="str">
        <x:v>TRL-C-087</x:v>
      </x:c>
      <x:c r="B91" s="136" t="str">
        <x:v>Software</x:v>
      </x:c>
      <x:c r="C91" s="136" t="str">
        <x:v>SOF-03</x:v>
      </x:c>
      <x:c r="D91" s="136" t="str">
        <x:v>NORMATIVAS</x:v>
      </x:c>
      <x:c r="E91" s="152" t="n">
        <x:v>0.2</x:v>
      </x:c>
      <x:c r="F91" s="136" t="str">
        <x:v>¿En qué etapa de desarrollo y funcionalidad se encuentra su software actualmente?</x:v>
      </x:c>
      <x:c r="G91" s="136" t="n">
        <x:v>3</x:v>
      </x:c>
      <x:c r="H91" s="136" t="n">
        <x:v>3</x:v>
      </x:c>
      <x:c r="I91" s="136" t="str">
        <x:v>Pruebas básicas de seguridad realizadas en entorno de desarrollo interno.</x:v>
      </x:c>
      <x:c r="J91" s="136" t="n">
        <x:v>3</x:v>
      </x:c>
      <x:c r="K91" s="136" t="n">
        <x:v>24</x:v>
      </x:c>
      <x:c r="L91" s="136" t="str">
        <x:v>CALCULADORA TRL Y CRLS.xlsx</x:v>
      </x:c>
      <x:c r="M91" s="136" t="str">
        <x:v>Fuente interna; confirmar versión vigente</x:v>
      </x:c>
      <x:c r="N91" s="136"/>
    </x:row>
    <x:row r="92">
      <x:c r="A92" s="136" t="str">
        <x:v>TRL-C-088</x:v>
      </x:c>
      <x:c r="B92" s="136" t="str">
        <x:v>Software</x:v>
      </x:c>
      <x:c r="C92" s="136" t="str">
        <x:v>SOF-03</x:v>
      </x:c>
      <x:c r="D92" s="136" t="str">
        <x:v>NORMATIVAS</x:v>
      </x:c>
      <x:c r="E92" s="152" t="n">
        <x:v>0.2</x:v>
      </x:c>
      <x:c r="F92" s="136" t="str">
        <x:v>¿En qué etapa de desarrollo y funcionalidad se encuentra su software actualmente?</x:v>
      </x:c>
      <x:c r="G92" s="136" t="n">
        <x:v>4</x:v>
      </x:c>
      <x:c r="H92" s="136" t="n">
        <x:v>5</x:v>
      </x:c>
      <x:c r="I92" s="136" t="str">
        <x:v>Auditorías iniciales de seguridad y cumplimiento realizadas en versión alfa.</x:v>
      </x:c>
      <x:c r="J92" s="136" t="n">
        <x:v>4.5</x:v>
      </x:c>
      <x:c r="K92" s="136" t="n">
        <x:v>25</x:v>
      </x:c>
      <x:c r="L92" s="136" t="str">
        <x:v>CALCULADORA TRL Y CRLS.xlsx</x:v>
      </x:c>
      <x:c r="M92" s="136" t="str">
        <x:v>Fuente interna; confirmar versión vigente</x:v>
      </x:c>
      <x:c r="N92" s="136"/>
    </x:row>
    <x:row r="93">
      <x:c r="A93" s="136" t="str">
        <x:v>TRL-C-089</x:v>
      </x:c>
      <x:c r="B93" s="136" t="str">
        <x:v>Software</x:v>
      </x:c>
      <x:c r="C93" s="136" t="str">
        <x:v>SOF-03</x:v>
      </x:c>
      <x:c r="D93" s="136" t="str">
        <x:v>NORMATIVAS</x:v>
      </x:c>
      <x:c r="E93" s="152" t="n">
        <x:v>0.2</x:v>
      </x:c>
      <x:c r="F93" s="136" t="str">
        <x:v>¿En qué etapa de desarrollo y funcionalidad se encuentra su software actualmente?</x:v>
      </x:c>
      <x:c r="G93" s="136" t="n">
        <x:v>6</x:v>
      </x:c>
      <x:c r="H93" s="136" t="n">
        <x:v>6</x:v>
      </x:c>
      <x:c r="I93" s="136" t="str">
        <x:v>Pruebas de seguridad avanzadas en versión beta controlada.</x:v>
      </x:c>
      <x:c r="J93" s="136" t="n">
        <x:v>6</x:v>
      </x:c>
      <x:c r="K93" s="136" t="n">
        <x:v>26</x:v>
      </x:c>
      <x:c r="L93" s="136" t="str">
        <x:v>CALCULADORA TRL Y CRLS.xlsx</x:v>
      </x:c>
      <x:c r="M93" s="136" t="str">
        <x:v>Fuente interna; confirmar versión vigente</x:v>
      </x:c>
      <x:c r="N93" s="136"/>
    </x:row>
    <x:row r="94">
      <x:c r="A94" s="136" t="str">
        <x:v>TRL-C-090</x:v>
      </x:c>
      <x:c r="B94" s="136" t="str">
        <x:v>Software</x:v>
      </x:c>
      <x:c r="C94" s="136" t="str">
        <x:v>SOF-03</x:v>
      </x:c>
      <x:c r="D94" s="136" t="str">
        <x:v>NORMATIVAS</x:v>
      </x:c>
      <x:c r="E94" s="152" t="n">
        <x:v>0.2</x:v>
      </x:c>
      <x:c r="F94" s="136" t="str">
        <x:v>¿En qué etapa de desarrollo y funcionalidad se encuentra su software actualmente?</x:v>
      </x:c>
      <x:c r="G94" s="136" t="n">
        <x:v>7</x:v>
      </x:c>
      <x:c r="H94" s="136" t="n">
        <x:v>7</x:v>
      </x:c>
      <x:c r="I94" s="136" t="str">
        <x:v>Pruebas de seguridad completas en versión beta abierta.</x:v>
      </x:c>
      <x:c r="J94" s="136" t="n">
        <x:v>7</x:v>
      </x:c>
      <x:c r="K94" s="136" t="n">
        <x:v>27</x:v>
      </x:c>
      <x:c r="L94" s="136" t="str">
        <x:v>CALCULADORA TRL Y CRLS.xlsx</x:v>
      </x:c>
      <x:c r="M94" s="136" t="str">
        <x:v>Fuente interna; confirmar versión vigente</x:v>
      </x:c>
      <x:c r="N94" s="136"/>
    </x:row>
    <x:row r="95">
      <x:c r="A95" s="136" t="str">
        <x:v>TRL-C-091</x:v>
      </x:c>
      <x:c r="B95" s="136" t="str">
        <x:v>Software</x:v>
      </x:c>
      <x:c r="C95" s="136" t="str">
        <x:v>SOF-03</x:v>
      </x:c>
      <x:c r="D95" s="136" t="str">
        <x:v>NORMATIVAS</x:v>
      </x:c>
      <x:c r="E95" s="152" t="n">
        <x:v>0.2</x:v>
      </x:c>
      <x:c r="F95" s="136" t="str">
        <x:v>¿En qué etapa de desarrollo y funcionalidad se encuentra su software actualmente?</x:v>
      </x:c>
      <x:c r="G95" s="136" t="n">
        <x:v>8</x:v>
      </x:c>
      <x:c r="H95" s="136" t="n">
        <x:v>8</x:v>
      </x:c>
      <x:c r="I95" s="136" t="str">
        <x:v>Cumplimiento de normativas de seguridad y pruebas completas para el mercado.</x:v>
      </x:c>
      <x:c r="J95" s="136" t="n">
        <x:v>8</x:v>
      </x:c>
      <x:c r="K95" s="136" t="n">
        <x:v>28</x:v>
      </x:c>
      <x:c r="L95" s="136" t="str">
        <x:v>CALCULADORA TRL Y CRLS.xlsx</x:v>
      </x:c>
      <x:c r="M95" s="136" t="str">
        <x:v>Fuente interna; confirmar versión vigente</x:v>
      </x:c>
      <x:c r="N95" s="136"/>
    </x:row>
    <x:row r="96">
      <x:c r="A96" s="136" t="str">
        <x:v>TRL-C-092</x:v>
      </x:c>
      <x:c r="B96" s="136" t="str">
        <x:v>Software</x:v>
      </x:c>
      <x:c r="C96" s="136" t="str">
        <x:v>SOF-03</x:v>
      </x:c>
      <x:c r="D96" s="136" t="str">
        <x:v>NORMATIVAS</x:v>
      </x:c>
      <x:c r="E96" s="152" t="n">
        <x:v>0.2</x:v>
      </x:c>
      <x:c r="F96" s="136" t="str">
        <x:v>¿En qué etapa de desarrollo y funcionalidad se encuentra su software actualmente?</x:v>
      </x:c>
      <x:c r="G96" s="136" t="n">
        <x:v>9</x:v>
      </x:c>
      <x:c r="H96" s="136" t="n">
        <x:v>9</x:v>
      </x:c>
      <x:c r="I96" s="136" t="str">
        <x:v>Monitoreo de seguridad continuo y cumplimiento total de normativas para uso comercial.</x:v>
      </x:c>
      <x:c r="J96" s="136" t="n">
        <x:v>9</x:v>
      </x:c>
      <x:c r="K96" s="136" t="n">
        <x:v>29</x:v>
      </x:c>
      <x:c r="L96" s="136" t="str">
        <x:v>CALCULADORA TRL Y CRLS.xlsx</x:v>
      </x:c>
      <x:c r="M96" s="136" t="str">
        <x:v>Fuente interna; confirmar versión vigente</x:v>
      </x:c>
      <x:c r="N96" s="136"/>
    </x:row>
    <x:row r="97">
      <x:c r="A97" s="136" t="str">
        <x:v>TRL-C-093</x:v>
      </x:c>
      <x:c r="B97" s="136" t="str">
        <x:v>Software</x:v>
      </x:c>
      <x:c r="C97" s="136" t="str">
        <x:v>SOF-04</x:v>
      </x:c>
      <x:c r="D97" s="136" t="str">
        <x:v>Soporte y Mantenimiento</x:v>
      </x:c>
      <x:c r="E97" s="152" t="n">
        <x:v>0.1</x:v>
      </x:c>
      <x:c r="F97" s="136" t="str">
        <x:v>¿En qué etapa de desarrollo y funcionalidad se encuentra su software actualmente?</x:v>
      </x:c>
      <x:c r="G97" s="136" t="n">
        <x:v>1</x:v>
      </x:c>
      <x:c r="H97" s="136" t="n">
        <x:v>1</x:v>
      </x:c>
      <x:c r="I97" s="136" t="str">
        <x:v>No se ha considerado soporte ni mantenimiento para el software.</x:v>
      </x:c>
      <x:c r="J97" s="136" t="n">
        <x:v>1</x:v>
      </x:c>
      <x:c r="K97" s="136" t="n">
        <x:v>31</x:v>
      </x:c>
      <x:c r="L97" s="136" t="str">
        <x:v>CALCULADORA TRL Y CRLS.xlsx</x:v>
      </x:c>
      <x:c r="M97" s="136" t="str">
        <x:v>Fuente interna; confirmar versión vigente</x:v>
      </x:c>
      <x:c r="N97" s="136"/>
    </x:row>
    <x:row r="98">
      <x:c r="A98" s="136" t="str">
        <x:v>TRL-C-094</x:v>
      </x:c>
      <x:c r="B98" s="136" t="str">
        <x:v>Software</x:v>
      </x:c>
      <x:c r="C98" s="136" t="str">
        <x:v>SOF-04</x:v>
      </x:c>
      <x:c r="D98" s="136" t="str">
        <x:v>Soporte y Mantenimiento</x:v>
      </x:c>
      <x:c r="E98" s="152" t="n">
        <x:v>0.1</x:v>
      </x:c>
      <x:c r="F98" s="136" t="str">
        <x:v>¿En qué etapa de desarrollo y funcionalidad se encuentra su software actualmente?</x:v>
      </x:c>
      <x:c r="G98" s="136" t="n">
        <x:v>2</x:v>
      </x:c>
      <x:c r="H98" s="136" t="n">
        <x:v>2</x:v>
      </x:c>
      <x:c r="I98" s="136" t="str">
        <x:v>Se están explorando opciones para definir el mantenimiento básico, pero aún no hay un plan formal.</x:v>
      </x:c>
      <x:c r="J98" s="136" t="n">
        <x:v>2</x:v>
      </x:c>
      <x:c r="K98" s="136" t="n">
        <x:v>32</x:v>
      </x:c>
      <x:c r="L98" s="136" t="str">
        <x:v>CALCULADORA TRL Y CRLS.xlsx</x:v>
      </x:c>
      <x:c r="M98" s="136" t="str">
        <x:v>Fuente interna; confirmar versión vigente</x:v>
      </x:c>
      <x:c r="N98" s="136"/>
    </x:row>
    <x:row r="99">
      <x:c r="A99" s="136" t="str">
        <x:v>TRL-C-095</x:v>
      </x:c>
      <x:c r="B99" s="136" t="str">
        <x:v>Software</x:v>
      </x:c>
      <x:c r="C99" s="136" t="str">
        <x:v>SOF-04</x:v>
      </x:c>
      <x:c r="D99" s="136" t="str">
        <x:v>Soporte y Mantenimiento</x:v>
      </x:c>
      <x:c r="E99" s="152" t="n">
        <x:v>0.1</x:v>
      </x:c>
      <x:c r="F99" s="136" t="str">
        <x:v>¿En qué etapa de desarrollo y funcionalidad se encuentra su software actualmente?</x:v>
      </x:c>
      <x:c r="G99" s="136" t="n">
        <x:v>3</x:v>
      </x:c>
      <x:c r="H99" s="136" t="n">
        <x:v>3</x:v>
      </x:c>
      <x:c r="I99" s="136" t="str">
        <x:v>Plan de mantenimiento básico definido internamente.</x:v>
      </x:c>
      <x:c r="J99" s="136" t="n">
        <x:v>3</x:v>
      </x:c>
      <x:c r="K99" s="136" t="n">
        <x:v>33</x:v>
      </x:c>
      <x:c r="L99" s="136" t="str">
        <x:v>CALCULADORA TRL Y CRLS.xlsx</x:v>
      </x:c>
      <x:c r="M99" s="136" t="str">
        <x:v>Fuente interna; confirmar versión vigente</x:v>
      </x:c>
      <x:c r="N99" s="136"/>
    </x:row>
    <x:row r="100">
      <x:c r="A100" s="136" t="str">
        <x:v>TRL-C-096</x:v>
      </x:c>
      <x:c r="B100" s="136" t="str">
        <x:v>Software</x:v>
      </x:c>
      <x:c r="C100" s="136" t="str">
        <x:v>SOF-04</x:v>
      </x:c>
      <x:c r="D100" s="136" t="str">
        <x:v>Soporte y Mantenimiento</x:v>
      </x:c>
      <x:c r="E100" s="152" t="n">
        <x:v>0.1</x:v>
      </x:c>
      <x:c r="F100" s="136" t="str">
        <x:v>¿En qué etapa de desarrollo y funcionalidad se encuentra su software actualmente?</x:v>
      </x:c>
      <x:c r="G100" s="136" t="n">
        <x:v>4</x:v>
      </x:c>
      <x:c r="H100" s="136" t="n">
        <x:v>5</x:v>
      </x:c>
      <x:c r="I100" s="136" t="str">
        <x:v>Proceso de soporte básico disponible para usuarios de pruebas alfa.</x:v>
      </x:c>
      <x:c r="J100" s="136" t="n">
        <x:v>4.5</x:v>
      </x:c>
      <x:c r="K100" s="136" t="n">
        <x:v>34</x:v>
      </x:c>
      <x:c r="L100" s="136" t="str">
        <x:v>CALCULADORA TRL Y CRLS.xlsx</x:v>
      </x:c>
      <x:c r="M100" s="136" t="str">
        <x:v>Fuente interna; confirmar versión vigente</x:v>
      </x:c>
      <x:c r="N100" s="136"/>
    </x:row>
    <x:row r="101">
      <x:c r="A101" s="136" t="str">
        <x:v>TRL-C-097</x:v>
      </x:c>
      <x:c r="B101" s="136" t="str">
        <x:v>Software</x:v>
      </x:c>
      <x:c r="C101" s="136" t="str">
        <x:v>SOF-04</x:v>
      </x:c>
      <x:c r="D101" s="136" t="str">
        <x:v>Soporte y Mantenimiento</x:v>
      </x:c>
      <x:c r="E101" s="152" t="n">
        <x:v>0.1</x:v>
      </x:c>
      <x:c r="F101" s="136" t="str">
        <x:v>¿En qué etapa de desarrollo y funcionalidad se encuentra su software actualmente?</x:v>
      </x:c>
      <x:c r="G101" s="136" t="n">
        <x:v>6</x:v>
      </x:c>
      <x:c r="H101" s="136" t="n">
        <x:v>6</x:v>
      </x:c>
      <x:c r="I101" s="136" t="str">
        <x:v>Soporte inicial disponible para usuarios seleccionados en beta controlada.</x:v>
      </x:c>
      <x:c r="J101" s="136" t="n">
        <x:v>6</x:v>
      </x:c>
      <x:c r="K101" s="136" t="n">
        <x:v>35</x:v>
      </x:c>
      <x:c r="L101" s="136" t="str">
        <x:v>CALCULADORA TRL Y CRLS.xlsx</x:v>
      </x:c>
      <x:c r="M101" s="136" t="str">
        <x:v>Fuente interna; confirmar versión vigente</x:v>
      </x:c>
      <x:c r="N101" s="136"/>
    </x:row>
    <x:row r="102">
      <x:c r="A102" s="136" t="str">
        <x:v>TRL-C-098</x:v>
      </x:c>
      <x:c r="B102" s="136" t="str">
        <x:v>Software</x:v>
      </x:c>
      <x:c r="C102" s="136" t="str">
        <x:v>SOF-04</x:v>
      </x:c>
      <x:c r="D102" s="136" t="str">
        <x:v>Soporte y Mantenimiento</x:v>
      </x:c>
      <x:c r="E102" s="152" t="n">
        <x:v>0.1</x:v>
      </x:c>
      <x:c r="F102" s="136" t="str">
        <x:v>¿En qué etapa de desarrollo y funcionalidad se encuentra su software actualmente?</x:v>
      </x:c>
      <x:c r="G102" s="136" t="n">
        <x:v>7</x:v>
      </x:c>
      <x:c r="H102" s="136" t="n">
        <x:v>7</x:v>
      </x:c>
      <x:c r="I102" s="136" t="str">
        <x:v>Soporte en funcionamiento para usuarios de la versión beta abierta.</x:v>
      </x:c>
      <x:c r="J102" s="136" t="n">
        <x:v>7</x:v>
      </x:c>
      <x:c r="K102" s="136" t="n">
        <x:v>36</x:v>
      </x:c>
      <x:c r="L102" s="136" t="str">
        <x:v>CALCULADORA TRL Y CRLS.xlsx</x:v>
      </x:c>
      <x:c r="M102" s="136" t="str">
        <x:v>Fuente interna; confirmar versión vigente</x:v>
      </x:c>
      <x:c r="N102" s="136"/>
    </x:row>
    <x:row r="103">
      <x:c r="A103" s="136" t="str">
        <x:v>TRL-C-099</x:v>
      </x:c>
      <x:c r="B103" s="136" t="str">
        <x:v>Software</x:v>
      </x:c>
      <x:c r="C103" s="136" t="str">
        <x:v>SOF-04</x:v>
      </x:c>
      <x:c r="D103" s="136" t="str">
        <x:v>Soporte y Mantenimiento</x:v>
      </x:c>
      <x:c r="E103" s="152" t="n">
        <x:v>0.1</x:v>
      </x:c>
      <x:c r="F103" s="136" t="str">
        <x:v>¿En qué etapa de desarrollo y funcionalidad se encuentra su software actualmente?</x:v>
      </x:c>
      <x:c r="G103" s="136" t="n">
        <x:v>8</x:v>
      </x:c>
      <x:c r="H103" s="136" t="n">
        <x:v>8</x:v>
      </x:c>
      <x:c r="I103" s="136" t="str">
        <x:v>Soporte de mantenimiento completo disponible para la versión estable en el mercado.</x:v>
      </x:c>
      <x:c r="J103" s="136" t="n">
        <x:v>8</x:v>
      </x:c>
      <x:c r="K103" s="136" t="n">
        <x:v>37</x:v>
      </x:c>
      <x:c r="L103" s="136" t="str">
        <x:v>CALCULADORA TRL Y CRLS.xlsx</x:v>
      </x:c>
      <x:c r="M103" s="136" t="str">
        <x:v>Fuente interna; confirmar versión vigente</x:v>
      </x:c>
      <x:c r="N103" s="136"/>
    </x:row>
    <x:row r="104">
      <x:c r="A104" s="136" t="str">
        <x:v>TRL-C-100</x:v>
      </x:c>
      <x:c r="B104" s="136" t="str">
        <x:v>Software</x:v>
      </x:c>
      <x:c r="C104" s="136" t="str">
        <x:v>SOF-04</x:v>
      </x:c>
      <x:c r="D104" s="136" t="str">
        <x:v>Soporte y Mantenimiento</x:v>
      </x:c>
      <x:c r="E104" s="152" t="n">
        <x:v>0.1</x:v>
      </x:c>
      <x:c r="F104" s="136" t="str">
        <x:v>¿En qué etapa de desarrollo y funcionalidad se encuentra su software actualmente?</x:v>
      </x:c>
      <x:c r="G104" s="136" t="n">
        <x:v>9</x:v>
      </x:c>
      <x:c r="H104" s="136" t="n">
        <x:v>9</x:v>
      </x:c>
      <x:c r="I104" s="136" t="str">
        <x:v>Soporte integral de mantenimiento y servicio postventa en condiciones de mercado.</x:v>
      </x:c>
      <x:c r="J104" s="136" t="n">
        <x:v>9</x:v>
      </x:c>
      <x:c r="K104" s="136" t="n">
        <x:v>38</x:v>
      </x:c>
      <x:c r="L104" s="136" t="str">
        <x:v>CALCULADORA TRL Y CRLS.xlsx</x:v>
      </x:c>
      <x:c r="M104" s="136" t="str">
        <x:v>Fuente interna; confirmar versión vigente</x:v>
      </x:c>
      <x:c r="N104" s="136"/>
    </x:row>
    <x:row r="105">
      <x:c r="A105" s="136" t="str">
        <x:v>TRL-C-101</x:v>
      </x:c>
      <x:c r="B105" s="136" t="str">
        <x:v>Software</x:v>
      </x:c>
      <x:c r="C105" s="136" t="str">
        <x:v>SOF-05</x:v>
      </x:c>
      <x:c r="D105" s="136" t="str">
        <x:v>Propiedad Intelectual</x:v>
      </x:c>
      <x:c r="E105" s="152" t="n">
        <x:v>0.05</x:v>
      </x:c>
      <x:c r="F105" s="136" t="str">
        <x:v>¿En qué etapa de desarrollo y funcionalidad se encuentra su software actualmente?</x:v>
      </x:c>
      <x:c r="G105" s="136" t="n">
        <x:v>1</x:v>
      </x:c>
      <x:c r="H105" s="136" t="n">
        <x:v>2</x:v>
      </x:c>
      <x:c r="I105" s="136" t="str">
        <x:v>No se ha realizado ninguna acción en relación con la propiedad intelectual</x:v>
      </x:c>
      <x:c r="J105" s="136"/>
      <x:c r="K105" s="136" t="n">
        <x:v>40</x:v>
      </x:c>
      <x:c r="L105" s="136" t="str">
        <x:v>CALCULADORA TRL Y CRLS.xlsx</x:v>
      </x:c>
      <x:c r="M105" s="136" t="str">
        <x:v>Fuente interna; confirmar versión vigente</x:v>
      </x:c>
      <x:c r="N105" s="136"/>
    </x:row>
    <x:row r="106">
      <x:c r="A106" s="136" t="str">
        <x:v>TRL-C-102</x:v>
      </x:c>
      <x:c r="B106" s="136" t="str">
        <x:v>Software</x:v>
      </x:c>
      <x:c r="C106" s="136" t="str">
        <x:v>SOF-05</x:v>
      </x:c>
      <x:c r="D106" s="136" t="str">
        <x:v>Propiedad Intelectual</x:v>
      </x:c>
      <x:c r="E106" s="152" t="n">
        <x:v>0.05</x:v>
      </x:c>
      <x:c r="F106" s="136" t="str">
        <x:v>¿En qué etapa de desarrollo y funcionalidad se encuentra su software actualmente?</x:v>
      </x:c>
      <x:c r="G106" s="136" t="n">
        <x:v>3</x:v>
      </x:c>
      <x:c r="H106" s="136" t="n">
        <x:v>3</x:v>
      </x:c>
      <x:c r="I106" s="136" t="str">
        <x:v>Se ha explorado la viabilidad de protección y se han identificado posibles invenciones o áreas de protección</x:v>
      </x:c>
      <x:c r="J106" s="136" t="n">
        <x:v>3</x:v>
      </x:c>
      <x:c r="K106" s="136" t="n">
        <x:v>41</x:v>
      </x:c>
      <x:c r="L106" s="136" t="str">
        <x:v>CALCULADORA TRL Y CRLS.xlsx</x:v>
      </x:c>
      <x:c r="M106" s="136" t="str">
        <x:v>Fuente interna; confirmar versión vigente</x:v>
      </x:c>
      <x:c r="N106" s="136"/>
    </x:row>
    <x:row r="107">
      <x:c r="A107" s="136" t="str">
        <x:v>TRL-C-103</x:v>
      </x:c>
      <x:c r="B107" s="136" t="str">
        <x:v>Software</x:v>
      </x:c>
      <x:c r="C107" s="136" t="str">
        <x:v>SOF-05</x:v>
      </x:c>
      <x:c r="D107" s="136" t="str">
        <x:v>Propiedad Intelectual</x:v>
      </x:c>
      <x:c r="E107" s="152" t="n">
        <x:v>0.05</x:v>
      </x:c>
      <x:c r="F107" s="136" t="str">
        <x:v>¿En qué etapa de desarrollo y funcionalidad se encuentra su software actualmente?</x:v>
      </x:c>
      <x:c r="G107" s="136" t="n">
        <x:v>4</x:v>
      </x:c>
      <x:c r="H107" s="136" t="n">
        <x:v>5</x:v>
      </x:c>
      <x:c r="I107" s="136" t="str">
        <x:v>Se han preparado y presentado solicitudes de patentes en mercados clave o jurisdicciones estratégicas.</x:v>
      </x:c>
      <x:c r="J107" s="136" t="n">
        <x:v>4.5</x:v>
      </x:c>
      <x:c r="K107" s="136" t="n">
        <x:v>42</x:v>
      </x:c>
      <x:c r="L107" s="136" t="str">
        <x:v>CALCULADORA TRL Y CRLS.xlsx</x:v>
      </x:c>
      <x:c r="M107" s="136" t="str">
        <x:v>Fuente interna; confirmar versión vigente</x:v>
      </x:c>
      <x:c r="N107" s="136" t="str">
        <x:v>REEMPLAZAR</x:v>
      </x:c>
    </x:row>
    <x:row r="108">
      <x:c r="A108" s="136" t="str">
        <x:v>TRL-C-104</x:v>
      </x:c>
      <x:c r="B108" s="136" t="str">
        <x:v>Software</x:v>
      </x:c>
      <x:c r="C108" s="136" t="str">
        <x:v>SOF-05</x:v>
      </x:c>
      <x:c r="D108" s="136" t="str">
        <x:v>Propiedad Intelectual</x:v>
      </x:c>
      <x:c r="E108" s="152" t="n">
        <x:v>0.05</x:v>
      </x:c>
      <x:c r="F108" s="136" t="str">
        <x:v>¿En qué etapa de desarrollo y funcionalidad se encuentra su software actualmente?</x:v>
      </x:c>
      <x:c r="G108" s="136" t="n">
        <x:v>6</x:v>
      </x:c>
      <x:c r="H108" s="136" t="n">
        <x:v>7</x:v>
      </x:c>
      <x:c r="I108" s="136" t="str">
        <x:v>Derechos de autor otorgadas con protección activa en mercados importantes, fortaleciendo la posición de PI.</x:v>
      </x:c>
      <x:c r="J108" s="136" t="n">
        <x:v>6.5</x:v>
      </x:c>
      <x:c r="K108" s="136" t="n">
        <x:v>43</x:v>
      </x:c>
      <x:c r="L108" s="136" t="str">
        <x:v>CALCULADORA TRL Y CRLS.xlsx</x:v>
      </x:c>
      <x:c r="M108" s="136" t="str">
        <x:v>Fuente interna; confirmar versión vigente</x:v>
      </x:c>
      <x:c r="N108" s="136" t="str">
        <x:v>Documentación y soporte</x:v>
      </x:c>
    </x:row>
    <x:row r="109">
      <x:c r="A109" s="136" t="str">
        <x:v>TRL-C-105</x:v>
      </x:c>
      <x:c r="B109" s="136" t="str">
        <x:v>Software</x:v>
      </x:c>
      <x:c r="C109" s="136" t="str">
        <x:v>SOF-05</x:v>
      </x:c>
      <x:c r="D109" s="136" t="str">
        <x:v>Propiedad Intelectual</x:v>
      </x:c>
      <x:c r="E109" s="152" t="n">
        <x:v>0.05</x:v>
      </x:c>
      <x:c r="F109" s="136" t="str">
        <x:v>¿En qué etapa de desarrollo y funcionalidad se encuentra su software actualmente?</x:v>
      </x:c>
      <x:c r="G109" s="136" t="n">
        <x:v>8</x:v>
      </x:c>
      <x:c r="H109" s="136" t="n">
        <x:v>9</x:v>
      </x:c>
      <x:c r="I109" s="136" t="str">
        <x:v>La propiedad intelectual está asegurada globalmente con una estrategia consolidada para proteger y defender los activos en mercados clave.</x:v>
      </x:c>
      <x:c r="J109" s="136" t="n">
        <x:v>8.5</x:v>
      </x:c>
      <x:c r="K109" s="136" t="n">
        <x:v>44</x:v>
      </x:c>
      <x:c r="L109" s="136" t="str">
        <x:v>CALCULADORA TRL Y CRLS.xlsx</x:v>
      </x:c>
      <x:c r="M109" s="136" t="str">
        <x:v>Fuente interna; confirmar versión vigente</x:v>
      </x:c>
      <x:c r="N109" s="136"/>
    </x:row>
    <x:row r="110">
      <x:c r="A110" s="136" t="str">
        <x:v>TRL-C-106</x:v>
      </x:c>
      <x:c r="B110" s="136" t="str">
        <x:v>Software</x:v>
      </x:c>
      <x:c r="C110" s="136" t="str">
        <x:v>SOF-06</x:v>
      </x:c>
      <x:c r="D110" s="136" t="str">
        <x:v>UI/UX</x:v>
      </x:c>
      <x:c r="E110" s="152" t="n">
        <x:v>0.15</x:v>
      </x:c>
      <x:c r="F110" s="136" t="str">
        <x:v>¿En qué etapa de desarrollo y funcionalidad se encuentra su software actualmente?</x:v>
      </x:c>
      <x:c r="G110" s="136" t="n">
        <x:v>1</x:v>
      </x:c>
      <x:c r="H110" s="136" t="n">
        <x:v>1</x:v>
      </x:c>
      <x:c r="I110" s="136" t="str">
        <x:v>UI/UX no ha sido considerada o desarrollada.</x:v>
      </x:c>
      <x:c r="J110" s="136" t="n">
        <x:v>1</x:v>
      </x:c>
      <x:c r="K110" s="136" t="n">
        <x:v>46</x:v>
      </x:c>
      <x:c r="L110" s="136" t="str">
        <x:v>CALCULADORA TRL Y CRLS.xlsx</x:v>
      </x:c>
      <x:c r="M110" s="136" t="str">
        <x:v>Fuente interna; confirmar versión vigente</x:v>
      </x:c>
      <x:c r="N110" s="136"/>
    </x:row>
    <x:row r="111">
      <x:c r="A111" s="136" t="str">
        <x:v>TRL-C-107</x:v>
      </x:c>
      <x:c r="B111" s="136" t="str">
        <x:v>Software</x:v>
      </x:c>
      <x:c r="C111" s="136" t="str">
        <x:v>SOF-06</x:v>
      </x:c>
      <x:c r="D111" s="136" t="str">
        <x:v>UI/UX</x:v>
      </x:c>
      <x:c r="E111" s="152" t="n">
        <x:v>0.15</x:v>
      </x:c>
      <x:c r="F111" s="136" t="str">
        <x:v>¿En qué etapa de desarrollo y funcionalidad se encuentra su software actualmente?</x:v>
      </x:c>
      <x:c r="G111" s="136" t="n">
        <x:v>2</x:v>
      </x:c>
      <x:c r="H111" s="136" t="n">
        <x:v>2</x:v>
      </x:c>
      <x:c r="I111" s="136" t="str">
        <x:v>Diseño básico de UI/UX en proceso, sin pruebas.</x:v>
      </x:c>
      <x:c r="J111" s="136" t="n">
        <x:v>2</x:v>
      </x:c>
      <x:c r="K111" s="136" t="n">
        <x:v>47</x:v>
      </x:c>
      <x:c r="L111" s="136" t="str">
        <x:v>CALCULADORA TRL Y CRLS.xlsx</x:v>
      </x:c>
      <x:c r="M111" s="136" t="str">
        <x:v>Fuente interna; confirmar versión vigente</x:v>
      </x:c>
      <x:c r="N111" s="136"/>
    </x:row>
    <x:row r="112">
      <x:c r="A112" s="136" t="str">
        <x:v>TRL-C-108</x:v>
      </x:c>
      <x:c r="B112" s="136" t="str">
        <x:v>Software</x:v>
      </x:c>
      <x:c r="C112" s="136" t="str">
        <x:v>SOF-06</x:v>
      </x:c>
      <x:c r="D112" s="136" t="str">
        <x:v>UI/UX</x:v>
      </x:c>
      <x:c r="E112" s="152" t="n">
        <x:v>0.15</x:v>
      </x:c>
      <x:c r="F112" s="136" t="str">
        <x:v>¿En qué etapa de desarrollo y funcionalidad se encuentra su software actualmente?</x:v>
      </x:c>
      <x:c r="G112" s="136" t="n">
        <x:v>3</x:v>
      </x:c>
      <x:c r="H112" s="136" t="n">
        <x:v>3</x:v>
      </x:c>
      <x:c r="I112" s="136" t="str">
        <x:v>UI/UX básica con funcionalidad mínima, sin diseño enfocado en la experiencia.</x:v>
      </x:c>
      <x:c r="J112" s="136" t="n">
        <x:v>3</x:v>
      </x:c>
      <x:c r="K112" s="136" t="n">
        <x:v>48</x:v>
      </x:c>
      <x:c r="L112" s="136" t="str">
        <x:v>CALCULADORA TRL Y CRLS.xlsx</x:v>
      </x:c>
      <x:c r="M112" s="136" t="str">
        <x:v>Fuente interna; confirmar versión vigente</x:v>
      </x:c>
      <x:c r="N112" s="136"/>
    </x:row>
    <x:row r="113">
      <x:c r="A113" s="136" t="str">
        <x:v>TRL-C-109</x:v>
      </x:c>
      <x:c r="B113" s="136" t="str">
        <x:v>Software</x:v>
      </x:c>
      <x:c r="C113" s="136" t="str">
        <x:v>SOF-06</x:v>
      </x:c>
      <x:c r="D113" s="136" t="str">
        <x:v>UI/UX</x:v>
      </x:c>
      <x:c r="E113" s="152" t="n">
        <x:v>0.15</x:v>
      </x:c>
      <x:c r="F113" s="136" t="str">
        <x:v>¿En qué etapa de desarrollo y funcionalidad se encuentra su software actualmente?</x:v>
      </x:c>
      <x:c r="G113" s="136" t="n">
        <x:v>4</x:v>
      </x:c>
      <x:c r="H113" s="136" t="n">
        <x:v>5</x:v>
      </x:c>
      <x:c r="I113" s="136" t="str">
        <x:v>UI/UX probada internamente por el equipo, con mejoras en la navegación.</x:v>
      </x:c>
      <x:c r="J113" s="136" t="n">
        <x:v>4.5</x:v>
      </x:c>
      <x:c r="K113" s="136" t="n">
        <x:v>49</x:v>
      </x:c>
      <x:c r="L113" s="136" t="str">
        <x:v>CALCULADORA TRL Y CRLS.xlsx</x:v>
      </x:c>
      <x:c r="M113" s="136" t="str">
        <x:v>Fuente interna; confirmar versión vigente</x:v>
      </x:c>
      <x:c r="N113" s="136"/>
    </x:row>
    <x:row r="114">
      <x:c r="A114" s="136" t="str">
        <x:v>TRL-C-110</x:v>
      </x:c>
      <x:c r="B114" s="136" t="str">
        <x:v>Software</x:v>
      </x:c>
      <x:c r="C114" s="136" t="str">
        <x:v>SOF-06</x:v>
      </x:c>
      <x:c r="D114" s="136" t="str">
        <x:v>UI/UX</x:v>
      </x:c>
      <x:c r="E114" s="152" t="n">
        <x:v>0.15</x:v>
      </x:c>
      <x:c r="F114" s="136" t="str">
        <x:v>¿En qué etapa de desarrollo y funcionalidad se encuentra su software actualmente?</x:v>
      </x:c>
      <x:c r="G114" s="136" t="n">
        <x:v>6</x:v>
      </x:c>
      <x:c r="H114" s="136" t="n">
        <x:v>6</x:v>
      </x:c>
      <x:c r="I114" s="136" t="str">
        <x:v>UI/UX en versión beta probada con usuarios seleccionados para mejoras en accesibilidad y usabilidad.</x:v>
      </x:c>
      <x:c r="J114" s="136" t="n">
        <x:v>6</x:v>
      </x:c>
      <x:c r="K114" s="136" t="n">
        <x:v>50</x:v>
      </x:c>
      <x:c r="L114" s="136" t="str">
        <x:v>CALCULADORA TRL Y CRLS.xlsx</x:v>
      </x:c>
      <x:c r="M114" s="136" t="str">
        <x:v>Fuente interna; confirmar versión vigente</x:v>
      </x:c>
      <x:c r="N114" s="136"/>
    </x:row>
    <x:row r="115">
      <x:c r="A115" s="136" t="str">
        <x:v>TRL-C-111</x:v>
      </x:c>
      <x:c r="B115" s="136" t="str">
        <x:v>Software</x:v>
      </x:c>
      <x:c r="C115" s="136" t="str">
        <x:v>SOF-06</x:v>
      </x:c>
      <x:c r="D115" s="136" t="str">
        <x:v>UI/UX</x:v>
      </x:c>
      <x:c r="E115" s="152" t="n">
        <x:v>0.15</x:v>
      </x:c>
      <x:c r="F115" s="136" t="str">
        <x:v>¿En qué etapa de desarrollo y funcionalidad se encuentra su software actualmente?</x:v>
      </x:c>
      <x:c r="G115" s="136" t="n">
        <x:v>7</x:v>
      </x:c>
      <x:c r="H115" s="136" t="n">
        <x:v>7</x:v>
      </x:c>
      <x:c r="I115" s="136" t="str">
        <x:v>UI/UX ajustada en versión beta abierta, con retroalimentación para mejorar la experiencia.</x:v>
      </x:c>
      <x:c r="J115" s="136" t="n">
        <x:v>7</x:v>
      </x:c>
      <x:c r="K115" s="136" t="n">
        <x:v>51</x:v>
      </x:c>
      <x:c r="L115" s="136" t="str">
        <x:v>CALCULADORA TRL Y CRLS.xlsx</x:v>
      </x:c>
      <x:c r="M115" s="136" t="str">
        <x:v>Fuente interna; confirmar versión vigente</x:v>
      </x:c>
      <x:c r="N115" s="136"/>
    </x:row>
    <x:row r="116">
      <x:c r="A116" s="136" t="str">
        <x:v>TRL-C-112</x:v>
      </x:c>
      <x:c r="B116" s="136" t="str">
        <x:v>Software</x:v>
      </x:c>
      <x:c r="C116" s="136" t="str">
        <x:v>SOF-06</x:v>
      </x:c>
      <x:c r="D116" s="136" t="str">
        <x:v>UI/UX</x:v>
      </x:c>
      <x:c r="E116" s="152" t="n">
        <x:v>0.15</x:v>
      </x:c>
      <x:c r="F116" s="136" t="str">
        <x:v>¿En qué etapa de desarrollo y funcionalidad se encuentra su software actualmente?</x:v>
      </x:c>
      <x:c r="G116" s="136" t="n">
        <x:v>8</x:v>
      </x:c>
      <x:c r="H116" s="136" t="n">
        <x:v>8</x:v>
      </x:c>
      <x:c r="I116" s="136" t="str">
        <x:v>UI/UX optimizada en versión estable, con buena recepción en el mercado.</x:v>
      </x:c>
      <x:c r="J116" s="136" t="n">
        <x:v>8</x:v>
      </x:c>
      <x:c r="K116" s="136" t="n">
        <x:v>52</x:v>
      </x:c>
      <x:c r="L116" s="136" t="str">
        <x:v>CALCULADORA TRL Y CRLS.xlsx</x:v>
      </x:c>
      <x:c r="M116" s="136" t="str">
        <x:v>Fuente interna; confirmar versión vigente</x:v>
      </x:c>
      <x:c r="N116" s="136"/>
    </x:row>
    <x:row r="117">
      <x:c r="A117" s="136" t="str">
        <x:v>TRL-C-113</x:v>
      </x:c>
      <x:c r="B117" s="136" t="str">
        <x:v>Software</x:v>
      </x:c>
      <x:c r="C117" s="136" t="str">
        <x:v>SOF-06</x:v>
      </x:c>
      <x:c r="D117" s="136" t="str">
        <x:v>UI/UX</x:v>
      </x:c>
      <x:c r="E117" s="152" t="n">
        <x:v>0.15</x:v>
      </x:c>
      <x:c r="F117" s="136" t="str">
        <x:v>¿En qué etapa de desarrollo y funcionalidad se encuentra su software actualmente?</x:v>
      </x:c>
      <x:c r="G117" s="136" t="n">
        <x:v>9</x:v>
      </x:c>
      <x:c r="H117" s="136" t="n">
        <x:v>9</x:v>
      </x:c>
      <x:c r="I117" s="136" t="str">
        <x:v>UI/UX completamente optimizada, con actualizaciones periódicas basadas en retroalimentación del mercado.</x:v>
      </x:c>
      <x:c r="J117" s="136" t="n">
        <x:v>9</x:v>
      </x:c>
      <x:c r="K117" s="136" t="n">
        <x:v>53</x:v>
      </x:c>
      <x:c r="L117" s="136" t="str">
        <x:v>CALCULADORA TRL Y CRLS.xlsx</x:v>
      </x:c>
      <x:c r="M117" s="136" t="str">
        <x:v>Fuente interna; confirmar versión vigente</x:v>
      </x:c>
      <x:c r="N117" s="136"/>
    </x:row>
    <x:row r="118">
      <x:c r="A118" s="136" t="str">
        <x:v>TRL-C-114</x:v>
      </x:c>
      <x:c r="B118" s="136" t="str">
        <x:v>Farmacéutico</x:v>
      </x:c>
      <x:c r="C118" s="136" t="str">
        <x:v>FAR-01</x:v>
      </x:c>
      <x:c r="D118" s="136" t="str">
        <x:v>ETAPA DE DESARROLLO</x:v>
      </x:c>
      <x:c r="E118" s="152" t="n">
        <x:v>0.25</x:v>
      </x:c>
      <x:c r="F118" s="136" t="str">
        <x:v>¿En qué nivel de desarrollo se encuentra actualmente su proyecto ?</x:v>
      </x:c>
      <x:c r="G118" s="136" t="n">
        <x:v>1</x:v>
      </x:c>
      <x:c r="H118" s="136" t="n">
        <x:v>1</x:v>
      </x:c>
      <x:c r="I118" s="136" t="str">
        <x:v>Solo se han identificado principios básicos y formulado hipótesis sobre posibles mecanismos de acción, sin pruebas experimentales.</x:v>
      </x:c>
      <x:c r="J118" s="136" t="n">
        <x:v>1</x:v>
      </x:c>
      <x:c r="K118" s="136" t="n">
        <x:v>3</x:v>
      </x:c>
      <x:c r="L118" s="136" t="str">
        <x:v>CALCULADORA TRL Y CRLS.xlsx</x:v>
      </x:c>
      <x:c r="M118" s="136" t="str">
        <x:v>Fuente interna; confirmar versión vigente</x:v>
      </x:c>
      <x:c r="N118" s="136" t="str">
        <x:v>Seguimiento activo de la base de conocimiento científico. Los hallazgos científicos se revisan y evalúan como base para caracterizar las nuevas tecnologías. | desarrollo de moleculas pequeñas</x:v>
      </x:c>
    </x:row>
    <x:row r="119">
      <x:c r="A119" s="136" t="str">
        <x:v>TRL-C-115</x:v>
      </x:c>
      <x:c r="B119" s="136" t="str">
        <x:v>Farmacéutico</x:v>
      </x:c>
      <x:c r="C119" s="136" t="str">
        <x:v>FAR-01</x:v>
      </x:c>
      <x:c r="D119" s="136" t="str">
        <x:v>ETAPA DE DESARROLLO</x:v>
      </x:c>
      <x:c r="E119" s="152" t="n">
        <x:v>0.25</x:v>
      </x:c>
      <x:c r="F119" s="136" t="str">
        <x:v>¿En qué nivel de desarrollo se encuentra actualmente su proyecto ?</x:v>
      </x:c>
      <x:c r="G119" s="136" t="n">
        <x:v>2</x:v>
      </x:c>
      <x:c r="H119" s="136" t="n">
        <x:v>2</x:v>
      </x:c>
      <x:c r="I119" s="136" t="str">
        <x:v>Se han formulado hipótesis detalladas y definido experimentos preliminares</x:v>
      </x:c>
      <x:c r="J119" s="136" t="n">
        <x:v>2</x:v>
      </x:c>
      <x:c r="K119" s="136" t="n">
        <x:v>4</x:v>
      </x:c>
      <x:c r="L119" s="136" t="str">
        <x:v>CALCULADORA TRL Y CRLS.xlsx</x:v>
      </x:c>
      <x:c r="M119" s="136" t="str">
        <x:v>Fuente interna; confirmar versión vigente</x:v>
      </x:c>
      <x:c r="N119" s="136" t="str">
        <x:v>"Estudios de artículos" científicos para generar ideas de investigación, hipótesis y diseños experimentales para abordar los problemas científicos relacionados. Centrarse en aplicaciones prácticas basadas en los principios básicos observados. Uso de simulación por ordenador u otras plataformas virtuales para probar hipótesis. | anticuerpos, tecnologías antibacterianas complementarias, incluidas terapias basadas en fagos y vacunas preventivas</x:v>
      </x:c>
    </x:row>
    <x:row r="120">
      <x:c r="A120" s="136" t="str">
        <x:v>TRL-C-116</x:v>
      </x:c>
      <x:c r="B120" s="136" t="str">
        <x:v>Farmacéutico</x:v>
      </x:c>
      <x:c r="C120" s="136" t="str">
        <x:v>FAR-01</x:v>
      </x:c>
      <x:c r="D120" s="136" t="str">
        <x:v>ETAPA DE DESARROLLO</x:v>
      </x:c>
      <x:c r="E120" s="152" t="n">
        <x:v>0.25</x:v>
      </x:c>
      <x:c r="F120" s="136" t="str">
        <x:v>¿En qué nivel de desarrollo se encuentra actualmente su proyecto ?</x:v>
      </x:c>
      <x:c r="G120" s="136" t="n">
        <x:v>3</x:v>
      </x:c>
      <x:c r="H120" s="136" t="n">
        <x:v>3</x:v>
      </x:c>
      <x:c r="I120" s="136" t="str">
        <x:v>Se ha actualizado el modelo conceptual y realizado estudios iniciales in vitro o in vivo para evaluar el producto en desarrollo  y sus mecanismos de acción.</x:v>
      </x:c>
      <x:c r="J120" s="136" t="n">
        <x:v>3</x:v>
      </x:c>
      <x:c r="K120" s="136" t="n">
        <x:v>5</x:v>
      </x:c>
      <x:c r="L120" s="136" t="str">
        <x:v>CALCULADORA TRL Y CRLS.xlsx</x:v>
      </x:c>
      <x:c r="M120" s="136" t="str">
        <x:v>Fuente interna; confirmar versión vigente</x:v>
      </x:c>
      <x:c r="N120" s="136" t="str">
        <x:v>Comenzar la investigación, la recopilación de datos y el análisis para probar hipótesis. Explorar conceptos alternativos, identificar y evaluar tecnologías y componentes críticos, y comenzar la caracterización de los candidatos. Eficacia preliminar demostrada in vivo. | Objetivos antibacterianos del proyecto, entre ellos Acinetobacter baumannii, Pseudomonas aeruginosa, Escherichia coli, Klebsiella pneumoniae, Neisseria gonorrhoeae, Clostridium difficile y/o Staphylococcus aureus.</x:v>
      </x:c>
    </x:row>
    <x:row r="121">
      <x:c r="A121" s="136" t="str">
        <x:v>TRL-C-117</x:v>
      </x:c>
      <x:c r="B121" s="136" t="str">
        <x:v>Farmacéutico</x:v>
      </x:c>
      <x:c r="C121" s="136" t="str">
        <x:v>FAR-01</x:v>
      </x:c>
      <x:c r="D121" s="136" t="str">
        <x:v>ETAPA DE DESARROLLO</x:v>
      </x:c>
      <x:c r="E121" s="152" t="n">
        <x:v>0.25</x:v>
      </x:c>
      <x:c r="F121" s="136" t="str">
        <x:v>¿En qué nivel de desarrollo se encuentra actualmente su proyecto ?</x:v>
      </x:c>
      <x:c r="G121" s="136" t="n">
        <x:v>4</x:v>
      </x:c>
      <x:c r="H121" s="136" t="n">
        <x:v>4</x:v>
      </x:c>
      <x:c r="I121" s="136" t="str">
        <x:v>Se han completado estudios exploratorios bajo Buenas Prácticas de Laboratorio (GLP), y se ha caracterizado la seguridad inicial y la toxicidad en modelos animales.</x:v>
      </x:c>
      <x:c r="J121" s="136" t="n">
        <x:v>4</x:v>
      </x:c>
      <x:c r="K121" s="136" t="n">
        <x:v>6</x:v>
      </x:c>
      <x:c r="L121" s="136" t="str">
        <x:v>CALCULADORA TRL Y CRLS.xlsx</x:v>
      </x:c>
      <x:c r="M121" s="136" t="str">
        <x:v>Fuente interna; confirmar versión vigente</x:v>
      </x:c>
      <x:c r="N121" s="136" t="str">
        <x:v>pruebas preclínicas.</x:v>
      </x:c>
    </x:row>
    <x:row r="122">
      <x:c r="A122" s="136" t="str">
        <x:v>TRL-C-118</x:v>
      </x:c>
      <x:c r="B122" s="136" t="str">
        <x:v>Farmacéutico</x:v>
      </x:c>
      <x:c r="C122" s="136" t="str">
        <x:v>FAR-01</x:v>
      </x:c>
      <x:c r="D122" s="136" t="str">
        <x:v>ETAPA DE DESARROLLO</x:v>
      </x:c>
      <x:c r="E122" s="152" t="n">
        <x:v>0.25</x:v>
      </x:c>
      <x:c r="F122" s="136" t="str">
        <x:v>¿En qué nivel de desarrollo se encuentra actualmente su proyecto ?</x:v>
      </x:c>
      <x:c r="G122" s="136" t="n">
        <x:v>5</x:v>
      </x:c>
      <x:c r="H122" s="136" t="n">
        <x:v>5</x:v>
      </x:c>
      <x:c r="I122" s="136" t="str">
        <x:v>Se ha seleccionado un producto candidato definitivo y se han completado estudios farmacocinéticos y farmacodinámicos en animales. Producción de lotes piloto bajo GMP.</x:v>
      </x:c>
      <x:c r="J122" s="136" t="n">
        <x:v>5</x:v>
      </x:c>
      <x:c r="K122" s="136" t="n">
        <x:v>7</x:v>
      </x:c>
      <x:c r="L122" s="136" t="str">
        <x:v>CALCULADORA TRL Y CRLS.xlsx</x:v>
      </x:c>
      <x:c r="M122" s="136" t="str">
        <x:v>Fuente interna; confirmar versión vigente</x:v>
      </x:c>
      <x:c r="N122" s="136" t="str">
        <x:v>fase de optimización del compuesto principal (antes de las pruebas preclínicas)</x:v>
      </x:c>
    </x:row>
    <x:row r="123">
      <x:c r="A123" s="136" t="str">
        <x:v>TRL-C-119</x:v>
      </x:c>
      <x:c r="B123" s="136" t="str">
        <x:v>Farmacéutico</x:v>
      </x:c>
      <x:c r="C123" s="136" t="str">
        <x:v>FAR-01</x:v>
      </x:c>
      <x:c r="D123" s="136" t="str">
        <x:v>ETAPA DE DESARROLLO</x:v>
      </x:c>
      <x:c r="E123" s="152" t="n">
        <x:v>0.25</x:v>
      </x:c>
      <x:c r="F123" s="136" t="str">
        <x:v>¿En qué nivel de desarrollo se encuentra actualmente su proyecto ?</x:v>
      </x:c>
      <x:c r="G123" s="136" t="n">
        <x:v>6</x:v>
      </x:c>
      <x:c r="H123" s="136" t="n">
        <x:v>6</x:v>
      </x:c>
      <x:c r="I123" s="136" t="str">
        <x:v>Se ha completado Fase 1 en humanos, evaluando la seguridad y toxicidad en humanos con ajuste de dosis preliminar.</x:v>
      </x:c>
      <x:c r="J123" s="136" t="n">
        <x:v>6</x:v>
      </x:c>
      <x:c r="K123" s="136" t="n">
        <x:v>8</x:v>
      </x:c>
      <x:c r="L123" s="136" t="str">
        <x:v>CALCULADORA TRL Y CRLS.xlsx</x:v>
      </x:c>
      <x:c r="M123" s="136" t="str">
        <x:v>Fuente interna; confirmar versión vigente</x:v>
      </x:c>
      <x:c r="N123" s="136"/>
    </x:row>
    <x:row r="124">
      <x:c r="A124" s="136" t="str">
        <x:v>TRL-C-120</x:v>
      </x:c>
      <x:c r="B124" s="136" t="str">
        <x:v>Farmacéutico</x:v>
      </x:c>
      <x:c r="C124" s="136" t="str">
        <x:v>FAR-01</x:v>
      </x:c>
      <x:c r="D124" s="136" t="str">
        <x:v>ETAPA DE DESARROLLO</x:v>
      </x:c>
      <x:c r="E124" s="152" t="n">
        <x:v>0.25</x:v>
      </x:c>
      <x:c r="F124" s="136" t="str">
        <x:v>¿En qué nivel de desarrollo se encuentra actualmente su proyecto ?</x:v>
      </x:c>
      <x:c r="G124" s="136" t="n">
        <x:v>7</x:v>
      </x:c>
      <x:c r="H124" s="136" t="n">
        <x:v>7</x:v>
      </x:c>
      <x:c r="I124" s="136" t="str">
        <x:v>Se ha completado Fase 2, demostrando eficacia inicial en humanos, y se han analizado la dosis, frecuencia y ruta de administración.</x:v>
      </x:c>
      <x:c r="J124" s="136" t="n">
        <x:v>7</x:v>
      </x:c>
      <x:c r="K124" s="136" t="n">
        <x:v>9</x:v>
      </x:c>
      <x:c r="L124" s="136" t="str">
        <x:v>CALCULADORA TRL Y CRLS.xlsx</x:v>
      </x:c>
      <x:c r="M124" s="136" t="str">
        <x:v>Fuente interna; confirmar versión vigente</x:v>
      </x:c>
      <x:c r="N124" s="136"/>
    </x:row>
    <x:row r="125">
      <x:c r="A125" s="136" t="str">
        <x:v>TRL-C-121</x:v>
      </x:c>
      <x:c r="B125" s="136" t="str">
        <x:v>Farmacéutico</x:v>
      </x:c>
      <x:c r="C125" s="136" t="str">
        <x:v>FAR-01</x:v>
      </x:c>
      <x:c r="D125" s="136" t="str">
        <x:v>ETAPA DE DESARROLLO</x:v>
      </x:c>
      <x:c r="E125" s="152" t="n">
        <x:v>0.25</x:v>
      </x:c>
      <x:c r="F125" s="136" t="str">
        <x:v>¿En qué nivel de desarrollo se encuentra actualmente su proyecto ?</x:v>
      </x:c>
      <x:c r="G125" s="136" t="n">
        <x:v>8</x:v>
      </x:c>
      <x:c r="H125" s="136" t="n">
        <x:v>8</x:v>
      </x:c>
      <x:c r="I125" s="136" t="str">
        <x:v>Se ha completado Fase 3, documentando beneficios y riesgos, y se ha preparado el dossier técnico para la aprobación regulatoria del medicamento.</x:v>
      </x:c>
      <x:c r="J125" s="136" t="n">
        <x:v>8</x:v>
      </x:c>
      <x:c r="K125" s="136" t="n">
        <x:v>10</x:v>
      </x:c>
      <x:c r="L125" s="136" t="str">
        <x:v>CALCULADORA TRL Y CRLS.xlsx</x:v>
      </x:c>
      <x:c r="M125" s="136" t="str">
        <x:v>Fuente interna; confirmar versión vigente</x:v>
      </x:c>
      <x:c r="N125" s="136"/>
    </x:row>
    <x:row r="126">
      <x:c r="A126" s="136" t="str">
        <x:v>TRL-C-122</x:v>
      </x:c>
      <x:c r="B126" s="136" t="str">
        <x:v>Farmacéutico</x:v>
      </x:c>
      <x:c r="C126" s="136" t="str">
        <x:v>FAR-01</x:v>
      </x:c>
      <x:c r="D126" s="136" t="str">
        <x:v>ETAPA DE DESARROLLO</x:v>
      </x:c>
      <x:c r="E126" s="152" t="n">
        <x:v>0.25</x:v>
      </x:c>
      <x:c r="F126" s="136" t="str">
        <x:v>¿En qué nivel de desarrollo se encuentra actualmente su proyecto ?</x:v>
      </x:c>
      <x:c r="G126" s="136" t="n">
        <x:v>9</x:v>
      </x:c>
      <x:c r="H126" s="136" t="n">
        <x:v>9</x:v>
      </x:c>
      <x:c r="I126" s="136" t="str">
        <x:v>El medicamento ha sido aprobado por las autoridades reguladoras, se produce a escala comercial y se monitorea su seguridad a través de farmacovigilancia en el mercado.</x:v>
      </x:c>
      <x:c r="J126" s="136" t="n">
        <x:v>9</x:v>
      </x:c>
      <x:c r="K126" s="136" t="n">
        <x:v>11</x:v>
      </x:c>
      <x:c r="L126" s="136" t="str">
        <x:v>CALCULADORA TRL Y CRLS.xlsx</x:v>
      </x:c>
      <x:c r="M126" s="136" t="str">
        <x:v>Fuente interna; confirmar versión vigente</x:v>
      </x:c>
      <x:c r="N126" s="136"/>
    </x:row>
    <x:row r="127">
      <x:c r="A127" s="136" t="str">
        <x:v>TRL-C-123</x:v>
      </x:c>
      <x:c r="B127" s="136" t="str">
        <x:v>Farmacéutico</x:v>
      </x:c>
      <x:c r="C127" s="136" t="str">
        <x:v>FAR-02</x:v>
      </x:c>
      <x:c r="D127" s="136" t="str">
        <x:v>Evidencia de Seguridad y Eficacia</x:v>
      </x:c>
      <x:c r="E127" s="152" t="n">
        <x:v>0.2</x:v>
      </x:c>
      <x:c r="F127" s="136" t="str">
        <x:v>¿Qué nivel de evidencia de seguridad y eficacia ha alcanzado su invención?</x:v>
      </x:c>
      <x:c r="G127" s="136" t="n">
        <x:v>1</x:v>
      </x:c>
      <x:c r="H127" s="136" t="n">
        <x:v>1</x:v>
      </x:c>
      <x:c r="I127" s="136" t="str">
        <x:v>Solo existen hipótesis sobre la seguridad y eficacia sin estudios que lo respalden.</x:v>
      </x:c>
      <x:c r="J127" s="136" t="n">
        <x:v>1</x:v>
      </x:c>
      <x:c r="K127" s="136" t="n">
        <x:v>13</x:v>
      </x:c>
      <x:c r="L127" s="136" t="str">
        <x:v>CALCULADORA TRL Y CRLS.xlsx</x:v>
      </x:c>
      <x:c r="M127" s="136" t="str">
        <x:v>Fuente interna; confirmar versión vigente</x:v>
      </x:c>
      <x:c r="N127" s="136"/>
    </x:row>
    <x:row r="128">
      <x:c r="A128" s="136" t="str">
        <x:v>TRL-C-124</x:v>
      </x:c>
      <x:c r="B128" s="136" t="str">
        <x:v>Farmacéutico</x:v>
      </x:c>
      <x:c r="C128" s="136" t="str">
        <x:v>FAR-02</x:v>
      </x:c>
      <x:c r="D128" s="136" t="str">
        <x:v>Evidencia de Seguridad y Eficacia</x:v>
      </x:c>
      <x:c r="E128" s="152" t="n">
        <x:v>0.2</x:v>
      </x:c>
      <x:c r="F128" s="136" t="str">
        <x:v>¿Qué nivel de evidencia de seguridad y eficacia ha alcanzado su invención?</x:v>
      </x:c>
      <x:c r="G128" s="136" t="n">
        <x:v>2</x:v>
      </x:c>
      <x:c r="H128" s="136" t="n">
        <x:v>2</x:v>
      </x:c>
      <x:c r="I128" s="136" t="str">
        <x:v>Se ha propuesto un marco teórico para la seguridad y eficacia, pero sin validación experimental.</x:v>
      </x:c>
      <x:c r="J128" s="136" t="n">
        <x:v>2</x:v>
      </x:c>
      <x:c r="K128" s="136" t="n">
        <x:v>14</x:v>
      </x:c>
      <x:c r="L128" s="136" t="str">
        <x:v>CALCULADORA TRL Y CRLS.xlsx</x:v>
      </x:c>
      <x:c r="M128" s="136" t="str">
        <x:v>Fuente interna; confirmar versión vigente</x:v>
      </x:c>
      <x:c r="N128" s="136"/>
    </x:row>
    <x:row r="129">
      <x:c r="A129" s="136" t="str">
        <x:v>TRL-C-125</x:v>
      </x:c>
      <x:c r="B129" s="136" t="str">
        <x:v>Farmacéutico</x:v>
      </x:c>
      <x:c r="C129" s="136" t="str">
        <x:v>FAR-02</x:v>
      </x:c>
      <x:c r="D129" s="136" t="str">
        <x:v>Evidencia de Seguridad y Eficacia</x:v>
      </x:c>
      <x:c r="E129" s="152" t="n">
        <x:v>0.2</x:v>
      </x:c>
      <x:c r="F129" s="136" t="str">
        <x:v>¿Qué nivel de evidencia de seguridad y eficacia ha alcanzado su invención?</x:v>
      </x:c>
      <x:c r="G129" s="136" t="n">
        <x:v>3</x:v>
      </x:c>
      <x:c r="H129" s="136" t="n">
        <x:v>3</x:v>
      </x:c>
      <x:c r="I129" s="136" t="str">
        <x:v>Evidencia inicial de seguridad y eficacia obtenida en modelos experimentales básicos (in vitro, in silico o en animales no regulatorios)</x:v>
      </x:c>
      <x:c r="J129" s="136" t="n">
        <x:v>3</x:v>
      </x:c>
      <x:c r="K129" s="136" t="n">
        <x:v>15</x:v>
      </x:c>
      <x:c r="L129" s="136" t="str">
        <x:v>CALCULADORA TRL Y CRLS.xlsx</x:v>
      </x:c>
      <x:c r="M129" s="136" t="str">
        <x:v>Fuente interna; confirmar versión vigente</x:v>
      </x:c>
      <x:c r="N129" s="136"/>
    </x:row>
    <x:row r="130">
      <x:c r="A130" s="136" t="str">
        <x:v>TRL-C-126</x:v>
      </x:c>
      <x:c r="B130" s="136" t="str">
        <x:v>Farmacéutico</x:v>
      </x:c>
      <x:c r="C130" s="136" t="str">
        <x:v>FAR-02</x:v>
      </x:c>
      <x:c r="D130" s="136" t="str">
        <x:v>Evidencia de Seguridad y Eficacia</x:v>
      </x:c>
      <x:c r="E130" s="152" t="n">
        <x:v>0.2</x:v>
      </x:c>
      <x:c r="F130" s="136" t="str">
        <x:v>¿Qué nivel de evidencia de seguridad y eficacia ha alcanzado su invención?</x:v>
      </x:c>
      <x:c r="G130" s="136" t="n">
        <x:v>4</x:v>
      </x:c>
      <x:c r="H130" s="136" t="n">
        <x:v>4</x:v>
      </x:c>
      <x:c r="I130" s="136" t="str">
        <x:v>Estudios preliminares de seguridad y eficacia completados en modelos animales bajo GLP.</x:v>
      </x:c>
      <x:c r="J130" s="136" t="n">
        <x:v>4</x:v>
      </x:c>
      <x:c r="K130" s="136" t="n">
        <x:v>16</x:v>
      </x:c>
      <x:c r="L130" s="136" t="str">
        <x:v>CALCULADORA TRL Y CRLS.xlsx</x:v>
      </x:c>
      <x:c r="M130" s="136" t="str">
        <x:v>Fuente interna; confirmar versión vigente</x:v>
      </x:c>
      <x:c r="N130" s="136"/>
    </x:row>
    <x:row r="131">
      <x:c r="A131" s="136" t="str">
        <x:v>TRL-C-127</x:v>
      </x:c>
      <x:c r="B131" s="136" t="str">
        <x:v>Farmacéutico</x:v>
      </x:c>
      <x:c r="C131" s="136" t="str">
        <x:v>FAR-02</x:v>
      </x:c>
      <x:c r="D131" s="136" t="str">
        <x:v>Evidencia de Seguridad y Eficacia</x:v>
      </x:c>
      <x:c r="E131" s="152" t="n">
        <x:v>0.2</x:v>
      </x:c>
      <x:c r="F131" s="136" t="str">
        <x:v>¿Qué nivel de evidencia de seguridad y eficacia ha alcanzado su invención?</x:v>
      </x:c>
      <x:c r="G131" s="136" t="n">
        <x:v>5</x:v>
      </x:c>
      <x:c r="H131" s="136" t="n">
        <x:v>5</x:v>
      </x:c>
      <x:c r="I131" s="136" t="str">
        <x:v>Estudios de seguridad y eficacia farmacocinética/farmacodinámica completados en animales.</x:v>
      </x:c>
      <x:c r="J131" s="136" t="n">
        <x:v>5</x:v>
      </x:c>
      <x:c r="K131" s="136" t="n">
        <x:v>17</x:v>
      </x:c>
      <x:c r="L131" s="136" t="str">
        <x:v>CALCULADORA TRL Y CRLS.xlsx</x:v>
      </x:c>
      <x:c r="M131" s="136" t="str">
        <x:v>Fuente interna; confirmar versión vigente</x:v>
      </x:c>
      <x:c r="N131" s="136"/>
    </x:row>
    <x:row r="132">
      <x:c r="A132" s="136" t="str">
        <x:v>TRL-C-128</x:v>
      </x:c>
      <x:c r="B132" s="136" t="str">
        <x:v>Farmacéutico</x:v>
      </x:c>
      <x:c r="C132" s="136" t="str">
        <x:v>FAR-02</x:v>
      </x:c>
      <x:c r="D132" s="136" t="str">
        <x:v>Evidencia de Seguridad y Eficacia</x:v>
      </x:c>
      <x:c r="E132" s="152" t="n">
        <x:v>0.2</x:v>
      </x:c>
      <x:c r="F132" s="136" t="str">
        <x:v>¿Qué nivel de evidencia de seguridad y eficacia ha alcanzado su invención?</x:v>
      </x:c>
      <x:c r="G132" s="136" t="n">
        <x:v>6</x:v>
      </x:c>
      <x:c r="H132" s="136" t="n">
        <x:v>6</x:v>
      </x:c>
      <x:c r="I132" s="136" t="str">
        <x:v>Evaluación de seguridad y eficacia inicial completada en estudios clínicos de Fase 1.</x:v>
      </x:c>
      <x:c r="J132" s="136" t="n">
        <x:v>6</x:v>
      </x:c>
      <x:c r="K132" s="136" t="n">
        <x:v>18</x:v>
      </x:c>
      <x:c r="L132" s="136" t="str">
        <x:v>CALCULADORA TRL Y CRLS.xlsx</x:v>
      </x:c>
      <x:c r="M132" s="136" t="str">
        <x:v>Fuente interna; confirmar versión vigente</x:v>
      </x:c>
      <x:c r="N132" s="136"/>
    </x:row>
    <x:row r="133">
      <x:c r="A133" s="136" t="str">
        <x:v>TRL-C-129</x:v>
      </x:c>
      <x:c r="B133" s="136" t="str">
        <x:v>Farmacéutico</x:v>
      </x:c>
      <x:c r="C133" s="136" t="str">
        <x:v>FAR-02</x:v>
      </x:c>
      <x:c r="D133" s="136" t="str">
        <x:v>Evidencia de Seguridad y Eficacia</x:v>
      </x:c>
      <x:c r="E133" s="152" t="n">
        <x:v>0.2</x:v>
      </x:c>
      <x:c r="F133" s="136" t="str">
        <x:v>¿Qué nivel de evidencia de seguridad y eficacia ha alcanzado su invención?</x:v>
      </x:c>
      <x:c r="G133" s="136" t="n">
        <x:v>7</x:v>
      </x:c>
      <x:c r="H133" s="136" t="n">
        <x:v>7</x:v>
      </x:c>
      <x:c r="I133" s="136" t="str">
        <x:v>Pruebas de seguridad y eficacia en humanos completadas en Fase 2 con datos robustos.</x:v>
      </x:c>
      <x:c r="J133" s="136" t="n">
        <x:v>7</x:v>
      </x:c>
      <x:c r="K133" s="136" t="n">
        <x:v>19</x:v>
      </x:c>
      <x:c r="L133" s="136" t="str">
        <x:v>CALCULADORA TRL Y CRLS.xlsx</x:v>
      </x:c>
      <x:c r="M133" s="136" t="str">
        <x:v>Fuente interna; confirmar versión vigente</x:v>
      </x:c>
      <x:c r="N133" s="136"/>
    </x:row>
    <x:row r="134">
      <x:c r="A134" s="136" t="str">
        <x:v>TRL-C-130</x:v>
      </x:c>
      <x:c r="B134" s="136" t="str">
        <x:v>Farmacéutico</x:v>
      </x:c>
      <x:c r="C134" s="136" t="str">
        <x:v>FAR-02</x:v>
      </x:c>
      <x:c r="D134" s="136" t="str">
        <x:v>Evidencia de Seguridad y Eficacia</x:v>
      </x:c>
      <x:c r="E134" s="152" t="n">
        <x:v>0.2</x:v>
      </x:c>
      <x:c r="F134" s="136" t="str">
        <x:v>¿Qué nivel de evidencia de seguridad y eficacia ha alcanzado su invención?</x:v>
      </x:c>
      <x:c r="G134" s="136" t="n">
        <x:v>8</x:v>
      </x:c>
      <x:c r="H134" s="136" t="n">
        <x:v>8</x:v>
      </x:c>
      <x:c r="I134" s="136" t="str">
        <x:v>Estudios de seguridad y eficacia en humanos completados en Fase 3 con datos de riesgo-beneficio.</x:v>
      </x:c>
      <x:c r="J134" s="136" t="n">
        <x:v>8</x:v>
      </x:c>
      <x:c r="K134" s="136" t="n">
        <x:v>20</x:v>
      </x:c>
      <x:c r="L134" s="136" t="str">
        <x:v>CALCULADORA TRL Y CRLS.xlsx</x:v>
      </x:c>
      <x:c r="M134" s="136" t="str">
        <x:v>Fuente interna; confirmar versión vigente</x:v>
      </x:c>
      <x:c r="N134" s="136"/>
    </x:row>
    <x:row r="135">
      <x:c r="A135" s="136" t="str">
        <x:v>TRL-C-131</x:v>
      </x:c>
      <x:c r="B135" s="136" t="str">
        <x:v>Farmacéutico</x:v>
      </x:c>
      <x:c r="C135" s="136" t="str">
        <x:v>FAR-02</x:v>
      </x:c>
      <x:c r="D135" s="136" t="str">
        <x:v>Evidencia de Seguridad y Eficacia</x:v>
      </x:c>
      <x:c r="E135" s="152" t="n">
        <x:v>0.2</x:v>
      </x:c>
      <x:c r="F135" s="136" t="str">
        <x:v>¿Qué nivel de evidencia de seguridad y eficacia ha alcanzado su invención?</x:v>
      </x:c>
      <x:c r="G135" s="136" t="n">
        <x:v>9</x:v>
      </x:c>
      <x:c r="H135" s="136" t="n">
        <x:v>9</x:v>
      </x:c>
      <x:c r="I135" s="136" t="str">
        <x:v>Seguridad y eficacia monitoreadas en la fase post-comercialización a través de farmacovigilancia.</x:v>
      </x:c>
      <x:c r="J135" s="136" t="n">
        <x:v>9</x:v>
      </x:c>
      <x:c r="K135" s="136" t="n">
        <x:v>21</x:v>
      </x:c>
      <x:c r="L135" s="136" t="str">
        <x:v>CALCULADORA TRL Y CRLS.xlsx</x:v>
      </x:c>
      <x:c r="M135" s="136" t="str">
        <x:v>Fuente interna; confirmar versión vigente</x:v>
      </x:c>
      <x:c r="N135" s="136"/>
    </x:row>
    <x:row r="136">
      <x:c r="A136" s="136" t="str">
        <x:v>TRL-C-132</x:v>
      </x:c>
      <x:c r="B136" s="136" t="str">
        <x:v>Farmacéutico</x:v>
      </x:c>
      <x:c r="C136" s="136" t="str">
        <x:v>FAR-03</x:v>
      </x:c>
      <x:c r="D136" s="136" t="str">
        <x:v>Cumplimiento Regulatorio</x:v>
      </x:c>
      <x:c r="E136" s="152" t="n">
        <x:v>0.2</x:v>
      </x:c>
      <x:c r="F136" s="136" t="str">
        <x:v>¿En qué etapa del proceso de cumplimiento regulatorio se encuentra su invención?</x:v>
      </x:c>
      <x:c r="G136" s="136" t="n">
        <x:v>1</x:v>
      </x:c>
      <x:c r="H136" s="136" t="n">
        <x:v>1</x:v>
      </x:c>
      <x:c r="I136" s="136" t="str">
        <x:v>No se requiere autorización regulatoria; el proyecto está en una etapa de investigación teórica o básica.</x:v>
      </x:c>
      <x:c r="J136" s="136" t="n">
        <x:v>1</x:v>
      </x:c>
      <x:c r="K136" s="136" t="n">
        <x:v>23</x:v>
      </x:c>
      <x:c r="L136" s="136" t="str">
        <x:v>CALCULADORA TRL Y CRLS.xlsx</x:v>
      </x:c>
      <x:c r="M136" s="136" t="str">
        <x:v>Fuente interna; confirmar versión vigente</x:v>
      </x:c>
      <x:c r="N136" s="136"/>
    </x:row>
    <x:row r="137">
      <x:c r="A137" s="136" t="str">
        <x:v>TRL-C-133</x:v>
      </x:c>
      <x:c r="B137" s="136" t="str">
        <x:v>Farmacéutico</x:v>
      </x:c>
      <x:c r="C137" s="136" t="str">
        <x:v>FAR-03</x:v>
      </x:c>
      <x:c r="D137" s="136" t="str">
        <x:v>Cumplimiento Regulatorio</x:v>
      </x:c>
      <x:c r="E137" s="152" t="n">
        <x:v>0.2</x:v>
      </x:c>
      <x:c r="F137" s="136" t="str">
        <x:v>¿En qué etapa del proceso de cumplimiento regulatorio se encuentra su invención?</x:v>
      </x:c>
      <x:c r="G137" s="136" t="n">
        <x:v>2</x:v>
      </x:c>
      <x:c r="H137" s="136" t="n">
        <x:v>2</x:v>
      </x:c>
      <x:c r="I137" s="136" t="str">
        <x:v>Se están explorando los requisitos regulatorios básicos para desarrollar un marco de trabajo inicial.</x:v>
      </x:c>
      <x:c r="J137" s="136" t="n">
        <x:v>2</x:v>
      </x:c>
      <x:c r="K137" s="136" t="n">
        <x:v>24</x:v>
      </x:c>
      <x:c r="L137" s="136" t="str">
        <x:v>CALCULADORA TRL Y CRLS.xlsx</x:v>
      </x:c>
      <x:c r="M137" s="136" t="str">
        <x:v>Fuente interna; confirmar versión vigente</x:v>
      </x:c>
      <x:c r="N137" s="136"/>
    </x:row>
    <x:row r="138">
      <x:c r="A138" s="136" t="str">
        <x:v>TRL-C-134</x:v>
      </x:c>
      <x:c r="B138" s="136" t="str">
        <x:v>Farmacéutico</x:v>
      </x:c>
      <x:c r="C138" s="136" t="str">
        <x:v>FAR-03</x:v>
      </x:c>
      <x:c r="D138" s="136" t="str">
        <x:v>Cumplimiento Regulatorio</x:v>
      </x:c>
      <x:c r="E138" s="152" t="n">
        <x:v>0.2</x:v>
      </x:c>
      <x:c r="F138" s="136" t="str">
        <x:v>¿En qué etapa del proceso de cumplimiento regulatorio se encuentra su invención?</x:v>
      </x:c>
      <x:c r="G138" s="136" t="n">
        <x:v>3</x:v>
      </x:c>
      <x:c r="H138" s="136" t="n">
        <x:v>3</x:v>
      </x:c>
      <x:c r="I138" s="136" t="str">
        <x:v>Identificación de requisitos regulatorios y preparación de documentación para reunión pre-IND (FDA/EMA) o equivalente</x:v>
      </x:c>
      <x:c r="J138" s="136" t="n">
        <x:v>3</x:v>
      </x:c>
      <x:c r="K138" s="136" t="n">
        <x:v>25</x:v>
      </x:c>
      <x:c r="L138" s="136" t="str">
        <x:v>CALCULADORA TRL Y CRLS.xlsx</x:v>
      </x:c>
      <x:c r="M138" s="136" t="str">
        <x:v>Fuente interna; confirmar versión vigente</x:v>
      </x:c>
      <x:c r="N138" s="136" t="str">
        <x:v>3C Generar datos preliminares de eficacia de prueba de concepto in vivo (no GLP (Buenas Prácticas de Laboratorio)). | Aquí tambien seria opción multiple eligiendo el puntaje mas alto</x:v>
      </x:c>
    </x:row>
    <x:row r="139">
      <x:c r="A139" s="136" t="str">
        <x:v>TRL-C-135</x:v>
      </x:c>
      <x:c r="B139" s="136" t="str">
        <x:v>Farmacéutico</x:v>
      </x:c>
      <x:c r="C139" s="136" t="str">
        <x:v>FAR-03</x:v>
      </x:c>
      <x:c r="D139" s="136" t="str">
        <x:v>Cumplimiento Regulatorio</x:v>
      </x:c>
      <x:c r="E139" s="152" t="n">
        <x:v>0.2</x:v>
      </x:c>
      <x:c r="F139" s="136" t="str">
        <x:v>¿En qué etapa del proceso de cumplimiento regulatorio se encuentra su invención?</x:v>
      </x:c>
      <x:c r="G139" s="136" t="n">
        <x:v>4</x:v>
      </x:c>
      <x:c r="H139" s="136" t="n">
        <x:v>4</x:v>
      </x:c>
      <x:c r="I139" s="136" t="str">
        <x:v>Se ha completado la documentación necesaria para comenzar los estudios preclínicos bajo Buenas Prácticas de Laboratorio (GLP).</x:v>
      </x:c>
      <x:c r="J139" s="136" t="n">
        <x:v>4</x:v>
      </x:c>
      <x:c r="K139" s="136" t="n">
        <x:v>26</x:v>
      </x:c>
      <x:c r="L139" s="136" t="str">
        <x:v>CALCULADORA TRL Y CRLS.xlsx</x:v>
      </x:c>
      <x:c r="M139" s="136" t="str">
        <x:v>Fuente interna; confirmar versión vigente</x:v>
      </x:c>
      <x:c r="N139" s="136"/>
    </x:row>
    <x:row r="140">
      <x:c r="A140" s="136" t="str">
        <x:v>TRL-C-136</x:v>
      </x:c>
      <x:c r="B140" s="136" t="str">
        <x:v>Farmacéutico</x:v>
      </x:c>
      <x:c r="C140" s="136" t="str">
        <x:v>FAR-03</x:v>
      </x:c>
      <x:c r="D140" s="136" t="str">
        <x:v>Cumplimiento Regulatorio</x:v>
      </x:c>
      <x:c r="E140" s="152" t="n">
        <x:v>0.2</x:v>
      </x:c>
      <x:c r="F140" s="136" t="str">
        <x:v>¿En qué etapa del proceso de cumplimiento regulatorio se encuentra su invención?</x:v>
      </x:c>
      <x:c r="G140" s="136" t="n">
        <x:v>5</x:v>
      </x:c>
      <x:c r="H140" s="136" t="n">
        <x:v>5</x:v>
      </x:c>
      <x:c r="I140" s="136" t="str">
        <x:v>Se ha preparado el dossier para la solicitud de IND (Investigational New Drug Application) para estudios en humanos.</x:v>
      </x:c>
      <x:c r="J140" s="136" t="n">
        <x:v>5</x:v>
      </x:c>
      <x:c r="K140" s="136" t="n">
        <x:v>27</x:v>
      </x:c>
      <x:c r="L140" s="136" t="str">
        <x:v>CALCULADORA TRL Y CRLS.xlsx</x:v>
      </x:c>
      <x:c r="M140" s="136" t="str">
        <x:v>Fuente interna; confirmar versión vigente</x:v>
      </x:c>
      <x:c r="N140" s="136"/>
    </x:row>
    <x:row r="141">
      <x:c r="A141" s="136" t="str">
        <x:v>TRL-C-137</x:v>
      </x:c>
      <x:c r="B141" s="136" t="str">
        <x:v>Farmacéutico</x:v>
      </x:c>
      <x:c r="C141" s="136" t="str">
        <x:v>FAR-03</x:v>
      </x:c>
      <x:c r="D141" s="136" t="str">
        <x:v>Cumplimiento Regulatorio</x:v>
      </x:c>
      <x:c r="E141" s="152" t="n">
        <x:v>0.2</x:v>
      </x:c>
      <x:c r="F141" s="136" t="str">
        <x:v>¿En qué etapa del proceso de cumplimiento regulatorio se encuentra su invención?</x:v>
      </x:c>
      <x:c r="G141" s="136" t="n">
        <x:v>6</x:v>
      </x:c>
      <x:c r="H141" s="136" t="n">
        <x:v>6</x:v>
      </x:c>
      <x:c r="I141" s="136" t="str">
        <x:v>Se ha obtenido la aprobación de la FDA/EMA para iniciar estudios clínicos de Fase 1.</x:v>
      </x:c>
      <x:c r="J141" s="136" t="n">
        <x:v>6</x:v>
      </x:c>
      <x:c r="K141" s="136" t="n">
        <x:v>28</x:v>
      </x:c>
      <x:c r="L141" s="136" t="str">
        <x:v>CALCULADORA TRL Y CRLS.xlsx</x:v>
      </x:c>
      <x:c r="M141" s="136" t="str">
        <x:v>Fuente interna; confirmar versión vigente</x:v>
      </x:c>
      <x:c r="N141" s="136"/>
    </x:row>
    <x:row r="142">
      <x:c r="A142" s="136" t="str">
        <x:v>TRL-C-138</x:v>
      </x:c>
      <x:c r="B142" s="136" t="str">
        <x:v>Farmacéutico</x:v>
      </x:c>
      <x:c r="C142" s="136" t="str">
        <x:v>FAR-03</x:v>
      </x:c>
      <x:c r="D142" s="136" t="str">
        <x:v>Cumplimiento Regulatorio</x:v>
      </x:c>
      <x:c r="E142" s="152" t="n">
        <x:v>0.2</x:v>
      </x:c>
      <x:c r="F142" s="136" t="str">
        <x:v>¿En qué etapa del proceso de cumplimiento regulatorio se encuentra su invención?</x:v>
      </x:c>
      <x:c r="G142" s="136" t="n">
        <x:v>7</x:v>
      </x:c>
      <x:c r="H142" s="136" t="n">
        <x:v>7</x:v>
      </x:c>
      <x:c r="I142" s="136" t="str">
        <x:v>La autorización para estudios de Fase 2 ha sido aprobada, y se ha sometido el protocolo para revisión en comités de ética.</x:v>
      </x:c>
      <x:c r="J142" s="136" t="n">
        <x:v>7</x:v>
      </x:c>
      <x:c r="K142" s="136" t="n">
        <x:v>29</x:v>
      </x:c>
      <x:c r="L142" s="136" t="str">
        <x:v>CALCULADORA TRL Y CRLS.xlsx</x:v>
      </x:c>
      <x:c r="M142" s="136" t="str">
        <x:v>Fuente interna; confirmar versión vigente</x:v>
      </x:c>
      <x:c r="N142" s="136"/>
    </x:row>
    <x:row r="143">
      <x:c r="A143" s="136" t="str">
        <x:v>TRL-C-139</x:v>
      </x:c>
      <x:c r="B143" s="136" t="str">
        <x:v>Farmacéutico</x:v>
      </x:c>
      <x:c r="C143" s="136" t="str">
        <x:v>FAR-03</x:v>
      </x:c>
      <x:c r="D143" s="136" t="str">
        <x:v>Cumplimiento Regulatorio</x:v>
      </x:c>
      <x:c r="E143" s="152" t="n">
        <x:v>0.2</x:v>
      </x:c>
      <x:c r="F143" s="136" t="str">
        <x:v>¿En qué etapa del proceso de cumplimiento regulatorio se encuentra su invención?</x:v>
      </x:c>
      <x:c r="G143" s="136" t="n">
        <x:v>8</x:v>
      </x:c>
      <x:c r="H143" s="136" t="n">
        <x:v>8</x:v>
      </x:c>
      <x:c r="I143" s="136" t="str">
        <x:v>Se ha completado el estudio de Fase 3 y se ha preparado el NDA (New Drug Application) para aprobación comercial.</x:v>
      </x:c>
      <x:c r="J143" s="136" t="n">
        <x:v>8</x:v>
      </x:c>
      <x:c r="K143" s="136" t="n">
        <x:v>30</x:v>
      </x:c>
      <x:c r="L143" s="136" t="str">
        <x:v>CALCULADORA TRL Y CRLS.xlsx</x:v>
      </x:c>
      <x:c r="M143" s="136" t="str">
        <x:v>Fuente interna; confirmar versión vigente</x:v>
      </x:c>
      <x:c r="N143" s="136"/>
    </x:row>
    <x:row r="144">
      <x:c r="A144" s="136" t="str">
        <x:v>TRL-C-140</x:v>
      </x:c>
      <x:c r="B144" s="136" t="str">
        <x:v>Farmacéutico</x:v>
      </x:c>
      <x:c r="C144" s="136" t="str">
        <x:v>FAR-03</x:v>
      </x:c>
      <x:c r="D144" s="136" t="str">
        <x:v>Cumplimiento Regulatorio</x:v>
      </x:c>
      <x:c r="E144" s="152" t="n">
        <x:v>0.2</x:v>
      </x:c>
      <x:c r="F144" s="136" t="str">
        <x:v>¿En qué etapa del proceso de cumplimiento regulatorio se encuentra su invención?</x:v>
      </x:c>
      <x:c r="G144" s="136" t="n">
        <x:v>9</x:v>
      </x:c>
      <x:c r="H144" s="136" t="n">
        <x:v>9</x:v>
      </x:c>
      <x:c r="I144" s="136" t="str">
        <x:v>La aprobación final para la comercialización ha sido otorgada y se cuenta con un programa de farmacovigilancia en el mercado.</x:v>
      </x:c>
      <x:c r="J144" s="136" t="n">
        <x:v>9</x:v>
      </x:c>
      <x:c r="K144" s="136" t="n">
        <x:v>31</x:v>
      </x:c>
      <x:c r="L144" s="136" t="str">
        <x:v>CALCULADORA TRL Y CRLS.xlsx</x:v>
      </x:c>
      <x:c r="M144" s="136" t="str">
        <x:v>Fuente interna; confirmar versión vigente</x:v>
      </x:c>
      <x:c r="N144" s="136"/>
    </x:row>
    <x:row r="145">
      <x:c r="A145" s="136" t="str">
        <x:v>TRL-C-141</x:v>
      </x:c>
      <x:c r="B145" s="136" t="str">
        <x:v>Farmacéutico</x:v>
      </x:c>
      <x:c r="C145" s="136" t="str">
        <x:v>FAR-04</x:v>
      </x:c>
      <x:c r="D145" s="136" t="str">
        <x:v>Producción y Escalabilidad</x:v>
      </x:c>
      <x:c r="E145" s="152" t="n">
        <x:v>0.1</x:v>
      </x:c>
      <x:c r="F145" s="136" t="str">
        <x:v>¿En qué etapa se encuentra la producción y escalabilidad de su invención?</x:v>
      </x:c>
      <x:c r="G145" s="136" t="n">
        <x:v>1</x:v>
      </x:c>
      <x:c r="H145" s="136" t="n">
        <x:v>1</x:v>
      </x:c>
      <x:c r="I145" s="136" t="str">
        <x:v>Solo se han hecho consideraciones teóricas de producción, sin experimentación práctica.</x:v>
      </x:c>
      <x:c r="J145" s="136" t="n">
        <x:v>1</x:v>
      </x:c>
      <x:c r="K145" s="136" t="n">
        <x:v>33</x:v>
      </x:c>
      <x:c r="L145" s="136" t="str">
        <x:v>CALCULADORA TRL Y CRLS.xlsx</x:v>
      </x:c>
      <x:c r="M145" s="136" t="str">
        <x:v>Fuente interna; confirmar versión vigente</x:v>
      </x:c>
      <x:c r="N145" s="136"/>
    </x:row>
    <x:row r="146">
      <x:c r="A146" s="136" t="str">
        <x:v>TRL-C-142</x:v>
      </x:c>
      <x:c r="B146" s="136" t="str">
        <x:v>Farmacéutico</x:v>
      </x:c>
      <x:c r="C146" s="136" t="str">
        <x:v>FAR-04</x:v>
      </x:c>
      <x:c r="D146" s="136" t="str">
        <x:v>Producción y Escalabilidad</x:v>
      </x:c>
      <x:c r="E146" s="152" t="n">
        <x:v>0.1</x:v>
      </x:c>
      <x:c r="F146" s="136" t="str">
        <x:v>¿En qué etapa se encuentra la producción y escalabilidad de su invención?</x:v>
      </x:c>
      <x:c r="G146" s="136" t="n">
        <x:v>2</x:v>
      </x:c>
      <x:c r="H146" s="136" t="n">
        <x:v>2</x:v>
      </x:c>
      <x:c r="I146" s="136" t="str">
        <x:v>Existen ideas preliminares sobre procesos de producción, sin un plan claro de escalabilidad.</x:v>
      </x:c>
      <x:c r="J146" s="136" t="n">
        <x:v>2</x:v>
      </x:c>
      <x:c r="K146" s="136" t="n">
        <x:v>34</x:v>
      </x:c>
      <x:c r="L146" s="136" t="str">
        <x:v>CALCULADORA TRL Y CRLS.xlsx</x:v>
      </x:c>
      <x:c r="M146" s="136" t="str">
        <x:v>Fuente interna; confirmar versión vigente</x:v>
      </x:c>
      <x:c r="N146" s="136"/>
    </x:row>
    <x:row r="147">
      <x:c r="A147" s="136" t="str">
        <x:v>TRL-C-143</x:v>
      </x:c>
      <x:c r="B147" s="136" t="str">
        <x:v>Farmacéutico</x:v>
      </x:c>
      <x:c r="C147" s="136" t="str">
        <x:v>FAR-04</x:v>
      </x:c>
      <x:c r="D147" s="136" t="str">
        <x:v>Producción y Escalabilidad</x:v>
      </x:c>
      <x:c r="E147" s="152" t="n">
        <x:v>0.1</x:v>
      </x:c>
      <x:c r="F147" s="136" t="str">
        <x:v>¿En qué etapa se encuentra la producción y escalabilidad de su invención?</x:v>
      </x:c>
      <x:c r="G147" s="136" t="n">
        <x:v>3</x:v>
      </x:c>
      <x:c r="H147" s="136" t="n">
        <x:v>3</x:v>
      </x:c>
      <x:c r="I147" s="136" t="str">
        <x:v>Se han realizado pruebas de producción en pequeña escala a nivel de laboratorio.</x:v>
      </x:c>
      <x:c r="J147" s="136" t="n">
        <x:v>3</x:v>
      </x:c>
      <x:c r="K147" s="136" t="n">
        <x:v>35</x:v>
      </x:c>
      <x:c r="L147" s="136" t="str">
        <x:v>CALCULADORA TRL Y CRLS.xlsx</x:v>
      </x:c>
      <x:c r="M147" s="136" t="str">
        <x:v>Fuente interna; confirmar versión vigente</x:v>
      </x:c>
      <x:c r="N147" s="136"/>
    </x:row>
    <x:row r="148">
      <x:c r="A148" s="136" t="str">
        <x:v>TRL-C-144</x:v>
      </x:c>
      <x:c r="B148" s="136" t="str">
        <x:v>Farmacéutico</x:v>
      </x:c>
      <x:c r="C148" s="136" t="str">
        <x:v>FAR-04</x:v>
      </x:c>
      <x:c r="D148" s="136" t="str">
        <x:v>Producción y Escalabilidad</x:v>
      </x:c>
      <x:c r="E148" s="152" t="n">
        <x:v>0.1</x:v>
      </x:c>
      <x:c r="F148" s="136" t="str">
        <x:v>¿En qué etapa se encuentra la producción y escalabilidad de su invención?</x:v>
      </x:c>
      <x:c r="G148" s="136" t="n">
        <x:v>4</x:v>
      </x:c>
      <x:c r="H148" s="136" t="n">
        <x:v>4</x:v>
      </x:c>
      <x:c r="I148" s="136" t="str">
        <x:v>Se han producido lotes de prueba iniciales en un entorno controlado (GLP).</x:v>
      </x:c>
      <x:c r="J148" s="136" t="n">
        <x:v>4</x:v>
      </x:c>
      <x:c r="K148" s="136" t="n">
        <x:v>36</x:v>
      </x:c>
      <x:c r="L148" s="136" t="str">
        <x:v>CALCULADORA TRL Y CRLS.xlsx</x:v>
      </x:c>
      <x:c r="M148" s="136" t="str">
        <x:v>Fuente interna; confirmar versión vigente</x:v>
      </x:c>
      <x:c r="N148" s="136"/>
    </x:row>
    <x:row r="149">
      <x:c r="A149" s="136" t="str">
        <x:v>TRL-C-145</x:v>
      </x:c>
      <x:c r="B149" s="136" t="str">
        <x:v>Farmacéutico</x:v>
      </x:c>
      <x:c r="C149" s="136" t="str">
        <x:v>FAR-04</x:v>
      </x:c>
      <x:c r="D149" s="136" t="str">
        <x:v>Producción y Escalabilidad</x:v>
      </x:c>
      <x:c r="E149" s="152" t="n">
        <x:v>0.1</x:v>
      </x:c>
      <x:c r="F149" s="136" t="str">
        <x:v>¿En qué etapa se encuentra la producción y escalabilidad de su invención?</x:v>
      </x:c>
      <x:c r="G149" s="136" t="n">
        <x:v>5</x:v>
      </x:c>
      <x:c r="H149" s="136" t="n">
        <x:v>5</x:v>
      </x:c>
      <x:c r="I149" s="136" t="str">
        <x:v>Se han producido lotes piloto bajo Buenas Prácticas de Manufactura (GMP).</x:v>
      </x:c>
      <x:c r="J149" s="136" t="n">
        <x:v>5</x:v>
      </x:c>
      <x:c r="K149" s="136" t="n">
        <x:v>37</x:v>
      </x:c>
      <x:c r="L149" s="136" t="str">
        <x:v>CALCULADORA TRL Y CRLS.xlsx</x:v>
      </x:c>
      <x:c r="M149" s="136" t="str">
        <x:v>Fuente interna; confirmar versión vigente</x:v>
      </x:c>
      <x:c r="N149" s="136"/>
    </x:row>
    <x:row r="150">
      <x:c r="A150" s="136" t="str">
        <x:v>TRL-C-146</x:v>
      </x:c>
      <x:c r="B150" s="136" t="str">
        <x:v>Farmacéutico</x:v>
      </x:c>
      <x:c r="C150" s="136" t="str">
        <x:v>FAR-04</x:v>
      </x:c>
      <x:c r="D150" s="136" t="str">
        <x:v>Producción y Escalabilidad</x:v>
      </x:c>
      <x:c r="E150" s="152" t="n">
        <x:v>0.1</x:v>
      </x:c>
      <x:c r="F150" s="136" t="str">
        <x:v>¿En qué etapa se encuentra la producción y escalabilidad de su invención?</x:v>
      </x:c>
      <x:c r="G150" s="136" t="n">
        <x:v>6</x:v>
      </x:c>
      <x:c r="H150" s="136" t="n">
        <x:v>6</x:v>
      </x:c>
      <x:c r="I150" s="136" t="str">
        <x:v>Producción bajo cGMP para estudios de Fase 1.</x:v>
      </x:c>
      <x:c r="J150" s="136" t="n">
        <x:v>6</x:v>
      </x:c>
      <x:c r="K150" s="136" t="n">
        <x:v>38</x:v>
      </x:c>
      <x:c r="L150" s="136" t="str">
        <x:v>CALCULADORA TRL Y CRLS.xlsx</x:v>
      </x:c>
      <x:c r="M150" s="136" t="str">
        <x:v>Fuente interna; confirmar versión vigente</x:v>
      </x:c>
      <x:c r="N150" s="136"/>
    </x:row>
    <x:row r="151">
      <x:c r="A151" s="136" t="str">
        <x:v>TRL-C-147</x:v>
      </x:c>
      <x:c r="B151" s="136" t="str">
        <x:v>Farmacéutico</x:v>
      </x:c>
      <x:c r="C151" s="136" t="str">
        <x:v>FAR-04</x:v>
      </x:c>
      <x:c r="D151" s="136" t="str">
        <x:v>Producción y Escalabilidad</x:v>
      </x:c>
      <x:c r="E151" s="152" t="n">
        <x:v>0.1</x:v>
      </x:c>
      <x:c r="F151" s="136" t="str">
        <x:v>¿En qué etapa se encuentra la producción y escalabilidad de su invención?</x:v>
      </x:c>
      <x:c r="G151" s="136" t="n">
        <x:v>7</x:v>
      </x:c>
      <x:c r="H151" s="136" t="n">
        <x:v>7</x:v>
      </x:c>
      <x:c r="I151" s="136" t="str">
        <x:v>Producción bajo cGMP para estudios de Fase 2, con consideraciones avanzadas de escalabilidad.</x:v>
      </x:c>
      <x:c r="J151" s="136" t="n">
        <x:v>7</x:v>
      </x:c>
      <x:c r="K151" s="136" t="n">
        <x:v>39</x:v>
      </x:c>
      <x:c r="L151" s="136" t="str">
        <x:v>CALCULADORA TRL Y CRLS.xlsx</x:v>
      </x:c>
      <x:c r="M151" s="136" t="str">
        <x:v>Fuente interna; confirmar versión vigente</x:v>
      </x:c>
      <x:c r="N151" s="136"/>
    </x:row>
    <x:row r="152">
      <x:c r="A152" s="136" t="str">
        <x:v>TRL-C-148</x:v>
      </x:c>
      <x:c r="B152" s="136" t="str">
        <x:v>Farmacéutico</x:v>
      </x:c>
      <x:c r="C152" s="136" t="str">
        <x:v>FAR-04</x:v>
      </x:c>
      <x:c r="D152" s="136" t="str">
        <x:v>Producción y Escalabilidad</x:v>
      </x:c>
      <x:c r="E152" s="152" t="n">
        <x:v>0.1</x:v>
      </x:c>
      <x:c r="F152" s="136" t="str">
        <x:v>¿En qué etapa se encuentra la producción y escalabilidad de su invención?</x:v>
      </x:c>
      <x:c r="G152" s="136" t="n">
        <x:v>8</x:v>
      </x:c>
      <x:c r="H152" s="136" t="n">
        <x:v>8</x:v>
      </x:c>
      <x:c r="I152" s="136" t="str">
        <x:v>Producción para estudios de Fase 3, con validación de procesos de manufactura.</x:v>
      </x:c>
      <x:c r="J152" s="136" t="n">
        <x:v>8</x:v>
      </x:c>
      <x:c r="K152" s="136" t="n">
        <x:v>40</x:v>
      </x:c>
      <x:c r="L152" s="136" t="str">
        <x:v>CALCULADORA TRL Y CRLS.xlsx</x:v>
      </x:c>
      <x:c r="M152" s="136" t="str">
        <x:v>Fuente interna; confirmar versión vigente</x:v>
      </x:c>
      <x:c r="N152" s="136"/>
    </x:row>
    <x:row r="153">
      <x:c r="A153" s="136" t="str">
        <x:v>TRL-C-149</x:v>
      </x:c>
      <x:c r="B153" s="136" t="str">
        <x:v>Farmacéutico</x:v>
      </x:c>
      <x:c r="C153" s="136" t="str">
        <x:v>FAR-04</x:v>
      </x:c>
      <x:c r="D153" s="136" t="str">
        <x:v>Producción y Escalabilidad</x:v>
      </x:c>
      <x:c r="E153" s="152" t="n">
        <x:v>0.1</x:v>
      </x:c>
      <x:c r="F153" s="136" t="str">
        <x:v>¿En qué etapa se encuentra la producción y escalabilidad de su invención?</x:v>
      </x:c>
      <x:c r="G153" s="136" t="n">
        <x:v>9</x:v>
      </x:c>
      <x:c r="H153" s="136" t="n">
        <x:v>9</x:v>
      </x:c>
      <x:c r="I153" s="136" t="str">
        <x:v>Producción a escala comercial, validación final de procesos y liberación de lotes conforme a GMP y requisitos regulatorios</x:v>
      </x:c>
      <x:c r="J153" s="136" t="n">
        <x:v>9</x:v>
      </x:c>
      <x:c r="K153" s="136" t="n">
        <x:v>41</x:v>
      </x:c>
      <x:c r="L153" s="136" t="str">
        <x:v>CALCULADORA TRL Y CRLS.xlsx</x:v>
      </x:c>
      <x:c r="M153" s="136" t="str">
        <x:v>Fuente interna; confirmar versión vigente</x:v>
      </x:c>
      <x:c r="N153" s="136"/>
    </x:row>
    <x:row r="154">
      <x:c r="A154" s="136" t="str">
        <x:v>TRL-C-150</x:v>
      </x:c>
      <x:c r="B154" s="136" t="str">
        <x:v>Farmacéutico</x:v>
      </x:c>
      <x:c r="C154" s="136" t="str">
        <x:v>FAR-05</x:v>
      </x:c>
      <x:c r="D154" s="136" t="str">
        <x:v>Pruebas Clínicas y Validación en Humanos</x:v>
      </x:c>
      <x:c r="E154" s="152" t="n">
        <x:v>0.15</x:v>
      </x:c>
      <x:c r="F154" s="136" t="str">
        <x:v>¿En qué etapa de pruebas clínicas y validación en humanos se encuentra su invención ?</x:v>
      </x:c>
      <x:c r="G154" s="136" t="n">
        <x:v>1</x:v>
      </x:c>
      <x:c r="H154" s="136" t="n">
        <x:v>1</x:v>
      </x:c>
      <x:c r="I154" s="136" t="str">
        <x:v>No se han realizado pruebas en humanos.</x:v>
      </x:c>
      <x:c r="J154" s="136" t="n">
        <x:v>1</x:v>
      </x:c>
      <x:c r="K154" s="136" t="n">
        <x:v>43</x:v>
      </x:c>
      <x:c r="L154" s="136" t="str">
        <x:v>CALCULADORA TRL Y CRLS.xlsx</x:v>
      </x:c>
      <x:c r="M154" s="136" t="str">
        <x:v>Fuente interna; confirmar versión vigente</x:v>
      </x:c>
      <x:c r="N154" s="136"/>
    </x:row>
    <x:row r="155">
      <x:c r="A155" s="136" t="str">
        <x:v>TRL-C-151</x:v>
      </x:c>
      <x:c r="B155" s="136" t="str">
        <x:v>Farmacéutico</x:v>
      </x:c>
      <x:c r="C155" s="136" t="str">
        <x:v>FAR-05</x:v>
      </x:c>
      <x:c r="D155" s="136" t="str">
        <x:v>Pruebas Clínicas y Validación en Humanos</x:v>
      </x:c>
      <x:c r="E155" s="152" t="n">
        <x:v>0.15</x:v>
      </x:c>
      <x:c r="F155" s="136" t="str">
        <x:v>¿En qué etapa de pruebas clínicas y validación en humanos se encuentra su invención ?</x:v>
      </x:c>
      <x:c r="G155" s="136" t="n">
        <x:v>2</x:v>
      </x:c>
      <x:c r="H155" s="136" t="n">
        <x:v>2</x:v>
      </x:c>
      <x:c r="I155" s="136" t="str">
        <x:v>Existe un diseño conceptual para pruebas en humanos, pero sin autorización.</x:v>
      </x:c>
      <x:c r="J155" s="136" t="n">
        <x:v>2</x:v>
      </x:c>
      <x:c r="K155" s="136" t="n">
        <x:v>44</x:v>
      </x:c>
      <x:c r="L155" s="136" t="str">
        <x:v>CALCULADORA TRL Y CRLS.xlsx</x:v>
      </x:c>
      <x:c r="M155" s="136" t="str">
        <x:v>Fuente interna; confirmar versión vigente</x:v>
      </x:c>
      <x:c r="N155" s="136"/>
    </x:row>
    <x:row r="156">
      <x:c r="A156" s="136" t="str">
        <x:v>TRL-C-152</x:v>
      </x:c>
      <x:c r="B156" s="136" t="str">
        <x:v>Farmacéutico</x:v>
      </x:c>
      <x:c r="C156" s="136" t="str">
        <x:v>FAR-05</x:v>
      </x:c>
      <x:c r="D156" s="136" t="str">
        <x:v>Pruebas Clínicas y Validación en Humanos</x:v>
      </x:c>
      <x:c r="E156" s="152" t="n">
        <x:v>0.15</x:v>
      </x:c>
      <x:c r="F156" s="136" t="str">
        <x:v>¿En qué etapa de pruebas clínicas y validación en humanos se encuentra su invención ?</x:v>
      </x:c>
      <x:c r="G156" s="136" t="n">
        <x:v>3</x:v>
      </x:c>
      <x:c r="H156" s="136" t="n">
        <x:v>3</x:v>
      </x:c>
      <x:c r="I156" s="136" t="str">
        <x:v>Solo se han completado pruebas de laboratorio y modelos animales.</x:v>
      </x:c>
      <x:c r="J156" s="136" t="n">
        <x:v>3</x:v>
      </x:c>
      <x:c r="K156" s="136" t="n">
        <x:v>45</x:v>
      </x:c>
      <x:c r="L156" s="136" t="str">
        <x:v>CALCULADORA TRL Y CRLS.xlsx</x:v>
      </x:c>
      <x:c r="M156" s="136" t="str">
        <x:v>Fuente interna; confirmar versión vigente</x:v>
      </x:c>
      <x:c r="N156" s="136"/>
    </x:row>
    <x:row r="157">
      <x:c r="A157" s="136" t="str">
        <x:v>TRL-C-153</x:v>
      </x:c>
      <x:c r="B157" s="136" t="str">
        <x:v>Farmacéutico</x:v>
      </x:c>
      <x:c r="C157" s="136" t="str">
        <x:v>FAR-05</x:v>
      </x:c>
      <x:c r="D157" s="136" t="str">
        <x:v>Pruebas Clínicas y Validación en Humanos</x:v>
      </x:c>
      <x:c r="E157" s="152" t="n">
        <x:v>0.15</x:v>
      </x:c>
      <x:c r="F157" s="136" t="str">
        <x:v>¿En qué etapa de pruebas clínicas y validación en humanos se encuentra su invención ?</x:v>
      </x:c>
      <x:c r="G157" s="136" t="n">
        <x:v>4</x:v>
      </x:c>
      <x:c r="H157" s="136" t="n">
        <x:v>4</x:v>
      </x:c>
      <x:c r="I157" s="136" t="str">
        <x:v>Se han realizado pruebas iniciales de seguridad y eficacia en modelos animales.</x:v>
      </x:c>
      <x:c r="J157" s="136" t="n">
        <x:v>4</x:v>
      </x:c>
      <x:c r="K157" s="136" t="n">
        <x:v>46</x:v>
      </x:c>
      <x:c r="L157" s="136" t="str">
        <x:v>CALCULADORA TRL Y CRLS.xlsx</x:v>
      </x:c>
      <x:c r="M157" s="136" t="str">
        <x:v>Fuente interna; confirmar versión vigente</x:v>
      </x:c>
      <x:c r="N157" s="136"/>
    </x:row>
    <x:row r="158">
      <x:c r="A158" s="136" t="str">
        <x:v>TRL-C-154</x:v>
      </x:c>
      <x:c r="B158" s="136" t="str">
        <x:v>Farmacéutico</x:v>
      </x:c>
      <x:c r="C158" s="136" t="str">
        <x:v>FAR-05</x:v>
      </x:c>
      <x:c r="D158" s="136" t="str">
        <x:v>Pruebas Clínicas y Validación en Humanos</x:v>
      </x:c>
      <x:c r="E158" s="152" t="n">
        <x:v>0.15</x:v>
      </x:c>
      <x:c r="F158" s="136" t="str">
        <x:v>¿En qué etapa de pruebas clínicas y validación en humanos se encuentra su invención ?</x:v>
      </x:c>
      <x:c r="G158" s="136" t="n">
        <x:v>5</x:v>
      </x:c>
      <x:c r="H158" s="136" t="n">
        <x:v>5</x:v>
      </x:c>
      <x:c r="I158" s="136" t="str">
        <x:v>Pruebas preclínicas completas y preparación para pruebas clínicas en humanos.</x:v>
      </x:c>
      <x:c r="J158" s="136" t="n">
        <x:v>5</x:v>
      </x:c>
      <x:c r="K158" s="136" t="n">
        <x:v>47</x:v>
      </x:c>
      <x:c r="L158" s="136" t="str">
        <x:v>CALCULADORA TRL Y CRLS.xlsx</x:v>
      </x:c>
      <x:c r="M158" s="136" t="str">
        <x:v>Fuente interna; confirmar versión vigente</x:v>
      </x:c>
      <x:c r="N158" s="136"/>
    </x:row>
    <x:row r="159">
      <x:c r="A159" s="136" t="str">
        <x:v>TRL-C-155</x:v>
      </x:c>
      <x:c r="B159" s="136" t="str">
        <x:v>Farmacéutico</x:v>
      </x:c>
      <x:c r="C159" s="136" t="str">
        <x:v>FAR-05</x:v>
      </x:c>
      <x:c r="D159" s="136" t="str">
        <x:v>Pruebas Clínicas y Validación en Humanos</x:v>
      </x:c>
      <x:c r="E159" s="152" t="n">
        <x:v>0.15</x:v>
      </x:c>
      <x:c r="F159" s="136" t="str">
        <x:v>¿En qué etapa de pruebas clínicas y validación en humanos se encuentra su invención ?</x:v>
      </x:c>
      <x:c r="G159" s="136" t="n">
        <x:v>6</x:v>
      </x:c>
      <x:c r="H159" s="136" t="n">
        <x:v>6</x:v>
      </x:c>
      <x:c r="I159" s="136" t="str">
        <x:v>Estudios de Fase 1 completados, demostrando seguridad básica en humanos.</x:v>
      </x:c>
      <x:c r="J159" s="136" t="n">
        <x:v>6</x:v>
      </x:c>
      <x:c r="K159" s="136" t="n">
        <x:v>48</x:v>
      </x:c>
      <x:c r="L159" s="136" t="str">
        <x:v>CALCULADORA TRL Y CRLS.xlsx</x:v>
      </x:c>
      <x:c r="M159" s="136" t="str">
        <x:v>Fuente interna; confirmar versión vigente</x:v>
      </x:c>
      <x:c r="N159" s="136"/>
    </x:row>
    <x:row r="160">
      <x:c r="A160" s="136" t="str">
        <x:v>TRL-C-156</x:v>
      </x:c>
      <x:c r="B160" s="136" t="str">
        <x:v>Farmacéutico</x:v>
      </x:c>
      <x:c r="C160" s="136" t="str">
        <x:v>FAR-05</x:v>
      </x:c>
      <x:c r="D160" s="136" t="str">
        <x:v>Pruebas Clínicas y Validación en Humanos</x:v>
      </x:c>
      <x:c r="E160" s="152" t="n">
        <x:v>0.15</x:v>
      </x:c>
      <x:c r="F160" s="136" t="str">
        <x:v>¿En qué etapa de pruebas clínicas y validación en humanos se encuentra su invención ?</x:v>
      </x:c>
      <x:c r="G160" s="136" t="n">
        <x:v>7</x:v>
      </x:c>
      <x:c r="H160" s="136" t="n">
        <x:v>7</x:v>
      </x:c>
      <x:c r="I160" s="136" t="str">
        <x:v>Estudios de Fase 2 completados, demostrando eficacia y perfil de seguridad en humanos.</x:v>
      </x:c>
      <x:c r="J160" s="136" t="n">
        <x:v>7</x:v>
      </x:c>
      <x:c r="K160" s="136" t="n">
        <x:v>49</x:v>
      </x:c>
      <x:c r="L160" s="136" t="str">
        <x:v>CALCULADORA TRL Y CRLS.xlsx</x:v>
      </x:c>
      <x:c r="M160" s="136" t="str">
        <x:v>Fuente interna; confirmar versión vigente</x:v>
      </x:c>
      <x:c r="N160" s="136"/>
    </x:row>
    <x:row r="161">
      <x:c r="A161" s="136" t="str">
        <x:v>TRL-C-157</x:v>
      </x:c>
      <x:c r="B161" s="136" t="str">
        <x:v>Farmacéutico</x:v>
      </x:c>
      <x:c r="C161" s="136" t="str">
        <x:v>FAR-05</x:v>
      </x:c>
      <x:c r="D161" s="136" t="str">
        <x:v>Pruebas Clínicas y Validación en Humanos</x:v>
      </x:c>
      <x:c r="E161" s="152" t="n">
        <x:v>0.15</x:v>
      </x:c>
      <x:c r="F161" s="136" t="str">
        <x:v>¿En qué etapa de pruebas clínicas y validación en humanos se encuentra su invención ?</x:v>
      </x:c>
      <x:c r="G161" s="136" t="n">
        <x:v>8</x:v>
      </x:c>
      <x:c r="H161" s="136" t="n">
        <x:v>8</x:v>
      </x:c>
      <x:c r="I161" s="136" t="str">
        <x:v>Estudios de Fase 3 completados, demostrando beneficio-riesgo aceptable para su uso.</x:v>
      </x:c>
      <x:c r="J161" s="136" t="n">
        <x:v>8</x:v>
      </x:c>
      <x:c r="K161" s="136" t="n">
        <x:v>50</x:v>
      </x:c>
      <x:c r="L161" s="136" t="str">
        <x:v>CALCULADORA TRL Y CRLS.xlsx</x:v>
      </x:c>
      <x:c r="M161" s="136" t="str">
        <x:v>Fuente interna; confirmar versión vigente</x:v>
      </x:c>
      <x:c r="N161" s="136"/>
    </x:row>
    <x:row r="162">
      <x:c r="A162" s="136" t="str">
        <x:v>TRL-C-158</x:v>
      </x:c>
      <x:c r="B162" s="136" t="str">
        <x:v>Farmacéutico</x:v>
      </x:c>
      <x:c r="C162" s="136" t="str">
        <x:v>FAR-05</x:v>
      </x:c>
      <x:c r="D162" s="136" t="str">
        <x:v>Pruebas Clínicas y Validación en Humanos</x:v>
      </x:c>
      <x:c r="E162" s="152" t="n">
        <x:v>0.15</x:v>
      </x:c>
      <x:c r="F162" s="136" t="str">
        <x:v>¿En qué etapa de pruebas clínicas y validación en humanos se encuentra su invención ?</x:v>
      </x:c>
      <x:c r="G162" s="136" t="n">
        <x:v>9</x:v>
      </x:c>
      <x:c r="H162" s="136" t="n">
        <x:v>9</x:v>
      </x:c>
      <x:c r="I162" s="136" t="str">
        <x:v>Producto aprobado para uso comercial en humanos, con plan de farmacovigilancia en curso</x:v>
      </x:c>
      <x:c r="J162" s="136" t="n">
        <x:v>9</x:v>
      </x:c>
      <x:c r="K162" s="136" t="n">
        <x:v>51</x:v>
      </x:c>
      <x:c r="L162" s="136" t="str">
        <x:v>CALCULADORA TRL Y CRLS.xlsx</x:v>
      </x:c>
      <x:c r="M162" s="136" t="str">
        <x:v>Fuente interna; confirmar versión vigente</x:v>
      </x:c>
      <x:c r="N162" s="136"/>
    </x:row>
    <x:row r="163">
      <x:c r="A163" s="136" t="str">
        <x:v>TRL-C-159</x:v>
      </x:c>
      <x:c r="B163" s="136" t="str">
        <x:v>Farmacéutico</x:v>
      </x:c>
      <x:c r="C163" s="136" t="str">
        <x:v>FAR-06</x:v>
      </x:c>
      <x:c r="D163" s="136" t="str">
        <x:v>Evidencia Científica y Documentación</x:v>
      </x:c>
      <x:c r="E163" s="152" t="n">
        <x:v>0.05</x:v>
      </x:c>
      <x:c r="F163" s="136" t="str">
        <x:v>¿En qué etapa de pruebas clínicas y validación en humanos se encuentra su invención ?</x:v>
      </x:c>
      <x:c r="G163" s="136" t="n">
        <x:v>1</x:v>
      </x:c>
      <x:c r="H163" s="136" t="n">
        <x:v>1</x:v>
      </x:c>
      <x:c r="I163" s="136" t="str">
        <x:v>Documentación mínima o inicial que incluye estudios teóricos y exploración bibliográfica sobre el fármaco y sus posibles aplicaciones.</x:v>
      </x:c>
      <x:c r="J163" s="136" t="n">
        <x:v>1</x:v>
      </x:c>
      <x:c r="K163" s="136" t="n">
        <x:v>53</x:v>
      </x:c>
      <x:c r="L163" s="136" t="str">
        <x:v>CALCULADORA TRL Y CRLS.xlsx</x:v>
      </x:c>
      <x:c r="M163" s="136" t="str">
        <x:v>Fuente interna; confirmar versión vigente</x:v>
      </x:c>
      <x:c r="N163" s="136"/>
    </x:row>
    <x:row r="164">
      <x:c r="A164" s="136" t="str">
        <x:v>TRL-C-160</x:v>
      </x:c>
      <x:c r="B164" s="136" t="str">
        <x:v>Farmacéutico</x:v>
      </x:c>
      <x:c r="C164" s="136" t="str">
        <x:v>FAR-06</x:v>
      </x:c>
      <x:c r="D164" s="136" t="str">
        <x:v>Evidencia Científica y Documentación</x:v>
      </x:c>
      <x:c r="E164" s="152" t="n">
        <x:v>0.05</x:v>
      </x:c>
      <x:c r="F164" s="136" t="str">
        <x:v>¿En qué etapa de pruebas clínicas y validación en humanos se encuentra su invención ?</x:v>
      </x:c>
      <x:c r="G164" s="136" t="n">
        <x:v>2</x:v>
      </x:c>
      <x:c r="H164" s="136" t="n">
        <x:v>2</x:v>
      </x:c>
      <x:c r="I164" s="136" t="str">
        <x:v>Documentación preliminar sobre conceptos y diseño de experimentos para probar hipótesis y definir parámetros básicos.</x:v>
      </x:c>
      <x:c r="J164" s="136" t="n">
        <x:v>2</x:v>
      </x:c>
      <x:c r="K164" s="136" t="n">
        <x:v>54</x:v>
      </x:c>
      <x:c r="L164" s="136" t="str">
        <x:v>CALCULADORA TRL Y CRLS.xlsx</x:v>
      </x:c>
      <x:c r="M164" s="136" t="str">
        <x:v>Fuente interna; confirmar versión vigente</x:v>
      </x:c>
      <x:c r="N164" s="136"/>
    </x:row>
    <x:row r="165">
      <x:c r="A165" s="136" t="str">
        <x:v>TRL-C-161</x:v>
      </x:c>
      <x:c r="B165" s="136" t="str">
        <x:v>Farmacéutico</x:v>
      </x:c>
      <x:c r="C165" s="136" t="str">
        <x:v>FAR-06</x:v>
      </x:c>
      <x:c r="D165" s="136" t="str">
        <x:v>Evidencia Científica y Documentación</x:v>
      </x:c>
      <x:c r="E165" s="152" t="n">
        <x:v>0.05</x:v>
      </x:c>
      <x:c r="F165" s="136" t="str">
        <x:v>¿En qué etapa de pruebas clínicas y validación en humanos se encuentra su invención ?</x:v>
      </x:c>
      <x:c r="G165" s="136" t="n">
        <x:v>3</x:v>
      </x:c>
      <x:c r="H165" s="136" t="n">
        <x:v>3</x:v>
      </x:c>
      <x:c r="I165" s="136" t="str">
        <x:v>Informes de estudios de prueba de concepto inicial en modelos experimentales, incluyendo in vitro y resultados preliminares.</x:v>
      </x:c>
      <x:c r="J165" s="136" t="n">
        <x:v>3</x:v>
      </x:c>
      <x:c r="K165" s="136" t="n">
        <x:v>55</x:v>
      </x:c>
      <x:c r="L165" s="136" t="str">
        <x:v>CALCULADORA TRL Y CRLS.xlsx</x:v>
      </x:c>
      <x:c r="M165" s="136" t="str">
        <x:v>Fuente interna; confirmar versión vigente</x:v>
      </x:c>
      <x:c r="N165" s="136"/>
    </x:row>
    <x:row r="166">
      <x:c r="A166" s="136" t="str">
        <x:v>TRL-C-162</x:v>
      </x:c>
      <x:c r="B166" s="136" t="str">
        <x:v>Farmacéutico</x:v>
      </x:c>
      <x:c r="C166" s="136" t="str">
        <x:v>FAR-06</x:v>
      </x:c>
      <x:c r="D166" s="136" t="str">
        <x:v>Evidencia Científica y Documentación</x:v>
      </x:c>
      <x:c r="E166" s="152" t="n">
        <x:v>0.05</x:v>
      </x:c>
      <x:c r="F166" s="136" t="str">
        <x:v>¿En qué etapa de pruebas clínicas y validación en humanos se encuentra su invención ?</x:v>
      </x:c>
      <x:c r="G166" s="136" t="n">
        <x:v>4</x:v>
      </x:c>
      <x:c r="H166" s="136" t="n">
        <x:v>4</x:v>
      </x:c>
      <x:c r="I166" s="136" t="str">
        <x:v>Documentación de estudios de seguridad y toxicidad inicial en animales bajo Buenas Prácticas de Laboratorio (GLP).</x:v>
      </x:c>
      <x:c r="J166" s="136" t="n">
        <x:v>4</x:v>
      </x:c>
      <x:c r="K166" s="136" t="n">
        <x:v>56</x:v>
      </x:c>
      <x:c r="L166" s="136" t="str">
        <x:v>CALCULADORA TRL Y CRLS.xlsx</x:v>
      </x:c>
      <x:c r="M166" s="136" t="str">
        <x:v>Fuente interna; confirmar versión vigente</x:v>
      </x:c>
      <x:c r="N166" s="136"/>
    </x:row>
    <x:row r="167">
      <x:c r="A167" s="136" t="str">
        <x:v>TRL-C-163</x:v>
      </x:c>
      <x:c r="B167" s="136" t="str">
        <x:v>Farmacéutico</x:v>
      </x:c>
      <x:c r="C167" s="136" t="str">
        <x:v>FAR-06</x:v>
      </x:c>
      <x:c r="D167" s="136" t="str">
        <x:v>Evidencia Científica y Documentación</x:v>
      </x:c>
      <x:c r="E167" s="152" t="n">
        <x:v>0.05</x:v>
      </x:c>
      <x:c r="F167" s="136" t="str">
        <x:v>¿En qué etapa de pruebas clínicas y validación en humanos se encuentra su invención ?</x:v>
      </x:c>
      <x:c r="G167" s="136" t="n">
        <x:v>5</x:v>
      </x:c>
      <x:c r="H167" s="136" t="n">
        <x:v>5</x:v>
      </x:c>
      <x:c r="I167" s="136" t="str">
        <x:v>Reportes completos de estudios preclínicos, incluyendo estudios farmacocinéticos y farmacodinámicos en modelos animales.</x:v>
      </x:c>
      <x:c r="J167" s="136" t="n">
        <x:v>5</x:v>
      </x:c>
      <x:c r="K167" s="136" t="n">
        <x:v>57</x:v>
      </x:c>
      <x:c r="L167" s="136" t="str">
        <x:v>CALCULADORA TRL Y CRLS.xlsx</x:v>
      </x:c>
      <x:c r="M167" s="136" t="str">
        <x:v>Fuente interna; confirmar versión vigente</x:v>
      </x:c>
      <x:c r="N167" s="136"/>
    </x:row>
    <x:row r="168">
      <x:c r="A168" s="136" t="str">
        <x:v>TRL-C-164</x:v>
      </x:c>
      <x:c r="B168" s="136" t="str">
        <x:v>Farmacéutico</x:v>
      </x:c>
      <x:c r="C168" s="136" t="str">
        <x:v>FAR-06</x:v>
      </x:c>
      <x:c r="D168" s="136" t="str">
        <x:v>Evidencia Científica y Documentación</x:v>
      </x:c>
      <x:c r="E168" s="152" t="n">
        <x:v>0.05</x:v>
      </x:c>
      <x:c r="F168" s="136" t="str">
        <x:v>¿En qué etapa de pruebas clínicas y validación en humanos se encuentra su invención ?</x:v>
      </x:c>
      <x:c r="G168" s="136" t="n">
        <x:v>6</x:v>
      </x:c>
      <x:c r="H168" s="136" t="n">
        <x:v>6</x:v>
      </x:c>
      <x:c r="I168" s="136" t="str">
        <x:v>Documentación de estudios de Fase 1 en humanos, con reportes detallados sobre seguridad y toxicidad.</x:v>
      </x:c>
      <x:c r="J168" s="136" t="n">
        <x:v>6</x:v>
      </x:c>
      <x:c r="K168" s="136" t="n">
        <x:v>58</x:v>
      </x:c>
      <x:c r="L168" s="136" t="str">
        <x:v>CALCULADORA TRL Y CRLS.xlsx</x:v>
      </x:c>
      <x:c r="M168" s="136" t="str">
        <x:v>Fuente interna; confirmar versión vigente</x:v>
      </x:c>
      <x:c r="N168" s="136" t="str">
        <x:v>Aquí tambien seria opción multiple eligiendo el puntaje mas alto</x:v>
      </x:c>
    </x:row>
    <x:row r="169">
      <x:c r="A169" s="136" t="str">
        <x:v>TRL-C-165</x:v>
      </x:c>
      <x:c r="B169" s="136" t="str">
        <x:v>Farmacéutico</x:v>
      </x:c>
      <x:c r="C169" s="136" t="str">
        <x:v>FAR-06</x:v>
      </x:c>
      <x:c r="D169" s="136" t="str">
        <x:v>Evidencia Científica y Documentación</x:v>
      </x:c>
      <x:c r="E169" s="152" t="n">
        <x:v>0.05</x:v>
      </x:c>
      <x:c r="F169" s="136" t="str">
        <x:v>¿En qué etapa de pruebas clínicas y validación en humanos se encuentra su invención ?</x:v>
      </x:c>
      <x:c r="G169" s="136" t="n">
        <x:v>7</x:v>
      </x:c>
      <x:c r="H169" s="136" t="n">
        <x:v>7</x:v>
      </x:c>
      <x:c r="I169" s="136" t="str">
        <x:v>Informes de estudios clínicos de Fase 2, incluyendo datos de eficacia y perfil de seguridad en humanos.</x:v>
      </x:c>
      <x:c r="J169" s="136" t="n">
        <x:v>7</x:v>
      </x:c>
      <x:c r="K169" s="136" t="n">
        <x:v>59</x:v>
      </x:c>
      <x:c r="L169" s="136" t="str">
        <x:v>CALCULADORA TRL Y CRLS.xlsx</x:v>
      </x:c>
      <x:c r="M169" s="136" t="str">
        <x:v>Fuente interna; confirmar versión vigente</x:v>
      </x:c>
      <x:c r="N169" s="136"/>
    </x:row>
    <x:row r="170">
      <x:c r="A170" s="136" t="str">
        <x:v>TRL-C-166</x:v>
      </x:c>
      <x:c r="B170" s="136" t="str">
        <x:v>Farmacéutico</x:v>
      </x:c>
      <x:c r="C170" s="136" t="str">
        <x:v>FAR-06</x:v>
      </x:c>
      <x:c r="D170" s="136" t="str">
        <x:v>Evidencia Científica y Documentación</x:v>
      </x:c>
      <x:c r="E170" s="152" t="n">
        <x:v>0.05</x:v>
      </x:c>
      <x:c r="F170" s="136" t="str">
        <x:v>¿En qué etapa de pruebas clínicas y validación en humanos se encuentra su invención ?</x:v>
      </x:c>
      <x:c r="G170" s="136" t="n">
        <x:v>8</x:v>
      </x:c>
      <x:c r="H170" s="136" t="n">
        <x:v>8</x:v>
      </x:c>
      <x:c r="I170" s="136" t="str">
        <x:v>Documentación completa de estudios clínicos y dossier técnico, incluyendo plan de manejo de riesgos y farmacovigilancia</x:v>
      </x:c>
      <x:c r="J170" s="136" t="n">
        <x:v>8</x:v>
      </x:c>
      <x:c r="K170" s="136" t="n">
        <x:v>60</x:v>
      </x:c>
      <x:c r="L170" s="136" t="str">
        <x:v>CALCULADORA TRL Y CRLS.xlsx</x:v>
      </x:c>
      <x:c r="M170" s="136" t="str">
        <x:v>Fuente interna; confirmar versión vigente</x:v>
      </x:c>
      <x:c r="N170" s="136"/>
    </x:row>
    <x:row r="171">
      <x:c r="A171" s="136" t="str">
        <x:v>TRL-C-167</x:v>
      </x:c>
      <x:c r="B171" s="136" t="str">
        <x:v>Farmacéutico</x:v>
      </x:c>
      <x:c r="C171" s="136" t="str">
        <x:v>FAR-06</x:v>
      </x:c>
      <x:c r="D171" s="136" t="str">
        <x:v>Evidencia Científica y Documentación</x:v>
      </x:c>
      <x:c r="E171" s="152" t="n">
        <x:v>0.05</x:v>
      </x:c>
      <x:c r="F171" s="136" t="str">
        <x:v>¿En qué etapa de pruebas clínicas y validación en humanos se encuentra su invención ?</x:v>
      </x:c>
      <x:c r="G171" s="136" t="n">
        <x:v>9</x:v>
      </x:c>
      <x:c r="H171" s="136" t="n">
        <x:v>9</x:v>
      </x:c>
      <x:c r="I171" s="136" t="str">
        <x:v>Documentación final aprobada para comercialización, incluyendo farmacovigilancia y actualización continua de datos de seguridad.</x:v>
      </x:c>
      <x:c r="J171" s="136" t="n">
        <x:v>9</x:v>
      </x:c>
      <x:c r="K171" s="136" t="n">
        <x:v>61</x:v>
      </x:c>
      <x:c r="L171" s="136" t="str">
        <x:v>CALCULADORA TRL Y CRLS.xlsx</x:v>
      </x:c>
      <x:c r="M171" s="136" t="str">
        <x:v>Fuente interna; confirmar versión vigente</x:v>
      </x:c>
      <x:c r="N171" s="136"/>
    </x:row>
    <x:row r="172">
      <x:c r="A172" s="136" t="str">
        <x:v>TRL-C-168</x:v>
      </x:c>
      <x:c r="B172" s="136" t="str">
        <x:v>Farmacéutico</x:v>
      </x:c>
      <x:c r="C172" s="136" t="str">
        <x:v>FAR-07</x:v>
      </x:c>
      <x:c r="D172" s="136" t="str">
        <x:v>Propiedad Intelectual</x:v>
      </x:c>
      <x:c r="E172" s="152" t="n">
        <x:v>0.05</x:v>
      </x:c>
      <x:c r="F172" s="136" t="str">
        <x:v>¿En qué etapa de pruebas clínicas y validación en humanos se encuentra su invención ?</x:v>
      </x:c>
      <x:c r="G172" s="136" t="n">
        <x:v>1</x:v>
      </x:c>
      <x:c r="H172" s="136" t="n">
        <x:v>2</x:v>
      </x:c>
      <x:c r="I172" s="136" t="str">
        <x:v>No se ha realizado ninguna acción en relación con la propiedad intelectual</x:v>
      </x:c>
      <x:c r="J172" s="136"/>
      <x:c r="K172" s="136" t="n">
        <x:v>63</x:v>
      </x:c>
      <x:c r="L172" s="136" t="str">
        <x:v>CALCULADORA TRL Y CRLS.xlsx</x:v>
      </x:c>
      <x:c r="M172" s="136" t="str">
        <x:v>Fuente interna; confirmar versión vigente</x:v>
      </x:c>
      <x:c r="N172" s="136"/>
    </x:row>
    <x:row r="173">
      <x:c r="A173" s="136" t="str">
        <x:v>TRL-C-169</x:v>
      </x:c>
      <x:c r="B173" s="136" t="str">
        <x:v>Farmacéutico</x:v>
      </x:c>
      <x:c r="C173" s="136" t="str">
        <x:v>FAR-07</x:v>
      </x:c>
      <x:c r="D173" s="136" t="str">
        <x:v>Propiedad Intelectual</x:v>
      </x:c>
      <x:c r="E173" s="152" t="n">
        <x:v>0.05</x:v>
      </x:c>
      <x:c r="F173" s="136" t="str">
        <x:v>¿En qué etapa de pruebas clínicas y validación en humanos se encuentra su invención ?</x:v>
      </x:c>
      <x:c r="G173" s="136" t="n">
        <x:v>3</x:v>
      </x:c>
      <x:c r="H173" s="136" t="n">
        <x:v>3</x:v>
      </x:c>
      <x:c r="I173" s="136" t="str">
        <x:v>Se ha explorado la viabilidad de protección y se han identificado posibles invenciones o áreas de protección</x:v>
      </x:c>
      <x:c r="J173" s="136" t="n">
        <x:v>3</x:v>
      </x:c>
      <x:c r="K173" s="136" t="n">
        <x:v>64</x:v>
      </x:c>
      <x:c r="L173" s="136" t="str">
        <x:v>CALCULADORA TRL Y CRLS.xlsx</x:v>
      </x:c>
      <x:c r="M173" s="136" t="str">
        <x:v>Fuente interna; confirmar versión vigente</x:v>
      </x:c>
      <x:c r="N173" s="136"/>
    </x:row>
    <x:row r="174">
      <x:c r="A174" s="136" t="str">
        <x:v>TRL-C-170</x:v>
      </x:c>
      <x:c r="B174" s="136" t="str">
        <x:v>Farmacéutico</x:v>
      </x:c>
      <x:c r="C174" s="136" t="str">
        <x:v>FAR-07</x:v>
      </x:c>
      <x:c r="D174" s="136" t="str">
        <x:v>Propiedad Intelectual</x:v>
      </x:c>
      <x:c r="E174" s="152" t="n">
        <x:v>0.05</x:v>
      </x:c>
      <x:c r="F174" s="136" t="str">
        <x:v>¿En qué etapa de pruebas clínicas y validación en humanos se encuentra su invención ?</x:v>
      </x:c>
      <x:c r="G174" s="136" t="n">
        <x:v>4</x:v>
      </x:c>
      <x:c r="H174" s="136" t="n">
        <x:v>5</x:v>
      </x:c>
      <x:c r="I174" s="136" t="str">
        <x:v>Se han preparado y presentado solicitudes de patentes en mercados clave o jurisdicciones estratégicas.</x:v>
      </x:c>
      <x:c r="J174" s="136" t="n">
        <x:v>4.5</x:v>
      </x:c>
      <x:c r="K174" s="136" t="n">
        <x:v>65</x:v>
      </x:c>
      <x:c r="L174" s="136" t="str">
        <x:v>CALCULADORA TRL Y CRLS.xlsx</x:v>
      </x:c>
      <x:c r="M174" s="136" t="str">
        <x:v>Fuente interna; confirmar versión vigente</x:v>
      </x:c>
      <x:c r="N174" s="136"/>
    </x:row>
    <x:row r="175">
      <x:c r="A175" s="136" t="str">
        <x:v>TRL-C-171</x:v>
      </x:c>
      <x:c r="B175" s="136" t="str">
        <x:v>Farmacéutico</x:v>
      </x:c>
      <x:c r="C175" s="136" t="str">
        <x:v>FAR-07</x:v>
      </x:c>
      <x:c r="D175" s="136" t="str">
        <x:v>Propiedad Intelectual</x:v>
      </x:c>
      <x:c r="E175" s="152" t="n">
        <x:v>0.05</x:v>
      </x:c>
      <x:c r="F175" s="136" t="str">
        <x:v>¿En qué etapa de pruebas clínicas y validación en humanos se encuentra su invención ?</x:v>
      </x:c>
      <x:c r="G175" s="136" t="n">
        <x:v>6</x:v>
      </x:c>
      <x:c r="H175" s="136" t="n">
        <x:v>7</x:v>
      </x:c>
      <x:c r="I175" s="136" t="str">
        <x:v>Patentes otorgadas con protección activa en mercados importantes, fortaleciendo la posición de PI.</x:v>
      </x:c>
      <x:c r="J175" s="136" t="n">
        <x:v>6.5</x:v>
      </x:c>
      <x:c r="K175" s="136" t="n">
        <x:v>66</x:v>
      </x:c>
      <x:c r="L175" s="136" t="str">
        <x:v>CALCULADORA TRL Y CRLS.xlsx</x:v>
      </x:c>
      <x:c r="M175" s="136" t="str">
        <x:v>Fuente interna; confirmar versión vigente</x:v>
      </x:c>
      <x:c r="N175" s="136"/>
    </x:row>
    <x:row r="176">
      <x:c r="A176" s="137" t="str">
        <x:v>TRL-C-172</x:v>
      </x:c>
      <x:c r="B176" s="137" t="str">
        <x:v>Farmacéutico</x:v>
      </x:c>
      <x:c r="C176" s="137" t="str">
        <x:v>FAR-07</x:v>
      </x:c>
      <x:c r="D176" s="137" t="str">
        <x:v>Propiedad Intelectual</x:v>
      </x:c>
      <x:c r="E176" s="153" t="n">
        <x:v>0.05</x:v>
      </x:c>
      <x:c r="F176" s="137" t="str">
        <x:v>¿En qué etapa de pruebas clínicas y validación en humanos se encuentra su invención ?</x:v>
      </x:c>
      <x:c r="G176" s="137" t="n">
        <x:v>8</x:v>
      </x:c>
      <x:c r="H176" s="137" t="n">
        <x:v>9</x:v>
      </x:c>
      <x:c r="I176" s="137" t="str">
        <x:v>La propiedad intelectual está asegurada globalmente con una estrategia consolidada para proteger y defender los activos en mercados clave.</x:v>
      </x:c>
      <x:c r="J176" s="137" t="n">
        <x:v>8.5</x:v>
      </x:c>
      <x:c r="K176" s="137" t="n">
        <x:v>67</x:v>
      </x:c>
      <x:c r="L176" s="137" t="str">
        <x:v>CALCULADORA TRL Y CRLS.xlsx</x:v>
      </x:c>
      <x:c r="M176" s="137" t="str">
        <x:v>Fuente interna; confirmar versión vigente</x:v>
      </x:c>
      <x:c r="N176" s="137"/>
    </x:row>
  </x:sheetData>
  <x:mergeCells>
    <x:mergeCell ref="A1:N1"/>
    <x:mergeCell ref="A2:N2"/>
  </x:mergeCells>
  <x:pageMargins left="0.7" right="0.7" top="0.75" bottom="0.75" header="0.3" footer="0.3"/>
  <x:tableParts count="1">
    <x:tablePart xmlns:r="http://schemas.openxmlformats.org/officeDocument/2006/relationships" r:id="Rc1ce3000b0284057"/>
  </x:tableParts>
</x:worksheet>
</file>

<file path=xl/worksheets/sheet13.xml><?xml version="1.0" encoding="utf-8"?>
<x:worksheet xmlns:x="http://schemas.openxmlformats.org/spreadsheetml/2006/main">
  <x:sheetFormatPr defaultRowHeight="15"/>
  <x:cols>
    <x:col min="1" max="1" width="14" hidden="0" customWidth="1"/>
    <x:col min="2" max="2" width="14" hidden="0" customWidth="1"/>
    <x:col min="3" max="3" width="38" hidden="0" customWidth="1"/>
    <x:col min="4" max="4" width="9" hidden="0" customWidth="1"/>
    <x:col min="5" max="5" width="46" hidden="0" customWidth="1"/>
    <x:col min="6" max="6" width="10" hidden="0" customWidth="1"/>
    <x:col min="7" max="7" width="62" hidden="0" customWidth="1"/>
    <x:col min="8" max="8" width="14" hidden="0" customWidth="1"/>
    <x:col min="9" max="9" width="10" hidden="0" customWidth="1"/>
    <x:col min="10" max="10" width="28" hidden="0" customWidth="1"/>
    <x:col min="11" max="11" width="28" hidden="0" customWidth="1"/>
    <x:col min="12" max="12" width="28" hidden="0" customWidth="1"/>
  </x:cols>
  <x:sheetData>
    <x:row r="1" ht="28" customHeight="1">
      <x:c r="A1" s="157" t="str">
        <x:v>12 — CRITERIOS DETALLADOS DE CRL (CALCULADORA CEDIA)</x:v>
      </x:c>
      <x:c r="B1" s="157" t="str">
        <x:v>12 — CRITERIOS DETALLADOS DE CRL (CALCULADORA CEDIA)</x:v>
      </x:c>
      <x:c r="C1" s="157" t="str">
        <x:v>12 — CRITERIOS DETALLADOS DE CRL (CALCULADORA CEDIA)</x:v>
      </x:c>
      <x:c r="D1" s="157" t="str">
        <x:v>12 — CRITERIOS DETALLADOS DE CRL (CALCULADORA CEDIA)</x:v>
      </x:c>
      <x:c r="E1" s="157" t="str">
        <x:v>12 — CRITERIOS DETALLADOS DE CRL (CALCULADORA CEDIA)</x:v>
      </x:c>
      <x:c r="F1" s="157" t="str">
        <x:v>12 — CRITERIOS DETALLADOS DE CRL (CALCULADORA CEDIA)</x:v>
      </x:c>
      <x:c r="G1" s="157" t="str">
        <x:v>12 — CRITERIOS DETALLADOS DE CRL (CALCULADORA CEDIA)</x:v>
      </x:c>
      <x:c r="H1" s="157" t="str">
        <x:v>12 — CRITERIOS DETALLADOS DE CRL (CALCULADORA CEDIA)</x:v>
      </x:c>
      <x:c r="I1" s="157" t="str">
        <x:v>12 — CRITERIOS DETALLADOS DE CRL (CALCULADORA CEDIA)</x:v>
      </x:c>
      <x:c r="J1" s="157" t="str">
        <x:v>12 — CRITERIOS DETALLADOS DE CRL (CALCULADORA CEDIA)</x:v>
      </x:c>
      <x:c r="K1" s="157" t="str">
        <x:v>12 — CRITERIOS DETALLADOS DE CRL (CALCULADORA CEDIA)</x:v>
      </x:c>
      <x:c r="L1" s="157" t="str">
        <x:v>12 — CRITERIOS DETALLADOS DE CRL (CALCULADORA CEDIA)</x:v>
      </x:c>
    </x:row>
    <x:row r="2" ht="34" customHeight="1">
      <x:c r="A2" s="143" t="str">
        <x:v>Las tres dimensiones y sus pesos se extraen del archivo de calculadora. Una fila = un nivel CRL dentro de una dimensión.</x:v>
      </x:c>
      <x:c r="B2" s="143" t="str">
        <x:v>Las tres dimensiones y sus pesos se extraen del archivo de calculadora. Una fila = un nivel CRL dentro de una dimensión.</x:v>
      </x:c>
      <x:c r="C2" s="143" t="str">
        <x:v>Las tres dimensiones y sus pesos se extraen del archivo de calculadora. Una fila = un nivel CRL dentro de una dimensión.</x:v>
      </x:c>
      <x:c r="D2" s="143" t="str">
        <x:v>Las tres dimensiones y sus pesos se extraen del archivo de calculadora. Una fila = un nivel CRL dentro de una dimensión.</x:v>
      </x:c>
      <x:c r="E2" s="143" t="str">
        <x:v>Las tres dimensiones y sus pesos se extraen del archivo de calculadora. Una fila = un nivel CRL dentro de una dimensión.</x:v>
      </x:c>
      <x:c r="F2" s="143" t="str">
        <x:v>Las tres dimensiones y sus pesos se extraen del archivo de calculadora. Una fila = un nivel CRL dentro de una dimensión.</x:v>
      </x:c>
      <x:c r="G2" s="143" t="str">
        <x:v>Las tres dimensiones y sus pesos se extraen del archivo de calculadora. Una fila = un nivel CRL dentro de una dimensión.</x:v>
      </x:c>
      <x:c r="H2" s="143" t="str">
        <x:v>Las tres dimensiones y sus pesos se extraen del archivo de calculadora. Una fila = un nivel CRL dentro de una dimensión.</x:v>
      </x:c>
      <x:c r="I2" s="143" t="str">
        <x:v>Las tres dimensiones y sus pesos se extraen del archivo de calculadora. Una fila = un nivel CRL dentro de una dimensión.</x:v>
      </x:c>
      <x:c r="J2" s="143" t="str">
        <x:v>Las tres dimensiones y sus pesos se extraen del archivo de calculadora. Una fila = un nivel CRL dentro de una dimensión.</x:v>
      </x:c>
      <x:c r="K2" s="143" t="str">
        <x:v>Las tres dimensiones y sus pesos se extraen del archivo de calculadora. Una fila = un nivel CRL dentro de una dimensión.</x:v>
      </x:c>
      <x:c r="L2" s="143" t="str">
        <x:v>Las tres dimensiones y sus pesos se extraen del archivo de calculadora. Una fila = un nivel CRL dentro de una dimensión.</x:v>
      </x:c>
    </x:row>
    <x:row r="4" ht="34" customHeight="1">
      <x:c r="A4" s="129" t="str">
        <x:v>ID_CRITERIO</x:v>
      </x:c>
      <x:c r="B4" s="130" t="str">
        <x:v>ID_DIMENSION</x:v>
      </x:c>
      <x:c r="C4" s="130" t="str">
        <x:v>DIMENSION</x:v>
      </x:c>
      <x:c r="D4" s="130" t="str">
        <x:v>PESO</x:v>
      </x:c>
      <x:c r="E4" s="130" t="str">
        <x:v>PREGUNTA</x:v>
      </x:c>
      <x:c r="F4" s="130" t="str">
        <x:v>NIVEL_CRL</x:v>
      </x:c>
      <x:c r="G4" s="130" t="str">
        <x:v>CRITERIO_RESPUESTA</x:v>
      </x:c>
      <x:c r="H4" s="130" t="str">
        <x:v>PUNTAJE_REFERENCIA</x:v>
      </x:c>
      <x:c r="I4" s="130" t="str">
        <x:v>FILA_ORIGEN</x:v>
      </x:c>
      <x:c r="J4" s="130" t="str">
        <x:v>FUENTE</x:v>
      </x:c>
      <x:c r="K4" s="130" t="str">
        <x:v>ESTADO_VALIDACION</x:v>
      </x:c>
      <x:c r="L4" s="131" t="str">
        <x:v>NOTAS</x:v>
      </x:c>
    </x:row>
    <x:row r="5">
      <x:c r="A5" s="136" t="str">
        <x:v>CRL-C-001</x:v>
      </x:c>
      <x:c r="B5" s="136" t="str">
        <x:v>CRL-01</x:v>
      </x:c>
      <x:c r="C5" s="136" t="str">
        <x:v>Comprensión del Mercado y Necesidades del Cliente</x:v>
      </x:c>
      <x:c r="D5" s="152" t="n">
        <x:v>0.3</x:v>
      </x:c>
      <x:c r="E5" s="136" t="str">
        <x:v>¿En qué nivel de comprensión del mercado y validación de las necesidades del cliente se encuentra su producto o tecnología?</x:v>
      </x:c>
      <x:c r="F5" s="136" t="n">
        <x:v>1</x:v>
      </x:c>
      <x:c r="G5" s="136" t="str">
        <x:v>Solo se ha hipotetizado sobre posibles necesidades del mercado, sin claridad en las suposiciones.</x:v>
      </x:c>
      <x:c r="H5" s="136" t="n">
        <x:v>1</x:v>
      </x:c>
      <x:c r="I5" s="136" t="n">
        <x:v>4</x:v>
      </x:c>
      <x:c r="J5" s="136" t="str">
        <x:v>CALCULADORA TRL Y CRLS.xlsx</x:v>
      </x:c>
      <x:c r="K5" s="136" t="str">
        <x:v>Fuente interna; confirmar versión vigente</x:v>
      </x:c>
      <x:c r="L5" s="136" t="str"/>
    </x:row>
    <x:row r="6">
      <x:c r="A6" s="136" t="str">
        <x:v>CRL-C-002</x:v>
      </x:c>
      <x:c r="B6" s="136" t="str">
        <x:v>CRL-01</x:v>
      </x:c>
      <x:c r="C6" s="136" t="str">
        <x:v>Comprensión del Mercado y Necesidades del Cliente</x:v>
      </x:c>
      <x:c r="D6" s="152" t="n">
        <x:v>0.3</x:v>
      </x:c>
      <x:c r="E6" s="136" t="str">
        <x:v>¿En qué nivel de comprensión del mercado y validación de las necesidades del cliente se encuentra su producto o tecnología?</x:v>
      </x:c>
      <x:c r="F6" s="136" t="n">
        <x:v>2</x:v>
      </x:c>
      <x:c r="G6" s="136" t="str">
        <x:v>Se han identificado necesidades específicas en el mercado mediante estudios preliminares de fuentes secundarias.</x:v>
      </x:c>
      <x:c r="H6" s="136" t="n">
        <x:v>2</x:v>
      </x:c>
      <x:c r="I6" s="136" t="n">
        <x:v>5</x:v>
      </x:c>
      <x:c r="J6" s="136" t="str">
        <x:v>CALCULADORA TRL Y CRLS.xlsx</x:v>
      </x:c>
      <x:c r="K6" s="136" t="str">
        <x:v>Fuente interna; confirmar versión vigente</x:v>
      </x:c>
      <x:c r="L6" s="136" t="str"/>
    </x:row>
    <x:row r="7">
      <x:c r="A7" s="136" t="str">
        <x:v>CRL-C-003</x:v>
      </x:c>
      <x:c r="B7" s="136" t="str">
        <x:v>CRL-01</x:v>
      </x:c>
      <x:c r="C7" s="136" t="str">
        <x:v>Comprensión del Mercado y Necesidades del Cliente</x:v>
      </x:c>
      <x:c r="D7" s="152" t="n">
        <x:v>0.3</x:v>
      </x:c>
      <x:c r="E7" s="136" t="str">
        <x:v>¿En qué nivel de comprensión del mercado y validación de las necesidades del cliente se encuentra su producto o tecnología?</x:v>
      </x:c>
      <x:c r="F7" s="136" t="n">
        <x:v>3</x:v>
      </x:c>
      <x:c r="G7" s="136" t="str">
        <x:v>Se ha obtenido retroalimentación inicial de algunos posibles usuarios o expertos de la industria.</x:v>
      </x:c>
      <x:c r="H7" s="136" t="n">
        <x:v>3</x:v>
      </x:c>
      <x:c r="I7" s="136" t="n">
        <x:v>6</x:v>
      </x:c>
      <x:c r="J7" s="136" t="str">
        <x:v>CALCULADORA TRL Y CRLS.xlsx</x:v>
      </x:c>
      <x:c r="K7" s="136" t="str">
        <x:v>Fuente interna; confirmar versión vigente</x:v>
      </x:c>
      <x:c r="L7" s="136" t="str"/>
    </x:row>
    <x:row r="8">
      <x:c r="A8" s="136" t="str">
        <x:v>CRL-C-004</x:v>
      </x:c>
      <x:c r="B8" s="136" t="str">
        <x:v>CRL-01</x:v>
      </x:c>
      <x:c r="C8" s="136" t="str">
        <x:v>Comprensión del Mercado y Necesidades del Cliente</x:v>
      </x:c>
      <x:c r="D8" s="152" t="n">
        <x:v>0.3</x:v>
      </x:c>
      <x:c r="E8" s="136" t="str">
        <x:v>¿En qué nivel de comprensión del mercado y validación de las necesidades del cliente se encuentra su producto o tecnología?</x:v>
      </x:c>
      <x:c r="F8" s="136" t="n">
        <x:v>4</x:v>
      </x:c>
      <x:c r="G8" s="136" t="str">
        <x:v>Problemas o necesidades han sido confirmados por varios clientes o usuarios, y la segmentación de clientes es más precisa.</x:v>
      </x:c>
      <x:c r="H8" s="136" t="n">
        <x:v>4</x:v>
      </x:c>
      <x:c r="I8" s="136" t="n">
        <x:v>7</x:v>
      </x:c>
      <x:c r="J8" s="136" t="str">
        <x:v>CALCULADORA TRL Y CRLS.xlsx</x:v>
      </x:c>
      <x:c r="K8" s="136" t="str">
        <x:v>Fuente interna; confirmar versión vigente</x:v>
      </x:c>
      <x:c r="L8" s="136" t="str"/>
    </x:row>
    <x:row r="9">
      <x:c r="A9" s="136" t="str">
        <x:v>CRL-C-005</x:v>
      </x:c>
      <x:c r="B9" s="136" t="str">
        <x:v>CRL-01</x:v>
      </x:c>
      <x:c r="C9" s="136" t="str">
        <x:v>Comprensión del Mercado y Necesidades del Cliente</x:v>
      </x:c>
      <x:c r="D9" s="152" t="n">
        <x:v>0.3</x:v>
      </x:c>
      <x:c r="E9" s="136" t="str">
        <x:v>¿En qué nivel de comprensión del mercado y validación de las necesidades del cliente se encuentra su producto o tecnología?</x:v>
      </x:c>
      <x:c r="F9" s="136" t="n">
        <x:v>5</x:v>
      </x:c>
      <x:c r="G9" s="136" t="str">
        <x:v>Los clientes muestran interés general en el producto, y se ha confirmado un ajuste inicial problema-solución.</x:v>
      </x:c>
      <x:c r="H9" s="136" t="n">
        <x:v>5</x:v>
      </x:c>
      <x:c r="I9" s="136" t="n">
        <x:v>8</x:v>
      </x:c>
      <x:c r="J9" s="136" t="str">
        <x:v>CALCULADORA TRL Y CRLS.xlsx</x:v>
      </x:c>
      <x:c r="K9" s="136" t="str">
        <x:v>Fuente interna; confirmar versión vigente</x:v>
      </x:c>
      <x:c r="L9" s="136" t="str"/>
    </x:row>
    <x:row r="10">
      <x:c r="A10" s="136" t="str">
        <x:v>CRL-C-006</x:v>
      </x:c>
      <x:c r="B10" s="136" t="str">
        <x:v>CRL-01</x:v>
      </x:c>
      <x:c r="C10" s="136" t="str">
        <x:v>Comprensión del Mercado y Necesidades del Cliente</x:v>
      </x:c>
      <x:c r="D10" s="152" t="n">
        <x:v>0.3</x:v>
      </x:c>
      <x:c r="E10" s="136" t="str">
        <x:v>¿En qué nivel de comprensión del mercado y validación de las necesidades del cliente se encuentra su producto o tecnología?</x:v>
      </x:c>
      <x:c r="F10" s="136" t="n">
        <x:v>6</x:v>
      </x:c>
      <x:c r="G10" s="136" t="str">
        <x:v>Los beneficios del producto han sido confirmados mediante pruebas iniciales con clientes o alianzas estratégicas.</x:v>
      </x:c>
      <x:c r="H10" s="136" t="n">
        <x:v>6</x:v>
      </x:c>
      <x:c r="I10" s="136" t="n">
        <x:v>9</x:v>
      </x:c>
      <x:c r="J10" s="136" t="str">
        <x:v>CALCULADORA TRL Y CRLS.xlsx</x:v>
      </x:c>
      <x:c r="K10" s="136" t="str">
        <x:v>Fuente interna; confirmar versión vigente</x:v>
      </x:c>
      <x:c r="L10" s="136" t="str"/>
    </x:row>
    <x:row r="11">
      <x:c r="A11" s="136" t="str">
        <x:v>CRL-C-007</x:v>
      </x:c>
      <x:c r="B11" s="136" t="str">
        <x:v>CRL-01</x:v>
      </x:c>
      <x:c r="C11" s="136" t="str">
        <x:v>Comprensión del Mercado y Necesidades del Cliente</x:v>
      </x:c>
      <x:c r="D11" s="152" t="n">
        <x:v>0.3</x:v>
      </x:c>
      <x:c r="E11" s="136" t="str">
        <x:v>¿En qué nivel de comprensión del mercado y validación de las necesidades del cliente se encuentra su producto o tecnología?</x:v>
      </x:c>
      <x:c r="F11" s="136" t="n">
        <x:v>7</x:v>
      </x:c>
      <x:c r="G11" s="136" t="str">
        <x:v>Se han realizado pruebas extendidas del producto con clientes, o se han efectuado primeras ventas de prueba.</x:v>
      </x:c>
      <x:c r="H11" s="136" t="n">
        <x:v>7</x:v>
      </x:c>
      <x:c r="I11" s="136" t="n">
        <x:v>10</x:v>
      </x:c>
      <x:c r="J11" s="136" t="str">
        <x:v>CALCULADORA TRL Y CRLS.xlsx</x:v>
      </x:c>
      <x:c r="K11" s="136" t="str">
        <x:v>Fuente interna; confirmar versión vigente</x:v>
      </x:c>
      <x:c r="L11" s="136" t="str"/>
    </x:row>
    <x:row r="12">
      <x:c r="A12" s="136" t="str">
        <x:v>CRL-C-008</x:v>
      </x:c>
      <x:c r="B12" s="136" t="str">
        <x:v>CRL-01</x:v>
      </x:c>
      <x:c r="C12" s="136" t="str">
        <x:v>Comprensión del Mercado y Necesidades del Cliente</x:v>
      </x:c>
      <x:c r="D12" s="152" t="n">
        <x:v>0.3</x:v>
      </x:c>
      <x:c r="E12" s="136" t="str">
        <x:v>¿En qué nivel de comprensión del mercado y validación de las necesidades del cliente se encuentra su producto o tecnología?</x:v>
      </x:c>
      <x:c r="F12" s="136" t="n">
        <x:v>8</x:v>
      </x:c>
      <x:c r="G12" s="136" t="str">
        <x:v>Se han vendido los primeros productos, y se han implementado mayores esfuerzos de ventas estructuradas.</x:v>
      </x:c>
      <x:c r="H12" s="136" t="n">
        <x:v>8</x:v>
      </x:c>
      <x:c r="I12" s="136" t="n">
        <x:v>11</x:v>
      </x:c>
      <x:c r="J12" s="136" t="str">
        <x:v>CALCULADORA TRL Y CRLS.xlsx</x:v>
      </x:c>
      <x:c r="K12" s="136" t="str">
        <x:v>Fuente interna; confirmar versión vigente</x:v>
      </x:c>
      <x:c r="L12" s="136" t="str"/>
    </x:row>
    <x:row r="13">
      <x:c r="A13" s="136" t="str">
        <x:v>CRL-C-009</x:v>
      </x:c>
      <x:c r="B13" s="136" t="str">
        <x:v>CRL-01</x:v>
      </x:c>
      <x:c r="C13" s="136" t="str">
        <x:v>Comprensión del Mercado y Necesidades del Cliente</x:v>
      </x:c>
      <x:c r="D13" s="152" t="n">
        <x:v>0.3</x:v>
      </x:c>
      <x:c r="E13" s="136" t="str">
        <x:v>¿En qué nivel de comprensión del mercado y validación de las necesidades del cliente se encuentra su producto o tecnología?</x:v>
      </x:c>
      <x:c r="F13" s="136" t="n">
        <x:v>9</x:v>
      </x:c>
      <x:c r="G13" s="136" t="str">
        <x:v>Las ventas son generalizadas y escalables, con ventas repetitivas a varios clientes.</x:v>
      </x:c>
      <x:c r="H13" s="136" t="n">
        <x:v>9</x:v>
      </x:c>
      <x:c r="I13" s="136" t="n">
        <x:v>12</x:v>
      </x:c>
      <x:c r="J13" s="136" t="str">
        <x:v>CALCULADORA TRL Y CRLS.xlsx</x:v>
      </x:c>
      <x:c r="K13" s="136" t="str">
        <x:v>Fuente interna; confirmar versión vigente</x:v>
      </x:c>
      <x:c r="L13" s="136" t="str"/>
    </x:row>
    <x:row r="14">
      <x:c r="A14" s="136" t="str">
        <x:v>CRL-C-010</x:v>
      </x:c>
      <x:c r="B14" s="136" t="str">
        <x:v>CRL-02</x:v>
      </x:c>
      <x:c r="C14" s="136" t="str">
        <x:v>Nivel de Validación del Producto y Relación con el Cliente</x:v>
      </x:c>
      <x:c r="D14" s="152" t="n">
        <x:v>0.35</x:v>
      </x:c>
      <x:c r="E14" s="136" t="str">
        <x:v>¿En qué etapa de validación del producto y relación con los clientes se encuentra su proyecto o tecnología?</x:v>
      </x:c>
      <x:c r="F14" s="136" t="n">
        <x:v>1</x:v>
      </x:c>
      <x:c r="G14" s="136" t="str">
        <x:v>No existe validación, solo hipótesis sobre posibles problemas y clientes.</x:v>
      </x:c>
      <x:c r="H14" s="136" t="n">
        <x:v>1</x:v>
      </x:c>
      <x:c r="I14" s="136" t="n">
        <x:v>14</x:v>
      </x:c>
      <x:c r="J14" s="136" t="str">
        <x:v>CALCULADORA TRL Y CRLS.xlsx</x:v>
      </x:c>
      <x:c r="K14" s="136" t="str">
        <x:v>Fuente interna; confirmar versión vigente</x:v>
      </x:c>
      <x:c r="L14" s="136" t="str"/>
    </x:row>
    <x:row r="15">
      <x:c r="A15" s="136" t="str">
        <x:v>CRL-C-011</x:v>
      </x:c>
      <x:c r="B15" s="136" t="str">
        <x:v>CRL-02</x:v>
      </x:c>
      <x:c r="C15" s="136" t="str">
        <x:v>Nivel de Validación del Producto y Relación con el Cliente</x:v>
      </x:c>
      <x:c r="D15" s="152" t="n">
        <x:v>0.35</x:v>
      </x:c>
      <x:c r="E15" s="136" t="str">
        <x:v>¿En qué etapa de validación del producto y relación con los clientes se encuentra su proyecto o tecnología?</x:v>
      </x:c>
      <x:c r="F15" s="136" t="n">
        <x:v>2</x:v>
      </x:c>
      <x:c r="G15" s="136" t="str">
        <x:v>Existen ideas preliminares sobre clientes y problemas, pero sin validación.</x:v>
      </x:c>
      <x:c r="H15" s="136" t="n">
        <x:v>2</x:v>
      </x:c>
      <x:c r="I15" s="136" t="n">
        <x:v>15</x:v>
      </x:c>
      <x:c r="J15" s="136" t="str">
        <x:v>CALCULADORA TRL Y CRLS.xlsx</x:v>
      </x:c>
      <x:c r="K15" s="136" t="str">
        <x:v>Fuente interna; confirmar versión vigente</x:v>
      </x:c>
      <x:c r="L15" s="136" t="str"/>
    </x:row>
    <x:row r="16">
      <x:c r="A16" s="136" t="str">
        <x:v>CRL-C-012</x:v>
      </x:c>
      <x:c r="B16" s="136" t="str">
        <x:v>CRL-02</x:v>
      </x:c>
      <x:c r="C16" s="136" t="str">
        <x:v>Nivel de Validación del Producto y Relación con el Cliente</x:v>
      </x:c>
      <x:c r="D16" s="152" t="n">
        <x:v>0.35</x:v>
      </x:c>
      <x:c r="E16" s="136" t="str">
        <x:v>¿En qué etapa de validación del producto y relación con los clientes se encuentra su proyecto o tecnología?</x:v>
      </x:c>
      <x:c r="F16" s="136" t="n">
        <x:v>3</x:v>
      </x:c>
      <x:c r="G16" s="136" t="str">
        <x:v>Se ha recibido retroalimentación inicial de algunos contactos del mercado o expertos.</x:v>
      </x:c>
      <x:c r="H16" s="136" t="n">
        <x:v>3</x:v>
      </x:c>
      <x:c r="I16" s="136" t="n">
        <x:v>16</x:v>
      </x:c>
      <x:c r="J16" s="136" t="str">
        <x:v>CALCULADORA TRL Y CRLS.xlsx</x:v>
      </x:c>
      <x:c r="K16" s="136" t="str">
        <x:v>Fuente interna; confirmar versión vigente</x:v>
      </x:c>
      <x:c r="L16" s="136" t="str"/>
    </x:row>
    <x:row r="17">
      <x:c r="A17" s="136" t="str">
        <x:v>CRL-C-013</x:v>
      </x:c>
      <x:c r="B17" s="136" t="str">
        <x:v>CRL-02</x:v>
      </x:c>
      <x:c r="C17" s="136" t="str">
        <x:v>Nivel de Validación del Producto y Relación con el Cliente</x:v>
      </x:c>
      <x:c r="D17" s="152" t="n">
        <x:v>0.35</x:v>
      </x:c>
      <x:c r="E17" s="136" t="str">
        <x:v>¿En qué etapa de validación del producto y relación con los clientes se encuentra su proyecto o tecnología?</x:v>
      </x:c>
      <x:c r="F17" s="136" t="n">
        <x:v>4</x:v>
      </x:c>
      <x:c r="G17" s="136" t="str">
        <x:v>La necesidad y el problema han sido confirmados por varios usuarios o clientes potenciales.</x:v>
      </x:c>
      <x:c r="H17" s="136" t="n">
        <x:v>4</x:v>
      </x:c>
      <x:c r="I17" s="136" t="n">
        <x:v>17</x:v>
      </x:c>
      <x:c r="J17" s="136" t="str">
        <x:v>CALCULADORA TRL Y CRLS.xlsx</x:v>
      </x:c>
      <x:c r="K17" s="136" t="str">
        <x:v>Fuente interna; confirmar versión vigente</x:v>
      </x:c>
      <x:c r="L17" s="136" t="str"/>
    </x:row>
    <x:row r="18">
      <x:c r="A18" s="136" t="str">
        <x:v>CRL-C-014</x:v>
      </x:c>
      <x:c r="B18" s="136" t="str">
        <x:v>CRL-02</x:v>
      </x:c>
      <x:c r="C18" s="136" t="str">
        <x:v>Nivel de Validación del Producto y Relación con el Cliente</x:v>
      </x:c>
      <x:c r="D18" s="152" t="n">
        <x:v>0.35</x:v>
      </x:c>
      <x:c r="E18" s="136" t="str">
        <x:v>¿En qué etapa de validación del producto y relación con los clientes se encuentra su proyecto o tecnología?</x:v>
      </x:c>
      <x:c r="F18" s="136" t="n">
        <x:v>5</x:v>
      </x:c>
      <x:c r="G18" s="136" t="str">
        <x:v>Los clientes muestran un interés inicial en el producto, y se han establecido relaciones básicas con ellos.</x:v>
      </x:c>
      <x:c r="H18" s="136" t="n">
        <x:v>5</x:v>
      </x:c>
      <x:c r="I18" s="136" t="n">
        <x:v>18</x:v>
      </x:c>
      <x:c r="J18" s="136" t="str">
        <x:v>CALCULADORA TRL Y CRLS.xlsx</x:v>
      </x:c>
      <x:c r="K18" s="136" t="str">
        <x:v>Fuente interna; confirmar versión vigente</x:v>
      </x:c>
      <x:c r="L18" s="136" t="str"/>
    </x:row>
    <x:row r="19">
      <x:c r="A19" s="136" t="str">
        <x:v>CRL-C-015</x:v>
      </x:c>
      <x:c r="B19" s="136" t="str">
        <x:v>CRL-02</x:v>
      </x:c>
      <x:c r="C19" s="136" t="str">
        <x:v>Nivel de Validación del Producto y Relación con el Cliente</x:v>
      </x:c>
      <x:c r="D19" s="152" t="n">
        <x:v>0.35</x:v>
      </x:c>
      <x:c r="E19" s="136" t="str">
        <x:v>¿En qué etapa de validación del producto y relación con los clientes se encuentra su proyecto o tecnología?</x:v>
      </x:c>
      <x:c r="F19" s="136" t="n">
        <x:v>6</x:v>
      </x:c>
      <x:c r="G19" s="136" t="str">
        <x:v>Se han realizado pruebas iniciales con clientes que validan los beneficios del producto.</x:v>
      </x:c>
      <x:c r="H19" s="136" t="n">
        <x:v>6</x:v>
      </x:c>
      <x:c r="I19" s="136" t="n">
        <x:v>19</x:v>
      </x:c>
      <x:c r="J19" s="136" t="str">
        <x:v>CALCULADORA TRL Y CRLS.xlsx</x:v>
      </x:c>
      <x:c r="K19" s="136" t="str">
        <x:v>Fuente interna; confirmar versión vigente</x:v>
      </x:c>
      <x:c r="L19" s="136" t="str"/>
    </x:row>
    <x:row r="20">
      <x:c r="A20" s="136" t="str">
        <x:v>CRL-C-016</x:v>
      </x:c>
      <x:c r="B20" s="136" t="str">
        <x:v>CRL-02</x:v>
      </x:c>
      <x:c r="C20" s="136" t="str">
        <x:v>Nivel de Validación del Producto y Relación con el Cliente</x:v>
      </x:c>
      <x:c r="D20" s="152" t="n">
        <x:v>0.35</x:v>
      </x:c>
      <x:c r="E20" s="136" t="str">
        <x:v>¿En qué etapa de validación del producto y relación con los clientes se encuentra su proyecto o tecnología?</x:v>
      </x:c>
      <x:c r="F20" s="136" t="n">
        <x:v>7</x:v>
      </x:c>
      <x:c r="G20" s="136" t="str">
        <x:v>Se han establecido acuerdos con clientes para realizar pruebas extendidas o primeras ventas del producto.</x:v>
      </x:c>
      <x:c r="H20" s="136" t="n">
        <x:v>7</x:v>
      </x:c>
      <x:c r="I20" s="136" t="n">
        <x:v>20</x:v>
      </x:c>
      <x:c r="J20" s="136" t="str">
        <x:v>CALCULADORA TRL Y CRLS.xlsx</x:v>
      </x:c>
      <x:c r="K20" s="136" t="str">
        <x:v>Fuente interna; confirmar versión vigente</x:v>
      </x:c>
      <x:c r="L20" s="136" t="str"/>
    </x:row>
    <x:row r="21">
      <x:c r="A21" s="136" t="str">
        <x:v>CRL-C-017</x:v>
      </x:c>
      <x:c r="B21" s="136" t="str">
        <x:v>CRL-02</x:v>
      </x:c>
      <x:c r="C21" s="136" t="str">
        <x:v>Nivel de Validación del Producto y Relación con el Cliente</x:v>
      </x:c>
      <x:c r="D21" s="152" t="n">
        <x:v>0.35</x:v>
      </x:c>
      <x:c r="E21" s="136" t="str">
        <x:v>¿En qué etapa de validación del producto y relación con los clientes se encuentra su proyecto o tecnología?</x:v>
      </x:c>
      <x:c r="F21" s="136" t="n">
        <x:v>8</x:v>
      </x:c>
      <x:c r="G21" s="136" t="str">
        <x:v>Existen ventas iniciales a clientes y un proceso estructurado de ventas.</x:v>
      </x:c>
      <x:c r="H21" s="136" t="n">
        <x:v>8</x:v>
      </x:c>
      <x:c r="I21" s="136" t="n">
        <x:v>21</x:v>
      </x:c>
      <x:c r="J21" s="136" t="str">
        <x:v>CALCULADORA TRL Y CRLS.xlsx</x:v>
      </x:c>
      <x:c r="K21" s="136" t="str">
        <x:v>Fuente interna; confirmar versión vigente</x:v>
      </x:c>
      <x:c r="L21" s="136" t="str"/>
    </x:row>
    <x:row r="22">
      <x:c r="A22" s="136" t="str">
        <x:v>CRL-C-018</x:v>
      </x:c>
      <x:c r="B22" s="136" t="str">
        <x:v>CRL-02</x:v>
      </x:c>
      <x:c r="C22" s="136" t="str">
        <x:v>Nivel de Validación del Producto y Relación con el Cliente</x:v>
      </x:c>
      <x:c r="D22" s="152" t="n">
        <x:v>0.35</x:v>
      </x:c>
      <x:c r="E22" s="136" t="str">
        <x:v>¿En qué etapa de validación del producto y relación con los clientes se encuentra su proyecto o tecnología?</x:v>
      </x:c>
      <x:c r="F22" s="136" t="n">
        <x:v>9</x:v>
      </x:c>
      <x:c r="G22" s="136" t="str">
        <x:v>Las ventas son escalables y repetitivas con varios clientes en el mercado.</x:v>
      </x:c>
      <x:c r="H22" s="136" t="n">
        <x:v>9</x:v>
      </x:c>
      <x:c r="I22" s="136" t="n">
        <x:v>22</x:v>
      </x:c>
      <x:c r="J22" s="136" t="str">
        <x:v>CALCULADORA TRL Y CRLS.xlsx</x:v>
      </x:c>
      <x:c r="K22" s="136" t="str">
        <x:v>Fuente interna; confirmar versión vigente</x:v>
      </x:c>
      <x:c r="L22" s="136" t="str"/>
    </x:row>
    <x:row r="23">
      <x:c r="A23" s="136" t="str">
        <x:v>CRL-C-019</x:v>
      </x:c>
      <x:c r="B23" s="136" t="str">
        <x:v>CRL-03</x:v>
      </x:c>
      <x:c r="C23" s="136" t="str">
        <x:v>Desarrollo Comercial y Escalabilidad de Ventas</x:v>
      </x:c>
      <x:c r="D23" s="152" t="n">
        <x:v>0.35</x:v>
      </x:c>
      <x:c r="E23" s="136" t="str">
        <x:v>¿En qué etapa de desarrollo comercial y escalabilidad de ventas se encuentra su tecnología o producto?</x:v>
      </x:c>
      <x:c r="F23" s="136" t="n">
        <x:v>1</x:v>
      </x:c>
      <x:c r="G23" s="136" t="str">
        <x:v>La tecnología está en una fase teórica, sin actividades de desarrollo comercial.</x:v>
      </x:c>
      <x:c r="H23" s="136" t="n">
        <x:v>1</x:v>
      </x:c>
      <x:c r="I23" s="136" t="n">
        <x:v>24</x:v>
      </x:c>
      <x:c r="J23" s="136" t="str">
        <x:v>CALCULADORA TRL Y CRLS.xlsx</x:v>
      </x:c>
      <x:c r="K23" s="136" t="str">
        <x:v>Fuente interna; confirmar versión vigente</x:v>
      </x:c>
      <x:c r="L23" s="136" t="str"/>
    </x:row>
    <x:row r="24">
      <x:c r="A24" s="136" t="str">
        <x:v>CRL-C-020</x:v>
      </x:c>
      <x:c r="B24" s="136" t="str">
        <x:v>CRL-03</x:v>
      </x:c>
      <x:c r="C24" s="136" t="str">
        <x:v>Desarrollo Comercial y Escalabilidad de Ventas</x:v>
      </x:c>
      <x:c r="D24" s="152" t="n">
        <x:v>0.35</x:v>
      </x:c>
      <x:c r="E24" s="136" t="str">
        <x:v>¿En qué etapa de desarrollo comercial y escalabilidad de ventas se encuentra su tecnología o producto?</x:v>
      </x:c>
      <x:c r="F24" s="136" t="n">
        <x:v>2</x:v>
      </x:c>
      <x:c r="G24" s="136" t="str">
        <x:v>Se ha realizado una investigación preliminar del mercado, pero sin un plan de desarrollo comercial.</x:v>
      </x:c>
      <x:c r="H24" s="136" t="n">
        <x:v>2</x:v>
      </x:c>
      <x:c r="I24" s="136" t="n">
        <x:v>25</x:v>
      </x:c>
      <x:c r="J24" s="136" t="str">
        <x:v>CALCULADORA TRL Y CRLS.xlsx</x:v>
      </x:c>
      <x:c r="K24" s="136" t="str">
        <x:v>Fuente interna; confirmar versión vigente</x:v>
      </x:c>
      <x:c r="L24" s="136" t="str"/>
    </x:row>
    <x:row r="25">
      <x:c r="A25" s="136" t="str">
        <x:v>CRL-C-021</x:v>
      </x:c>
      <x:c r="B25" s="136" t="str">
        <x:v>CRL-03</x:v>
      </x:c>
      <x:c r="C25" s="136" t="str">
        <x:v>Desarrollo Comercial y Escalabilidad de Ventas</x:v>
      </x:c>
      <x:c r="D25" s="152" t="n">
        <x:v>0.35</x:v>
      </x:c>
      <x:c r="E25" s="136" t="str">
        <x:v>¿En qué etapa de desarrollo comercial y escalabilidad de ventas se encuentra su tecnología o producto?</x:v>
      </x:c>
      <x:c r="F25" s="136" t="n">
        <x:v>3</x:v>
      </x:c>
      <x:c r="G25" s="136" t="str">
        <x:v>Existe una comprensión básica de los segmentos de clientes y se ha iniciado el contacto con algunos.</x:v>
      </x:c>
      <x:c r="H25" s="136" t="n">
        <x:v>3</x:v>
      </x:c>
      <x:c r="I25" s="136" t="n">
        <x:v>26</x:v>
      </x:c>
      <x:c r="J25" s="136" t="str">
        <x:v>CALCULADORA TRL Y CRLS.xlsx</x:v>
      </x:c>
      <x:c r="K25" s="136" t="str">
        <x:v>Fuente interna; confirmar versión vigente</x:v>
      </x:c>
      <x:c r="L25" s="136" t="str"/>
    </x:row>
    <x:row r="26">
      <x:c r="A26" s="136" t="str">
        <x:v>CRL-C-022</x:v>
      </x:c>
      <x:c r="B26" s="136" t="str">
        <x:v>CRL-03</x:v>
      </x:c>
      <x:c r="C26" s="136" t="str">
        <x:v>Desarrollo Comercial y Escalabilidad de Ventas</x:v>
      </x:c>
      <x:c r="D26" s="152" t="n">
        <x:v>0.35</x:v>
      </x:c>
      <x:c r="E26" s="136" t="str">
        <x:v>¿En qué etapa de desarrollo comercial y escalabilidad de ventas se encuentra su tecnología o producto?</x:v>
      </x:c>
      <x:c r="F26" s="136" t="n">
        <x:v>4</x:v>
      </x:c>
      <x:c r="G26" s="136" t="str">
        <x:v>Se han establecido contactos con varios clientes potenciales y se ha recibido retroalimentación útil.</x:v>
      </x:c>
      <x:c r="H26" s="136" t="n">
        <x:v>4</x:v>
      </x:c>
      <x:c r="I26" s="136" t="n">
        <x:v>27</x:v>
      </x:c>
      <x:c r="J26" s="136" t="str">
        <x:v>CALCULADORA TRL Y CRLS.xlsx</x:v>
      </x:c>
      <x:c r="K26" s="136" t="str">
        <x:v>Fuente interna; confirmar versión vigente</x:v>
      </x:c>
      <x:c r="L26" s="136" t="str"/>
    </x:row>
    <x:row r="27">
      <x:c r="A27" s="136" t="str">
        <x:v>CRL-C-023</x:v>
      </x:c>
      <x:c r="B27" s="136" t="str">
        <x:v>CRL-03</x:v>
      </x:c>
      <x:c r="C27" s="136" t="str">
        <x:v>Desarrollo Comercial y Escalabilidad de Ventas</x:v>
      </x:c>
      <x:c r="D27" s="152" t="n">
        <x:v>0.35</x:v>
      </x:c>
      <x:c r="E27" s="136" t="str">
        <x:v>¿En qué etapa de desarrollo comercial y escalabilidad de ventas se encuentra su tecnología o producto?</x:v>
      </x:c>
      <x:c r="F27" s="136" t="n">
        <x:v>5</x:v>
      </x:c>
      <x:c r="G27" s="136" t="str">
        <x:v>Se ha confirmado un interés general de los clientes, y se han comenzado a desarrollar relaciones comerciales.</x:v>
      </x:c>
      <x:c r="H27" s="136" t="n">
        <x:v>5</x:v>
      </x:c>
      <x:c r="I27" s="136" t="n">
        <x:v>28</x:v>
      </x:c>
      <x:c r="J27" s="136" t="str">
        <x:v>CALCULADORA TRL Y CRLS.xlsx</x:v>
      </x:c>
      <x:c r="K27" s="136" t="str">
        <x:v>Fuente interna; confirmar versión vigente</x:v>
      </x:c>
      <x:c r="L27" s="136" t="str"/>
    </x:row>
    <x:row r="28">
      <x:c r="A28" s="136" t="str">
        <x:v>CRL-C-024</x:v>
      </x:c>
      <x:c r="B28" s="136" t="str">
        <x:v>CRL-03</x:v>
      </x:c>
      <x:c r="C28" s="136" t="str">
        <x:v>Desarrollo Comercial y Escalabilidad de Ventas</x:v>
      </x:c>
      <x:c r="D28" s="152" t="n">
        <x:v>0.35</x:v>
      </x:c>
      <x:c r="E28" s="136" t="str">
        <x:v>¿En qué etapa de desarrollo comercial y escalabilidad de ventas se encuentra su tecnología o producto?</x:v>
      </x:c>
      <x:c r="F28" s="136" t="n">
        <x:v>6</x:v>
      </x:c>
      <x:c r="G28" s="136" t="str">
        <x:v>Se han formado asociaciones con clientes o partes clave en la cadena de valor.</x:v>
      </x:c>
      <x:c r="H28" s="136" t="n">
        <x:v>6</x:v>
      </x:c>
      <x:c r="I28" s="136" t="n">
        <x:v>29</x:v>
      </x:c>
      <x:c r="J28" s="136" t="str">
        <x:v>CALCULADORA TRL Y CRLS.xlsx</x:v>
      </x:c>
      <x:c r="K28" s="136" t="str">
        <x:v>Fuente interna; confirmar versión vigente</x:v>
      </x:c>
      <x:c r="L28" s="136" t="str"/>
    </x:row>
    <x:row r="29">
      <x:c r="A29" s="136" t="str">
        <x:v>CRL-C-025</x:v>
      </x:c>
      <x:c r="B29" s="136" t="str">
        <x:v>CRL-03</x:v>
      </x:c>
      <x:c r="C29" s="136" t="str">
        <x:v>Desarrollo Comercial y Escalabilidad de Ventas</x:v>
      </x:c>
      <x:c r="D29" s="152" t="n">
        <x:v>0.35</x:v>
      </x:c>
      <x:c r="E29" s="136" t="str">
        <x:v>¿En qué etapa de desarrollo comercial y escalabilidad de ventas se encuentra su tecnología o producto?</x:v>
      </x:c>
      <x:c r="F29" s="136" t="n">
        <x:v>7</x:v>
      </x:c>
      <x:c r="G29" s="136" t="str">
        <x:v>Existen ventas de prueba o acuerdos iniciales de compra con clientes.</x:v>
      </x:c>
      <x:c r="H29" s="136" t="n">
        <x:v>7</x:v>
      </x:c>
      <x:c r="I29" s="136" t="n">
        <x:v>30</x:v>
      </x:c>
      <x:c r="J29" s="136" t="str">
        <x:v>CALCULADORA TRL Y CRLS.xlsx</x:v>
      </x:c>
      <x:c r="K29" s="136" t="str">
        <x:v>Fuente interna; confirmar versión vigente</x:v>
      </x:c>
      <x:c r="L29" s="136" t="str"/>
    </x:row>
    <x:row r="30">
      <x:c r="A30" s="136" t="str">
        <x:v>CRL-C-026</x:v>
      </x:c>
      <x:c r="B30" s="136" t="str">
        <x:v>CRL-03</x:v>
      </x:c>
      <x:c r="C30" s="136" t="str">
        <x:v>Desarrollo Comercial y Escalabilidad de Ventas</x:v>
      </x:c>
      <x:c r="D30" s="152" t="n">
        <x:v>0.35</x:v>
      </x:c>
      <x:c r="E30" s="136" t="str">
        <x:v>¿En qué etapa de desarrollo comercial y escalabilidad de ventas se encuentra su tecnología o producto?</x:v>
      </x:c>
      <x:c r="F30" s="136" t="n">
        <x:v>8</x:v>
      </x:c>
      <x:c r="G30" s="136" t="str">
        <x:v>Las ventas iniciales han comenzado, con esfuerzos estructurados para aumentar la comercialización.</x:v>
      </x:c>
      <x:c r="H30" s="136" t="n">
        <x:v>8</x:v>
      </x:c>
      <x:c r="I30" s="136" t="n">
        <x:v>31</x:v>
      </x:c>
      <x:c r="J30" s="136" t="str">
        <x:v>CALCULADORA TRL Y CRLS.xlsx</x:v>
      </x:c>
      <x:c r="K30" s="136" t="str">
        <x:v>Fuente interna; confirmar versión vigente</x:v>
      </x:c>
      <x:c r="L30" s="136" t="str"/>
    </x:row>
    <x:row r="31">
      <x:c r="A31" s="137" t="str">
        <x:v>CRL-C-027</x:v>
      </x:c>
      <x:c r="B31" s="137" t="str">
        <x:v>CRL-03</x:v>
      </x:c>
      <x:c r="C31" s="137" t="str">
        <x:v>Desarrollo Comercial y Escalabilidad de Ventas</x:v>
      </x:c>
      <x:c r="D31" s="153" t="n">
        <x:v>0.35</x:v>
      </x:c>
      <x:c r="E31" s="137" t="str">
        <x:v>¿En qué etapa de desarrollo comercial y escalabilidad de ventas se encuentra su tecnología o producto?</x:v>
      </x:c>
      <x:c r="F31" s="137" t="n">
        <x:v>9</x:v>
      </x:c>
      <x:c r="G31" s="137" t="str">
        <x:v>Las ventas están escalando en el mercado, con un enfoque en crecimiento y expansión.</x:v>
      </x:c>
      <x:c r="H31" s="137" t="n">
        <x:v>9</x:v>
      </x:c>
      <x:c r="I31" s="137" t="n">
        <x:v>32</x:v>
      </x:c>
      <x:c r="J31" s="137" t="str">
        <x:v>CALCULADORA TRL Y CRLS.xlsx</x:v>
      </x:c>
      <x:c r="K31" s="137" t="str">
        <x:v>Fuente interna; confirmar versión vigente</x:v>
      </x:c>
      <x:c r="L31" s="137" t="str"/>
    </x:row>
  </x:sheetData>
  <x:mergeCells>
    <x:mergeCell ref="A1:L1"/>
    <x:mergeCell ref="A2:L2"/>
  </x:mergeCells>
  <x:pageMargins left="0.7" right="0.7" top="0.75" bottom="0.75" header="0.3" footer="0.3"/>
  <x:tableParts count="1">
    <x:tablePart xmlns:r="http://schemas.openxmlformats.org/officeDocument/2006/relationships" r:id="R25fd8e8ef1614082"/>
  </x:tableParts>
</x:worksheet>
</file>

<file path=xl/worksheets/sheet14.xml><?xml version="1.0" encoding="utf-8"?>
<x:worksheet xmlns:x="http://schemas.openxmlformats.org/spreadsheetml/2006/main">
  <x:sheetFormatPr defaultRowHeight="15"/>
  <x:cols>
    <x:col min="1" max="1" width="14" hidden="0" customWidth="1"/>
    <x:col min="2" max="2" width="14" hidden="0" customWidth="1"/>
    <x:col min="3" max="3" width="38" hidden="0" customWidth="1"/>
    <x:col min="4" max="4" width="9" hidden="0" customWidth="1"/>
    <x:col min="5" max="5" width="66" hidden="0" customWidth="1"/>
    <x:col min="6" max="6" width="10" hidden="0" customWidth="1"/>
    <x:col min="7" max="7" width="24" hidden="0" customWidth="1"/>
    <x:col min="8" max="8" width="14" hidden="0" customWidth="1"/>
    <x:col min="9" max="9" width="14" hidden="0" customWidth="1"/>
    <x:col min="10" max="10" width="28" hidden="0" customWidth="1"/>
    <x:col min="11" max="11" width="28" hidden="0" customWidth="1"/>
  </x:cols>
  <x:sheetData>
    <x:row r="1" ht="28" customHeight="1">
      <x:c r="A1" s="157" t="str">
        <x:v>13 — CADENA DE VALOR DE LA INNOVACIÓN CEDIA</x:v>
      </x:c>
      <x:c r="B1" s="157" t="str">
        <x:v>13 — CADENA DE VALOR DE LA INNOVACIÓN CEDIA</x:v>
      </x:c>
      <x:c r="C1" s="157" t="str">
        <x:v>13 — CADENA DE VALOR DE LA INNOVACIÓN CEDIA</x:v>
      </x:c>
      <x:c r="D1" s="157" t="str">
        <x:v>13 — CADENA DE VALOR DE LA INNOVACIÓN CEDIA</x:v>
      </x:c>
      <x:c r="E1" s="157" t="str">
        <x:v>13 — CADENA DE VALOR DE LA INNOVACIÓN CEDIA</x:v>
      </x:c>
      <x:c r="F1" s="157" t="str">
        <x:v>13 — CADENA DE VALOR DE LA INNOVACIÓN CEDIA</x:v>
      </x:c>
      <x:c r="G1" s="157" t="str">
        <x:v>13 — CADENA DE VALOR DE LA INNOVACIÓN CEDIA</x:v>
      </x:c>
      <x:c r="H1" s="157" t="str">
        <x:v>13 — CADENA DE VALOR DE LA INNOVACIÓN CEDIA</x:v>
      </x:c>
      <x:c r="I1" s="157" t="str">
        <x:v>13 — CADENA DE VALOR DE LA INNOVACIÓN CEDIA</x:v>
      </x:c>
      <x:c r="J1" s="157" t="str">
        <x:v>13 — CADENA DE VALOR DE LA INNOVACIÓN CEDIA</x:v>
      </x:c>
      <x:c r="K1" s="157" t="str">
        <x:v>13 — CADENA DE VALOR DE LA INNOVACIÓN CEDIA</x:v>
      </x:c>
    </x:row>
    <x:row r="2" ht="34" customHeight="1">
      <x:c r="A2" s="143" t="str">
        <x:v>Normalización de la hoja «CADENA DE VALOR DE LA INNOVACIÓN» de la calculadora. Puede usarse como contexto institucional de la ruta, sin sustituir TRL/CRL.</x:v>
      </x:c>
      <x:c r="B2" s="143" t="str">
        <x:v>Normalización de la hoja «CADENA DE VALOR DE LA INNOVACIÓN» de la calculadora. Puede usarse como contexto institucional de la ruta, sin sustituir TRL/CRL.</x:v>
      </x:c>
      <x:c r="C2" s="143" t="str">
        <x:v>Normalización de la hoja «CADENA DE VALOR DE LA INNOVACIÓN» de la calculadora. Puede usarse como contexto institucional de la ruta, sin sustituir TRL/CRL.</x:v>
      </x:c>
      <x:c r="D2" s="143" t="str">
        <x:v>Normalización de la hoja «CADENA DE VALOR DE LA INNOVACIÓN» de la calculadora. Puede usarse como contexto institucional de la ruta, sin sustituir TRL/CRL.</x:v>
      </x:c>
      <x:c r="E2" s="143" t="str">
        <x:v>Normalización de la hoja «CADENA DE VALOR DE LA INNOVACIÓN» de la calculadora. Puede usarse como contexto institucional de la ruta, sin sustituir TRL/CRL.</x:v>
      </x:c>
      <x:c r="F2" s="143" t="str">
        <x:v>Normalización de la hoja «CADENA DE VALOR DE LA INNOVACIÓN» de la calculadora. Puede usarse como contexto institucional de la ruta, sin sustituir TRL/CRL.</x:v>
      </x:c>
      <x:c r="G2" s="143" t="str">
        <x:v>Normalización de la hoja «CADENA DE VALOR DE LA INNOVACIÓN» de la calculadora. Puede usarse como contexto institucional de la ruta, sin sustituir TRL/CRL.</x:v>
      </x:c>
      <x:c r="H2" s="143" t="str">
        <x:v>Normalización de la hoja «CADENA DE VALOR DE LA INNOVACIÓN» de la calculadora. Puede usarse como contexto institucional de la ruta, sin sustituir TRL/CRL.</x:v>
      </x:c>
      <x:c r="I2" s="143" t="str">
        <x:v>Normalización de la hoja «CADENA DE VALOR DE LA INNOVACIÓN» de la calculadora. Puede usarse como contexto institucional de la ruta, sin sustituir TRL/CRL.</x:v>
      </x:c>
      <x:c r="J2" s="143" t="str">
        <x:v>Normalización de la hoja «CADENA DE VALOR DE LA INNOVACIÓN» de la calculadora. Puede usarse como contexto institucional de la ruta, sin sustituir TRL/CRL.</x:v>
      </x:c>
      <x:c r="K2" s="143" t="str">
        <x:v>Normalización de la hoja «CADENA DE VALOR DE LA INNOVACIÓN» de la calculadora. Puede usarse como contexto institucional de la ruta, sin sustituir TRL/CRL.</x:v>
      </x:c>
    </x:row>
    <x:row r="4" ht="34" customHeight="1">
      <x:c r="A4" s="129" t="str">
        <x:v>ID_CRITERIO</x:v>
      </x:c>
      <x:c r="B4" s="130" t="str">
        <x:v>ID_DIMENSION</x:v>
      </x:c>
      <x:c r="C4" s="130" t="str">
        <x:v>DIMENSION</x:v>
      </x:c>
      <x:c r="D4" s="130" t="str">
        <x:v>PESO</x:v>
      </x:c>
      <x:c r="E4" s="130" t="str">
        <x:v>CRITERIO_RESPUESTA</x:v>
      </x:c>
      <x:c r="F4" s="130" t="str">
        <x:v>PUNTAJE</x:v>
      </x:c>
      <x:c r="G4" s="130" t="str">
        <x:v>ETAPA</x:v>
      </x:c>
      <x:c r="H4" s="130" t="str">
        <x:v>RANGO_ETAPA_MIN</x:v>
      </x:c>
      <x:c r="I4" s="130" t="str">
        <x:v>RANGO_ETAPA_MAX</x:v>
      </x:c>
      <x:c r="J4" s="130" t="str">
        <x:v>FUENTE</x:v>
      </x:c>
      <x:c r="K4" s="131" t="str">
        <x:v>ESTADO_VALIDACION</x:v>
      </x:c>
    </x:row>
    <x:row r="5">
      <x:c r="A5" s="136" t="str">
        <x:v>CAD-C-001</x:v>
      </x:c>
      <x:c r="B5" s="136" t="str">
        <x:v>CAD-02</x:v>
      </x:c>
      <x:c r="C5" s="136" t="str">
        <x:v>Estado del Concepto y Definición de la Idea</x:v>
      </x:c>
      <x:c r="D5" s="152" t="n">
        <x:v>0.5555555555555556</x:v>
      </x:c>
      <x:c r="E5" s="136" t="str">
        <x:v>Tengo una idea general o una oportunidad identificada, pero sin una solución concreta.</x:v>
      </x:c>
      <x:c r="F5" s="136" t="n">
        <x:v>2</x:v>
      </x:c>
      <x:c r="G5" s="136" t="str">
        <x:v>IDEACIÓN</x:v>
      </x:c>
      <x:c r="H5" s="136" t="n">
        <x:v>0</x:v>
      </x:c>
      <x:c r="I5" s="136" t="n">
        <x:v>17</x:v>
      </x:c>
      <x:c r="J5" s="136" t="str">
        <x:v>CALCULADORA TRL Y CRLS.xlsx</x:v>
      </x:c>
      <x:c r="K5" s="136" t="str">
        <x:v>Fuente interna; confirmar versión vigente</x:v>
      </x:c>
    </x:row>
    <x:row r="6">
      <x:c r="A6" s="136" t="str">
        <x:v>CAD-C-002</x:v>
      </x:c>
      <x:c r="B6" s="136" t="str">
        <x:v>CAD-02</x:v>
      </x:c>
      <x:c r="C6" s="136" t="str">
        <x:v>Estado del Concepto y Definición de la Idea</x:v>
      </x:c>
      <x:c r="D6" s="152" t="n">
        <x:v>0.5555555555555556</x:v>
      </x:c>
      <x:c r="E6" s="136" t="str">
        <x:v>La idea está definida y tengo una noción del problema que quiero resolver.</x:v>
      </x:c>
      <x:c r="F6" s="136" t="n">
        <x:v>5</x:v>
      </x:c>
      <x:c r="G6" s="136" t="str">
        <x:v>INVESTIGACIÓN</x:v>
      </x:c>
      <x:c r="H6" s="136" t="n">
        <x:v>18</x:v>
      </x:c>
      <x:c r="I6" s="136" t="n">
        <x:v>35</x:v>
      </x:c>
      <x:c r="J6" s="136" t="str">
        <x:v>CALCULADORA TRL Y CRLS.xlsx</x:v>
      </x:c>
      <x:c r="K6" s="136" t="str">
        <x:v>Fuente interna; confirmar versión vigente</x:v>
      </x:c>
    </x:row>
    <x:row r="7">
      <x:c r="A7" s="136" t="str">
        <x:v>CAD-C-003</x:v>
      </x:c>
      <x:c r="B7" s="136" t="str">
        <x:v>CAD-02</x:v>
      </x:c>
      <x:c r="C7" s="136" t="str">
        <x:v>Estado del Concepto y Definición de la Idea</x:v>
      </x:c>
      <x:c r="D7" s="152" t="n">
        <x:v>0.5555555555555556</x:v>
      </x:c>
      <x:c r="E7" s="136" t="str">
        <x:v>El concepto está detallado y se ha formulado un diseño preliminar de la solución.</x:v>
      </x:c>
      <x:c r="F7" s="136" t="n">
        <x:v>8</x:v>
      </x:c>
      <x:c r="G7" s="136" t="str">
        <x:v>PROTOTIPACIÓN</x:v>
      </x:c>
      <x:c r="H7" s="136" t="n">
        <x:v>36</x:v>
      </x:c>
      <x:c r="I7" s="136" t="n">
        <x:v>53</x:v>
      </x:c>
      <x:c r="J7" s="136" t="str">
        <x:v>CALCULADORA TRL Y CRLS.xlsx</x:v>
      </x:c>
      <x:c r="K7" s="136" t="str">
        <x:v>Fuente interna; confirmar versión vigente</x:v>
      </x:c>
    </x:row>
    <x:row r="8">
      <x:c r="A8" s="136" t="str">
        <x:v>CAD-C-004</x:v>
      </x:c>
      <x:c r="B8" s="136" t="str">
        <x:v>CAD-02</x:v>
      </x:c>
      <x:c r="C8" s="136" t="str">
        <x:v>Estado del Concepto y Definición de la Idea</x:v>
      </x:c>
      <x:c r="D8" s="152" t="n">
        <x:v>0.5555555555555556</x:v>
      </x:c>
      <x:c r="E8" s="136" t="str">
        <x:v>La solución está claramente definida y respaldada por pruebas conceptuales.</x:v>
      </x:c>
      <x:c r="F8" s="136" t="n">
        <x:v>10</x:v>
      </x:c>
      <x:c r="G8" s="136" t="str">
        <x:v>VINCULACIÓN</x:v>
      </x:c>
      <x:c r="H8" s="136" t="n">
        <x:v>54</x:v>
      </x:c>
      <x:c r="I8" s="136" t="n">
        <x:v>71</x:v>
      </x:c>
      <x:c r="J8" s="136" t="str">
        <x:v>CALCULADORA TRL Y CRLS.xlsx</x:v>
      </x:c>
      <x:c r="K8" s="136" t="str">
        <x:v>Fuente interna; confirmar versión vigente</x:v>
      </x:c>
    </x:row>
    <x:row r="9">
      <x:c r="A9" s="136" t="str">
        <x:v>CAD-C-005</x:v>
      </x:c>
      <x:c r="B9" s="136" t="str">
        <x:v>CAD-02</x:v>
      </x:c>
      <x:c r="C9" s="136" t="str">
        <x:v>Estado del Concepto y Definición de la Idea</x:v>
      </x:c>
      <x:c r="D9" s="152" t="n">
        <x:v>0.5555555555555556</x:v>
      </x:c>
      <x:c r="E9" s="136" t="str">
        <x:v>La idea está protegida formalmente mediante propiedad intelectual.</x:v>
      </x:c>
      <x:c r="F9" s="136" t="n">
        <x:v>12</x:v>
      </x:c>
      <x:c r="G9" s="136" t="str">
        <x:v>PROPIEDAD INTELECTUAL</x:v>
      </x:c>
      <x:c r="H9" s="136" t="n">
        <x:v>72</x:v>
      </x:c>
      <x:c r="I9" s="136" t="n">
        <x:v>89</x:v>
      </x:c>
      <x:c r="J9" s="136" t="str">
        <x:v>CALCULADORA TRL Y CRLS.xlsx</x:v>
      </x:c>
      <x:c r="K9" s="136" t="str">
        <x:v>Fuente interna; confirmar versión vigente</x:v>
      </x:c>
    </x:row>
    <x:row r="10">
      <x:c r="A10" s="136" t="str">
        <x:v>CAD-C-006</x:v>
      </x:c>
      <x:c r="B10" s="136" t="str">
        <x:v>CAD-02</x:v>
      </x:c>
      <x:c r="C10" s="136" t="str">
        <x:v>Estado del Concepto y Definición de la Idea</x:v>
      </x:c>
      <x:c r="D10" s="152" t="n">
        <x:v>0.5555555555555556</x:v>
      </x:c>
      <x:c r="E10" s="136" t="str">
        <x:v>La solución se ha lanzado en un mercado inicial y existen clientes interesados.</x:v>
      </x:c>
      <x:c r="F10" s="136" t="n">
        <x:v>15</x:v>
      </x:c>
      <x:c r="G10" s="136" t="str">
        <x:v>TRANSFERENCIA</x:v>
      </x:c>
      <x:c r="H10" s="136" t="n">
        <x:v>90</x:v>
      </x:c>
      <x:c r="I10" s="136" t="n">
        <x:v>107</x:v>
      </x:c>
      <x:c r="J10" s="136" t="str">
        <x:v>CALCULADORA TRL Y CRLS.xlsx</x:v>
      </x:c>
      <x:c r="K10" s="136" t="str">
        <x:v>Fuente interna; confirmar versión vigente</x:v>
      </x:c>
    </x:row>
    <x:row r="11">
      <x:c r="A11" s="136" t="str">
        <x:v>CAD-C-007</x:v>
      </x:c>
      <x:c r="B11" s="136" t="str">
        <x:v>CAD-02</x:v>
      </x:c>
      <x:c r="C11" s="136" t="str">
        <x:v>Estado del Concepto y Definición de la Idea</x:v>
      </x:c>
      <x:c r="D11" s="152" t="n">
        <x:v>0.5555555555555556</x:v>
      </x:c>
      <x:c r="E11" s="136" t="str">
        <x:v>La solución es ampliamente conocida y aceptada en el mercado.</x:v>
      </x:c>
      <x:c r="F11" s="136" t="n">
        <x:v>18</x:v>
      </x:c>
      <x:c r="G11" s="136" t="str">
        <x:v>DIFUSIÓN CIENTÍFICA</x:v>
      </x:c>
      <x:c r="H11" s="136" t="n">
        <x:v>108</x:v>
      </x:c>
      <x:c r="I11" s="136" t="n">
        <x:v>126</x:v>
      </x:c>
      <x:c r="J11" s="136" t="str">
        <x:v>CALCULADORA TRL Y CRLS.xlsx</x:v>
      </x:c>
      <x:c r="K11" s="136" t="str">
        <x:v>Fuente interna; confirmar versión vigente</x:v>
      </x:c>
    </x:row>
    <x:row r="12">
      <x:c r="A12" s="136" t="str">
        <x:v>CAD-C-008</x:v>
      </x:c>
      <x:c r="B12" s="136" t="str">
        <x:v>CAD-03</x:v>
      </x:c>
      <x:c r="C12" s="136" t="str">
        <x:v>Validación Técnica y Estudios de Viabilidad</x:v>
      </x:c>
      <x:c r="D12" s="152" t="n">
        <x:v>0.2777777777777778</x:v>
      </x:c>
      <x:c r="E12" s="136" t="str">
        <x:v>No se ha realizado investigación formal; estoy en la fase exploratoria.</x:v>
      </x:c>
      <x:c r="F12" s="136" t="n">
        <x:v>2</x:v>
      </x:c>
      <x:c r="G12" s="136" t="str">
        <x:v>IDEACIÓN</x:v>
      </x:c>
      <x:c r="H12" s="136" t="n">
        <x:v>0</x:v>
      </x:c>
      <x:c r="I12" s="136" t="n">
        <x:v>17</x:v>
      </x:c>
      <x:c r="J12" s="136" t="str">
        <x:v>CALCULADORA TRL Y CRLS.xlsx</x:v>
      </x:c>
      <x:c r="K12" s="136" t="str">
        <x:v>Fuente interna; confirmar versión vigente</x:v>
      </x:c>
    </x:row>
    <x:row r="13">
      <x:c r="A13" s="136" t="str">
        <x:v>CAD-C-009</x:v>
      </x:c>
      <x:c r="B13" s="136" t="str">
        <x:v>CAD-03</x:v>
      </x:c>
      <x:c r="C13" s="136" t="str">
        <x:v>Validación Técnica y Estudios de Viabilidad</x:v>
      </x:c>
      <x:c r="D13" s="152" t="n">
        <x:v>0.2777777777777778</x:v>
      </x:c>
      <x:c r="E13" s="136" t="str">
        <x:v>He recopilado información secundaria que indica una posible viabilidad.</x:v>
      </x:c>
      <x:c r="F13" s="136" t="n">
        <x:v>5</x:v>
      </x:c>
      <x:c r="G13" s="136" t="str">
        <x:v>INVESTIGACIÓN</x:v>
      </x:c>
      <x:c r="H13" s="136" t="n">
        <x:v>18</x:v>
      </x:c>
      <x:c r="I13" s="136" t="n">
        <x:v>35</x:v>
      </x:c>
      <x:c r="J13" s="136" t="str">
        <x:v>CALCULADORA TRL Y CRLS.xlsx</x:v>
      </x:c>
      <x:c r="K13" s="136" t="str">
        <x:v>Fuente interna; confirmar versión vigente</x:v>
      </x:c>
    </x:row>
    <x:row r="14">
      <x:c r="A14" s="136" t="str">
        <x:v>CAD-C-010</x:v>
      </x:c>
      <x:c r="B14" s="136" t="str">
        <x:v>CAD-03</x:v>
      </x:c>
      <x:c r="C14" s="136" t="str">
        <x:v>Validación Técnica y Estudios de Viabilidad</x:v>
      </x:c>
      <x:c r="D14" s="152" t="n">
        <x:v>0.2777777777777778</x:v>
      </x:c>
      <x:c r="E14" s="136" t="str">
        <x:v>He realizado pruebas iniciales de viabilidad en entornos controlados.</x:v>
      </x:c>
      <x:c r="F14" s="136" t="n">
        <x:v>8</x:v>
      </x:c>
      <x:c r="G14" s="136" t="str">
        <x:v>PROTOTIPACIÓN</x:v>
      </x:c>
      <x:c r="H14" s="136" t="n">
        <x:v>36</x:v>
      </x:c>
      <x:c r="I14" s="136" t="n">
        <x:v>53</x:v>
      </x:c>
      <x:c r="J14" s="136" t="str">
        <x:v>CALCULADORA TRL Y CRLS.xlsx</x:v>
      </x:c>
      <x:c r="K14" s="136" t="str">
        <x:v>Fuente interna; confirmar versión vigente</x:v>
      </x:c>
    </x:row>
    <x:row r="15">
      <x:c r="A15" s="136" t="str">
        <x:v>CAD-C-011</x:v>
      </x:c>
      <x:c r="B15" s="136" t="str">
        <x:v>CAD-03</x:v>
      </x:c>
      <x:c r="C15" s="136" t="str">
        <x:v>Validación Técnica y Estudios de Viabilidad</x:v>
      </x:c>
      <x:c r="D15" s="152" t="n">
        <x:v>0.2777777777777778</x:v>
      </x:c>
      <x:c r="E15" s="136" t="str">
        <x:v>La viabilidad técnica está comprobada mediante pruebas con usuarios.</x:v>
      </x:c>
      <x:c r="F15" s="136" t="n">
        <x:v>10</x:v>
      </x:c>
      <x:c r="G15" s="136" t="str">
        <x:v>VINCULACIÓN</x:v>
      </x:c>
      <x:c r="H15" s="136" t="n">
        <x:v>54</x:v>
      </x:c>
      <x:c r="I15" s="136" t="n">
        <x:v>71</x:v>
      </x:c>
      <x:c r="J15" s="136" t="str">
        <x:v>CALCULADORA TRL Y CRLS.xlsx</x:v>
      </x:c>
      <x:c r="K15" s="136" t="str">
        <x:v>Fuente interna; confirmar versión vigente</x:v>
      </x:c>
    </x:row>
    <x:row r="16">
      <x:c r="A16" s="136" t="str">
        <x:v>CAD-C-012</x:v>
      </x:c>
      <x:c r="B16" s="136" t="str">
        <x:v>CAD-03</x:v>
      </x:c>
      <x:c r="C16" s="136" t="str">
        <x:v>Validación Técnica y Estudios de Viabilidad</x:v>
      </x:c>
      <x:c r="D16" s="152" t="n">
        <x:v>0.2777777777777778</x:v>
      </x:c>
      <x:c r="E16" s="136" t="str">
        <x:v>Los resultados técnicos se han protegido mediante derechos de propiedad intelectual</x:v>
      </x:c>
      <x:c r="F16" s="136" t="n">
        <x:v>12</x:v>
      </x:c>
      <x:c r="G16" s="136" t="str">
        <x:v>PROPIEDAD INTELECTUAL</x:v>
      </x:c>
      <x:c r="H16" s="136" t="n">
        <x:v>72</x:v>
      </x:c>
      <x:c r="I16" s="136" t="n">
        <x:v>89</x:v>
      </x:c>
      <x:c r="J16" s="136" t="str">
        <x:v>CALCULADORA TRL Y CRLS.xlsx</x:v>
      </x:c>
      <x:c r="K16" s="136" t="str">
        <x:v>Fuente interna; confirmar versión vigente</x:v>
      </x:c>
    </x:row>
    <x:row r="17">
      <x:c r="A17" s="136" t="str">
        <x:v>CAD-C-013</x:v>
      </x:c>
      <x:c r="B17" s="136" t="str">
        <x:v>CAD-03</x:v>
      </x:c>
      <x:c r="C17" s="136" t="str">
        <x:v>Validación Técnica y Estudios de Viabilidad</x:v>
      </x:c>
      <x:c r="D17" s="152" t="n">
        <x:v>0.2777777777777778</x:v>
      </x:c>
      <x:c r="E17" s="136" t="str">
        <x:v>La viabilidad está validada por clientes a través de pruebas comerciales.</x:v>
      </x:c>
      <x:c r="F17" s="136" t="n">
        <x:v>15</x:v>
      </x:c>
      <x:c r="G17" s="136" t="str">
        <x:v>TRANSFERENCIA</x:v>
      </x:c>
      <x:c r="H17" s="136" t="n">
        <x:v>90</x:v>
      </x:c>
      <x:c r="I17" s="136" t="n">
        <x:v>107</x:v>
      </x:c>
      <x:c r="J17" s="136" t="str">
        <x:v>CALCULADORA TRL Y CRLS.xlsx</x:v>
      </x:c>
      <x:c r="K17" s="136" t="str">
        <x:v>Fuente interna; confirmar versión vigente</x:v>
      </x:c>
    </x:row>
    <x:row r="18">
      <x:c r="A18" s="136" t="str">
        <x:v>CAD-C-014</x:v>
      </x:c>
      <x:c r="B18" s="136" t="str">
        <x:v>CAD-03</x:v>
      </x:c>
      <x:c r="C18" s="136" t="str">
        <x:v>Validación Técnica y Estudios de Viabilidad</x:v>
      </x:c>
      <x:c r="D18" s="152" t="n">
        <x:v>0.2777777777777778</x:v>
      </x:c>
      <x:c r="E18" s="136" t="str">
        <x:v>Los resultados han sido compartidos con la comunidad científica en publicaciones.</x:v>
      </x:c>
      <x:c r="F18" s="136" t="n">
        <x:v>18</x:v>
      </x:c>
      <x:c r="G18" s="136" t="str">
        <x:v>DIFUSIÓN CIENTÍFICA</x:v>
      </x:c>
      <x:c r="H18" s="136" t="n">
        <x:v>108</x:v>
      </x:c>
      <x:c r="I18" s="136" t="n">
        <x:v>126</x:v>
      </x:c>
      <x:c r="J18" s="136" t="str">
        <x:v>CALCULADORA TRL Y CRLS.xlsx</x:v>
      </x:c>
      <x:c r="K18" s="136" t="str">
        <x:v>Fuente interna; confirmar versión vigente</x:v>
      </x:c>
    </x:row>
    <x:row r="19">
      <x:c r="A19" s="136" t="str">
        <x:v>CAD-C-015</x:v>
      </x:c>
      <x:c r="B19" s="136" t="str">
        <x:v>CAD-04</x:v>
      </x:c>
      <x:c r="C19" s="136" t="str">
        <x:v>Desarrollo del Prototipo</x:v>
      </x:c>
      <x:c r="D19" s="152" t="n">
        <x:v>0.2777777777777778</x:v>
      </x:c>
      <x:c r="E19" s="136" t="str">
        <x:v>Solo tengo un diseño conceptual y un esquema de la solución.</x:v>
      </x:c>
      <x:c r="F19" s="136" t="n">
        <x:v>2</x:v>
      </x:c>
      <x:c r="G19" s="136" t="str">
        <x:v>IDEACIÓN</x:v>
      </x:c>
      <x:c r="H19" s="136" t="n">
        <x:v>0</x:v>
      </x:c>
      <x:c r="I19" s="136" t="n">
        <x:v>17</x:v>
      </x:c>
      <x:c r="J19" s="136" t="str">
        <x:v>CALCULADORA TRL Y CRLS.xlsx</x:v>
      </x:c>
      <x:c r="K19" s="136" t="str">
        <x:v>Fuente interna; confirmar versión vigente</x:v>
      </x:c>
    </x:row>
    <x:row r="20">
      <x:c r="A20" s="136" t="str">
        <x:v>CAD-C-016</x:v>
      </x:c>
      <x:c r="B20" s="136" t="str">
        <x:v>CAD-04</x:v>
      </x:c>
      <x:c r="C20" s="136" t="str">
        <x:v>Desarrollo del Prototipo</x:v>
      </x:c>
      <x:c r="D20" s="152" t="n">
        <x:v>0.2777777777777778</x:v>
      </x:c>
      <x:c r="E20" s="136" t="str">
        <x:v>Estoy desarrollando un prototipo inicial para explorar la viabilidad técnica.</x:v>
      </x:c>
      <x:c r="F20" s="136" t="n">
        <x:v>5</x:v>
      </x:c>
      <x:c r="G20" s="136" t="str">
        <x:v>INVESTIGACIÓN</x:v>
      </x:c>
      <x:c r="H20" s="136" t="n">
        <x:v>18</x:v>
      </x:c>
      <x:c r="I20" s="136" t="n">
        <x:v>35</x:v>
      </x:c>
      <x:c r="J20" s="136" t="str">
        <x:v>CALCULADORA TRL Y CRLS.xlsx</x:v>
      </x:c>
      <x:c r="K20" s="136" t="str">
        <x:v>Fuente interna; confirmar versión vigente</x:v>
      </x:c>
    </x:row>
    <x:row r="21">
      <x:c r="A21" s="136" t="str">
        <x:v>CAD-C-017</x:v>
      </x:c>
      <x:c r="B21" s="136" t="str">
        <x:v>CAD-04</x:v>
      </x:c>
      <x:c r="C21" s="136" t="str">
        <x:v>Desarrollo del Prototipo</x:v>
      </x:c>
      <x:c r="D21" s="152" t="n">
        <x:v>0.2777777777777778</x:v>
      </x:c>
      <x:c r="E21" s="136" t="str">
        <x:v>Tengo un prototipo funcional en pruebas internas.</x:v>
      </x:c>
      <x:c r="F21" s="136" t="n">
        <x:v>8</x:v>
      </x:c>
      <x:c r="G21" s="136" t="str">
        <x:v>PROTOTIPACIÓN</x:v>
      </x:c>
      <x:c r="H21" s="136" t="n">
        <x:v>36</x:v>
      </x:c>
      <x:c r="I21" s="136" t="n">
        <x:v>53</x:v>
      </x:c>
      <x:c r="J21" s="136" t="str">
        <x:v>CALCULADORA TRL Y CRLS.xlsx</x:v>
      </x:c>
      <x:c r="K21" s="136" t="str">
        <x:v>Fuente interna; confirmar versión vigente</x:v>
      </x:c>
    </x:row>
    <x:row r="22">
      <x:c r="A22" s="136" t="str">
        <x:v>CAD-C-018</x:v>
      </x:c>
      <x:c r="B22" s="136" t="str">
        <x:v>CAD-04</x:v>
      </x:c>
      <x:c r="C22" s="136" t="str">
        <x:v>Desarrollo del Prototipo</x:v>
      </x:c>
      <x:c r="D22" s="152" t="n">
        <x:v>0.2777777777777778</x:v>
      </x:c>
      <x:c r="E22" s="136" t="str">
        <x:v>El prototipo ha sido probado y validado con usuarios en un entorno real.</x:v>
      </x:c>
      <x:c r="F22" s="136" t="n">
        <x:v>10</x:v>
      </x:c>
      <x:c r="G22" s="136" t="str">
        <x:v>VINCULACIÓN</x:v>
      </x:c>
      <x:c r="H22" s="136" t="n">
        <x:v>54</x:v>
      </x:c>
      <x:c r="I22" s="136" t="n">
        <x:v>71</x:v>
      </x:c>
      <x:c r="J22" s="136" t="str">
        <x:v>CALCULADORA TRL Y CRLS.xlsx</x:v>
      </x:c>
      <x:c r="K22" s="136" t="str">
        <x:v>Fuente interna; confirmar versión vigente</x:v>
      </x:c>
    </x:row>
    <x:row r="23">
      <x:c r="A23" s="136" t="str">
        <x:v>CAD-C-019</x:v>
      </x:c>
      <x:c r="B23" s="136" t="str">
        <x:v>CAD-04</x:v>
      </x:c>
      <x:c r="C23" s="136" t="str">
        <x:v>Desarrollo del Prototipo</x:v>
      </x:c>
      <x:c r="D23" s="152" t="n">
        <x:v>0.2777777777777778</x:v>
      </x:c>
      <x:c r="E23" s="136" t="str">
        <x:v>El prototipo está protegido y registrado para evitar replicación.</x:v>
      </x:c>
      <x:c r="F23" s="136" t="n">
        <x:v>12</x:v>
      </x:c>
      <x:c r="G23" s="136" t="str">
        <x:v>PROPIEDAD INTELECTUAL</x:v>
      </x:c>
      <x:c r="H23" s="136" t="n">
        <x:v>72</x:v>
      </x:c>
      <x:c r="I23" s="136" t="n">
        <x:v>89</x:v>
      </x:c>
      <x:c r="J23" s="136" t="str">
        <x:v>CALCULADORA TRL Y CRLS.xlsx</x:v>
      </x:c>
      <x:c r="K23" s="136" t="str">
        <x:v>Fuente interna; confirmar versión vigente</x:v>
      </x:c>
    </x:row>
    <x:row r="24">
      <x:c r="A24" s="136" t="str">
        <x:v>CAD-C-020</x:v>
      </x:c>
      <x:c r="B24" s="136" t="str">
        <x:v>CAD-04</x:v>
      </x:c>
      <x:c r="C24" s="136" t="str">
        <x:v>Desarrollo del Prototipo</x:v>
      </x:c>
      <x:c r="D24" s="152" t="n">
        <x:v>0.2777777777777778</x:v>
      </x:c>
      <x:c r="E24" s="136" t="str">
        <x:v>La solución prototípica está en proceso de comercialización.</x:v>
      </x:c>
      <x:c r="F24" s="136" t="n">
        <x:v>15</x:v>
      </x:c>
      <x:c r="G24" s="136" t="str">
        <x:v>TRANSFERENCIA</x:v>
      </x:c>
      <x:c r="H24" s="136" t="n">
        <x:v>90</x:v>
      </x:c>
      <x:c r="I24" s="136" t="n">
        <x:v>107</x:v>
      </x:c>
      <x:c r="J24" s="136" t="str">
        <x:v>CALCULADORA TRL Y CRLS.xlsx</x:v>
      </x:c>
      <x:c r="K24" s="136" t="str">
        <x:v>Fuente interna; confirmar versión vigente</x:v>
      </x:c>
    </x:row>
    <x:row r="25">
      <x:c r="A25" s="136" t="str">
        <x:v>CAD-C-021</x:v>
      </x:c>
      <x:c r="B25" s="136" t="str">
        <x:v>CAD-04</x:v>
      </x:c>
      <x:c r="C25" s="136" t="str">
        <x:v>Desarrollo del Prototipo</x:v>
      </x:c>
      <x:c r="D25" s="152" t="n">
        <x:v>0.2777777777777778</x:v>
      </x:c>
      <x:c r="E25" s="136" t="str">
        <x:v>El prototipo final está consolidado y difundido en publicaciones científicas.</x:v>
      </x:c>
      <x:c r="F25" s="136" t="n">
        <x:v>18</x:v>
      </x:c>
      <x:c r="G25" s="136" t="str">
        <x:v>DIFUSIÓN CIENTÍFICA</x:v>
      </x:c>
      <x:c r="H25" s="136" t="n">
        <x:v>108</x:v>
      </x:c>
      <x:c r="I25" s="136" t="n">
        <x:v>126</x:v>
      </x:c>
      <x:c r="J25" s="136" t="str">
        <x:v>CALCULADORA TRL Y CRLS.xlsx</x:v>
      </x:c>
      <x:c r="K25" s="136" t="str">
        <x:v>Fuente interna; confirmar versión vigente</x:v>
      </x:c>
    </x:row>
    <x:row r="26">
      <x:c r="A26" s="136" t="str">
        <x:v>CAD-C-022</x:v>
      </x:c>
      <x:c r="B26" s="136" t="str">
        <x:v>CAD-05</x:v>
      </x:c>
      <x:c r="C26" s="136" t="str">
        <x:v>Interacción y Validación de Mercado</x:v>
      </x:c>
      <x:c r="D26" s="152" t="n">
        <x:v>1</x:v>
      </x:c>
      <x:c r="E26" s="136" t="str">
        <x:v>No hemos interactuado con clientes; estamos en fase de exploración de necesidades.</x:v>
      </x:c>
      <x:c r="F26" s="136" t="n">
        <x:v>2</x:v>
      </x:c>
      <x:c r="G26" s="136" t="str">
        <x:v>IDEACIÓN</x:v>
      </x:c>
      <x:c r="H26" s="136" t="n">
        <x:v>0</x:v>
      </x:c>
      <x:c r="I26" s="136" t="n">
        <x:v>17</x:v>
      </x:c>
      <x:c r="J26" s="136" t="str">
        <x:v>CALCULADORA TRL Y CRLS.xlsx</x:v>
      </x:c>
      <x:c r="K26" s="136" t="str">
        <x:v>Fuente interna; confirmar versión vigente</x:v>
      </x:c>
    </x:row>
    <x:row r="27">
      <x:c r="A27" s="136" t="str">
        <x:v>CAD-C-023</x:v>
      </x:c>
      <x:c r="B27" s="136" t="str">
        <x:v>CAD-05</x:v>
      </x:c>
      <x:c r="C27" s="136" t="str">
        <x:v>Interacción y Validación de Mercado</x:v>
      </x:c>
      <x:c r="D27" s="152" t="n">
        <x:v>1</x:v>
      </x:c>
      <x:c r="E27" s="136" t="str">
        <x:v>Se han realizado entrevistas para explorar necesidades generales.</x:v>
      </x:c>
      <x:c r="F27" s="136" t="n">
        <x:v>5</x:v>
      </x:c>
      <x:c r="G27" s="136" t="str">
        <x:v>INVESTIGACIÓN</x:v>
      </x:c>
      <x:c r="H27" s="136" t="n">
        <x:v>18</x:v>
      </x:c>
      <x:c r="I27" s="136" t="n">
        <x:v>35</x:v>
      </x:c>
      <x:c r="J27" s="136" t="str">
        <x:v>CALCULADORA TRL Y CRLS.xlsx</x:v>
      </x:c>
      <x:c r="K27" s="136" t="str">
        <x:v>Fuente interna; confirmar versión vigente</x:v>
      </x:c>
    </x:row>
    <x:row r="28">
      <x:c r="A28" s="136" t="str">
        <x:v>CAD-C-024</x:v>
      </x:c>
      <x:c r="B28" s="136" t="str">
        <x:v>CAD-05</x:v>
      </x:c>
      <x:c r="C28" s="136" t="str">
        <x:v>Interacción y Validación de Mercado</x:v>
      </x:c>
      <x:c r="D28" s="152" t="n">
        <x:v>1</x:v>
      </x:c>
      <x:c r="E28" s="136" t="str">
        <x:v>Tenemos retroalimentación de pruebas iniciales con usuarios específicos.</x:v>
      </x:c>
      <x:c r="F28" s="136" t="n">
        <x:v>8</x:v>
      </x:c>
      <x:c r="G28" s="136" t="str">
        <x:v>PROTOTIPACIÓN</x:v>
      </x:c>
      <x:c r="H28" s="136" t="n">
        <x:v>36</x:v>
      </x:c>
      <x:c r="I28" s="136" t="n">
        <x:v>53</x:v>
      </x:c>
      <x:c r="J28" s="136" t="str">
        <x:v>CALCULADORA TRL Y CRLS.xlsx</x:v>
      </x:c>
      <x:c r="K28" s="136" t="str">
        <x:v>Fuente interna; confirmar versión vigente</x:v>
      </x:c>
    </x:row>
    <x:row r="29">
      <x:c r="A29" s="136" t="str">
        <x:v>CAD-C-025</x:v>
      </x:c>
      <x:c r="B29" s="136" t="str">
        <x:v>CAD-05</x:v>
      </x:c>
      <x:c r="C29" s="136" t="str">
        <x:v>Interacción y Validación de Mercado</x:v>
      </x:c>
      <x:c r="D29" s="152" t="n">
        <x:v>1</x:v>
      </x:c>
      <x:c r="E29" s="136" t="str">
        <x:v>Realizamos pruebas piloto con usuarios clave para validar la solución.</x:v>
      </x:c>
      <x:c r="F29" s="136" t="n">
        <x:v>10</x:v>
      </x:c>
      <x:c r="G29" s="136" t="str">
        <x:v>VINCULACIÓN</x:v>
      </x:c>
      <x:c r="H29" s="136" t="n">
        <x:v>54</x:v>
      </x:c>
      <x:c r="I29" s="136" t="n">
        <x:v>71</x:v>
      </x:c>
      <x:c r="J29" s="136" t="str">
        <x:v>CALCULADORA TRL Y CRLS.xlsx</x:v>
      </x:c>
      <x:c r="K29" s="136" t="str">
        <x:v>Fuente interna; confirmar versión vigente</x:v>
      </x:c>
    </x:row>
    <x:row r="30">
      <x:c r="A30" s="136" t="str">
        <x:v>CAD-C-026</x:v>
      </x:c>
      <x:c r="B30" s="136" t="str">
        <x:v>CAD-05</x:v>
      </x:c>
      <x:c r="C30" s="136" t="str">
        <x:v>Interacción y Validación de Mercado</x:v>
      </x:c>
      <x:c r="D30" s="152" t="n">
        <x:v>1</x:v>
      </x:c>
      <x:c r="E30" s="136" t="str">
        <x:v>La solución está protegida y se han hecho acuerdos con usuarios clave.</x:v>
      </x:c>
      <x:c r="F30" s="136" t="n">
        <x:v>12</x:v>
      </x:c>
      <x:c r="G30" s="136" t="str">
        <x:v>PROPIEDAD INTELECTUAL</x:v>
      </x:c>
      <x:c r="H30" s="136" t="n">
        <x:v>72</x:v>
      </x:c>
      <x:c r="I30" s="136" t="n">
        <x:v>89</x:v>
      </x:c>
      <x:c r="J30" s="136" t="str">
        <x:v>CALCULADORA TRL Y CRLS.xlsx</x:v>
      </x:c>
      <x:c r="K30" s="136" t="str">
        <x:v>Fuente interna; confirmar versión vigente</x:v>
      </x:c>
    </x:row>
    <x:row r="31">
      <x:c r="A31" s="136" t="str">
        <x:v>CAD-C-027</x:v>
      </x:c>
      <x:c r="B31" s="136" t="str">
        <x:v>CAD-05</x:v>
      </x:c>
      <x:c r="C31" s="136" t="str">
        <x:v>Interacción y Validación de Mercado</x:v>
      </x:c>
      <x:c r="D31" s="152" t="n">
        <x:v>1</x:v>
      </x:c>
      <x:c r="E31" s="136" t="str">
        <x:v>Hemos lanzado el producto en un mercado inicial y recibido retroalimentación positiva.</x:v>
      </x:c>
      <x:c r="F31" s="136" t="n">
        <x:v>15</x:v>
      </x:c>
      <x:c r="G31" s="136" t="str">
        <x:v>TRANSFERENCIA</x:v>
      </x:c>
      <x:c r="H31" s="136" t="n">
        <x:v>90</x:v>
      </x:c>
      <x:c r="I31" s="136" t="n">
        <x:v>107</x:v>
      </x:c>
      <x:c r="J31" s="136" t="str">
        <x:v>CALCULADORA TRL Y CRLS.xlsx</x:v>
      </x:c>
      <x:c r="K31" s="136" t="str">
        <x:v>Fuente interna; confirmar versión vigente</x:v>
      </x:c>
    </x:row>
    <x:row r="32">
      <x:c r="A32" s="136" t="str">
        <x:v>CAD-C-028</x:v>
      </x:c>
      <x:c r="B32" s="136" t="str">
        <x:v>CAD-05</x:v>
      </x:c>
      <x:c r="C32" s="136" t="str">
        <x:v>Interacción y Validación de Mercado</x:v>
      </x:c>
      <x:c r="D32" s="152" t="n">
        <x:v>1</x:v>
      </x:c>
      <x:c r="E32" s="136" t="str">
        <x:v>La tecnología es ampliamente utilizada y validada en el mercado.</x:v>
      </x:c>
      <x:c r="F32" s="136" t="n">
        <x:v>18</x:v>
      </x:c>
      <x:c r="G32" s="136" t="str">
        <x:v>DIFUSIÓN CIENTÍFICA</x:v>
      </x:c>
      <x:c r="H32" s="136" t="n">
        <x:v>108</x:v>
      </x:c>
      <x:c r="I32" s="136" t="n">
        <x:v>126</x:v>
      </x:c>
      <x:c r="J32" s="136" t="str">
        <x:v>CALCULADORA TRL Y CRLS.xlsx</x:v>
      </x:c>
      <x:c r="K32" s="136" t="str">
        <x:v>Fuente interna; confirmar versión vigente</x:v>
      </x:c>
    </x:row>
    <x:row r="33">
      <x:c r="A33" s="136" t="str">
        <x:v>CAD-C-029</x:v>
      </x:c>
      <x:c r="B33" s="136" t="str">
        <x:v>CAD-06</x:v>
      </x:c>
      <x:c r="C33" s="136" t="str">
        <x:v>Estado de la Propiedad Intelectual</x:v>
      </x:c>
      <x:c r="D33" s="152" t="n">
        <x:v>0.2777777777777778</x:v>
      </x:c>
      <x:c r="E33" s="136" t="str">
        <x:v>No hemos considerado la protección de propiedad intelectual.</x:v>
      </x:c>
      <x:c r="F33" s="136" t="n">
        <x:v>2</x:v>
      </x:c>
      <x:c r="G33" s="136" t="str">
        <x:v>IDEACIÓN</x:v>
      </x:c>
      <x:c r="H33" s="136" t="n">
        <x:v>0</x:v>
      </x:c>
      <x:c r="I33" s="136" t="n">
        <x:v>17</x:v>
      </x:c>
      <x:c r="J33" s="136" t="str">
        <x:v>CALCULADORA TRL Y CRLS.xlsx</x:v>
      </x:c>
      <x:c r="K33" s="136" t="str">
        <x:v>Fuente interna; confirmar versión vigente</x:v>
      </x:c>
    </x:row>
    <x:row r="34">
      <x:c r="A34" s="136" t="str">
        <x:v>CAD-C-030</x:v>
      </x:c>
      <x:c r="B34" s="136" t="str">
        <x:v>CAD-06</x:v>
      </x:c>
      <x:c r="C34" s="136" t="str">
        <x:v>Estado de la Propiedad Intelectual</x:v>
      </x:c>
      <x:c r="D34" s="152" t="n">
        <x:v>0.2777777777777778</x:v>
      </x:c>
      <x:c r="E34" s="136" t="str">
        <x:v>Hemos realizado un análisis preliminar de libertad de operación.</x:v>
      </x:c>
      <x:c r="F34" s="136" t="n">
        <x:v>5</x:v>
      </x:c>
      <x:c r="G34" s="136" t="str">
        <x:v>INVESTIGACIÓN</x:v>
      </x:c>
      <x:c r="H34" s="136" t="n">
        <x:v>18</x:v>
      </x:c>
      <x:c r="I34" s="136" t="n">
        <x:v>35</x:v>
      </x:c>
      <x:c r="J34" s="136" t="str">
        <x:v>CALCULADORA TRL Y CRLS.xlsx</x:v>
      </x:c>
      <x:c r="K34" s="136" t="str">
        <x:v>Fuente interna; confirmar versión vigente</x:v>
      </x:c>
    </x:row>
    <x:row r="35">
      <x:c r="A35" s="136" t="str">
        <x:v>CAD-C-031</x:v>
      </x:c>
      <x:c r="B35" s="136" t="str">
        <x:v>CAD-06</x:v>
      </x:c>
      <x:c r="C35" s="136" t="str">
        <x:v>Estado de la Propiedad Intelectual</x:v>
      </x:c>
      <x:c r="D35" s="152" t="n">
        <x:v>0.2777777777777778</x:v>
      </x:c>
      <x:c r="E35" s="136" t="str">
        <x:v>Estamos en proceso de registro o solicitud de patentes.</x:v>
      </x:c>
      <x:c r="F35" s="136" t="n">
        <x:v>8</x:v>
      </x:c>
      <x:c r="G35" s="136" t="str">
        <x:v>PROTOTIPACIÓN</x:v>
      </x:c>
      <x:c r="H35" s="136" t="n">
        <x:v>36</x:v>
      </x:c>
      <x:c r="I35" s="136" t="n">
        <x:v>53</x:v>
      </x:c>
      <x:c r="J35" s="136" t="str">
        <x:v>CALCULADORA TRL Y CRLS.xlsx</x:v>
      </x:c>
      <x:c r="K35" s="136" t="str">
        <x:v>Fuente interna; confirmar versión vigente</x:v>
      </x:c>
    </x:row>
    <x:row r="36">
      <x:c r="A36" s="136" t="str">
        <x:v>CAD-C-032</x:v>
      </x:c>
      <x:c r="B36" s="136" t="str">
        <x:v>CAD-06</x:v>
      </x:c>
      <x:c r="C36" s="136" t="str">
        <x:v>Estado de la Propiedad Intelectual</x:v>
      </x:c>
      <x:c r="D36" s="152" t="n">
        <x:v>0.2777777777777778</x:v>
      </x:c>
      <x:c r="E36" s="136" t="str">
        <x:v>La solución cuenta con solicitudes de patentes en proceso en varios mercados.</x:v>
      </x:c>
      <x:c r="F36" s="136" t="n">
        <x:v>10</x:v>
      </x:c>
      <x:c r="G36" s="136" t="str">
        <x:v>VINCULACIÓN</x:v>
      </x:c>
      <x:c r="H36" s="136" t="n">
        <x:v>54</x:v>
      </x:c>
      <x:c r="I36" s="136" t="n">
        <x:v>71</x:v>
      </x:c>
      <x:c r="J36" s="136" t="str">
        <x:v>CALCULADORA TRL Y CRLS.xlsx</x:v>
      </x:c>
      <x:c r="K36" s="136" t="str">
        <x:v>Fuente interna; confirmar versión vigente</x:v>
      </x:c>
    </x:row>
    <x:row r="37">
      <x:c r="A37" s="136" t="str">
        <x:v>CAD-C-033</x:v>
      </x:c>
      <x:c r="B37" s="136" t="str">
        <x:v>CAD-06</x:v>
      </x:c>
      <x:c r="C37" s="136" t="str">
        <x:v>Estado de la Propiedad Intelectual</x:v>
      </x:c>
      <x:c r="D37" s="152" t="n">
        <x:v>0.2777777777777778</x:v>
      </x:c>
      <x:c r="E37" s="136" t="str">
        <x:v>La propiedad intelectual ha sido registrada en varios países.</x:v>
      </x:c>
      <x:c r="F37" s="136" t="n">
        <x:v>12</x:v>
      </x:c>
      <x:c r="G37" s="136" t="str">
        <x:v>PROPIEDAD INTELECTUAL</x:v>
      </x:c>
      <x:c r="H37" s="136" t="n">
        <x:v>72</x:v>
      </x:c>
      <x:c r="I37" s="136" t="n">
        <x:v>89</x:v>
      </x:c>
      <x:c r="J37" s="136" t="str">
        <x:v>CALCULADORA TRL Y CRLS.xlsx</x:v>
      </x:c>
      <x:c r="K37" s="136" t="str">
        <x:v>Fuente interna; confirmar versión vigente</x:v>
      </x:c>
    </x:row>
    <x:row r="38">
      <x:c r="A38" s="136" t="str">
        <x:v>CAD-C-034</x:v>
      </x:c>
      <x:c r="B38" s="136" t="str">
        <x:v>CAD-06</x:v>
      </x:c>
      <x:c r="C38" s="136" t="str">
        <x:v>Estado de la Propiedad Intelectual</x:v>
      </x:c>
      <x:c r="D38" s="152" t="n">
        <x:v>0.2777777777777778</x:v>
      </x:c>
      <x:c r="E38" s="136" t="str">
        <x:v>Hemos licenciado la propiedad intelectual a socios comerciales.</x:v>
      </x:c>
      <x:c r="F38" s="136" t="n">
        <x:v>15</x:v>
      </x:c>
      <x:c r="G38" s="136" t="str">
        <x:v>TRANSFERENCIA</x:v>
      </x:c>
      <x:c r="H38" s="136" t="n">
        <x:v>90</x:v>
      </x:c>
      <x:c r="I38" s="136" t="n">
        <x:v>107</x:v>
      </x:c>
      <x:c r="J38" s="136" t="str">
        <x:v>CALCULADORA TRL Y CRLS.xlsx</x:v>
      </x:c>
      <x:c r="K38" s="136" t="str">
        <x:v>Fuente interna; confirmar versión vigente</x:v>
      </x:c>
    </x:row>
    <x:row r="39">
      <x:c r="A39" s="136" t="str">
        <x:v>CAD-C-035</x:v>
      </x:c>
      <x:c r="B39" s="136" t="str">
        <x:v>CAD-06</x:v>
      </x:c>
      <x:c r="C39" s="136" t="str">
        <x:v>Estado de la Propiedad Intelectual</x:v>
      </x:c>
      <x:c r="D39" s="152" t="n">
        <x:v>0.2777777777777778</x:v>
      </x:c>
      <x:c r="E39" s="136" t="str">
        <x:v>La propiedad intelectual se ha compartido públicamente en publicaciones científicas.</x:v>
      </x:c>
      <x:c r="F39" s="136" t="n">
        <x:v>18</x:v>
      </x:c>
      <x:c r="G39" s="136" t="str">
        <x:v>DIFUSIÓN CIENTÍFICA</x:v>
      </x:c>
      <x:c r="H39" s="136" t="n">
        <x:v>108</x:v>
      </x:c>
      <x:c r="I39" s="136" t="n">
        <x:v>126</x:v>
      </x:c>
      <x:c r="J39" s="136" t="str">
        <x:v>CALCULADORA TRL Y CRLS.xlsx</x:v>
      </x:c>
      <x:c r="K39" s="136" t="str">
        <x:v>Fuente interna; confirmar versión vigente</x:v>
      </x:c>
    </x:row>
    <x:row r="40">
      <x:c r="A40" s="136" t="str">
        <x:v>CAD-C-036</x:v>
      </x:c>
      <x:c r="B40" s="136" t="str">
        <x:v>CAD-07</x:v>
      </x:c>
      <x:c r="C40" s="136" t="str">
        <x:v>Plan de Comercialización y Escalabilidad</x:v>
      </x:c>
      <x:c r="D40" s="152" t="n">
        <x:v>0.1111111111111111</x:v>
      </x:c>
      <x:c r="E40" s="136" t="str">
        <x:v>Solo tengo una noción básica del mercado sin un plan de comercialización.</x:v>
      </x:c>
      <x:c r="F40" s="136" t="n">
        <x:v>2</x:v>
      </x:c>
      <x:c r="G40" s="136" t="str">
        <x:v>IDEACIÓN</x:v>
      </x:c>
      <x:c r="H40" s="136" t="n">
        <x:v>0</x:v>
      </x:c>
      <x:c r="I40" s="136" t="n">
        <x:v>17</x:v>
      </x:c>
      <x:c r="J40" s="136" t="str">
        <x:v>CALCULADORA TRL Y CRLS.xlsx</x:v>
      </x:c>
      <x:c r="K40" s="136" t="str">
        <x:v>Fuente interna; confirmar versión vigente</x:v>
      </x:c>
    </x:row>
    <x:row r="41">
      <x:c r="A41" s="136" t="str">
        <x:v>CAD-C-037</x:v>
      </x:c>
      <x:c r="B41" s="136" t="str">
        <x:v>CAD-07</x:v>
      </x:c>
      <x:c r="C41" s="136" t="str">
        <x:v>Plan de Comercialización y Escalabilidad</x:v>
      </x:c>
      <x:c r="D41" s="152" t="n">
        <x:v>0.1111111111111111</x:v>
      </x:c>
      <x:c r="E41" s="136" t="str">
        <x:v>Estoy explorando el mercado y definiendo un plan preliminar de comercialización.</x:v>
      </x:c>
      <x:c r="F41" s="136" t="n">
        <x:v>5</x:v>
      </x:c>
      <x:c r="G41" s="136" t="str">
        <x:v>INVESTIGACIÓN</x:v>
      </x:c>
      <x:c r="H41" s="136" t="n">
        <x:v>18</x:v>
      </x:c>
      <x:c r="I41" s="136" t="n">
        <x:v>35</x:v>
      </x:c>
      <x:c r="J41" s="136" t="str">
        <x:v>CALCULADORA TRL Y CRLS.xlsx</x:v>
      </x:c>
      <x:c r="K41" s="136" t="str">
        <x:v>Fuente interna; confirmar versión vigente</x:v>
      </x:c>
    </x:row>
    <x:row r="42">
      <x:c r="A42" s="136" t="str">
        <x:v>CAD-C-038</x:v>
      </x:c>
      <x:c r="B42" s="136" t="str">
        <x:v>CAD-07</x:v>
      </x:c>
      <x:c r="C42" s="136" t="str">
        <x:v>Plan de Comercialización y Escalabilidad</x:v>
      </x:c>
      <x:c r="D42" s="152" t="n">
        <x:v>0.1111111111111111</x:v>
      </x:c>
      <x:c r="E42" s="136" t="str">
        <x:v>Se ha identificado un segmento de mercado objetivo y estamos en contacto inicial con clientes.</x:v>
      </x:c>
      <x:c r="F42" s="136" t="n">
        <x:v>8</x:v>
      </x:c>
      <x:c r="G42" s="136" t="str">
        <x:v>PROTOTIPACIÓN</x:v>
      </x:c>
      <x:c r="H42" s="136" t="n">
        <x:v>36</x:v>
      </x:c>
      <x:c r="I42" s="136" t="n">
        <x:v>53</x:v>
      </x:c>
      <x:c r="J42" s="136" t="str">
        <x:v>CALCULADORA TRL Y CRLS.xlsx</x:v>
      </x:c>
      <x:c r="K42" s="136" t="str">
        <x:v>Fuente interna; confirmar versión vigente</x:v>
      </x:c>
    </x:row>
    <x:row r="43">
      <x:c r="A43" s="136" t="str">
        <x:v>CAD-C-039</x:v>
      </x:c>
      <x:c r="B43" s="136" t="str">
        <x:v>CAD-07</x:v>
      </x:c>
      <x:c r="C43" s="136" t="str">
        <x:v>Plan de Comercialización y Escalabilidad</x:v>
      </x:c>
      <x:c r="D43" s="152" t="n">
        <x:v>0.1111111111111111</x:v>
      </x:c>
      <x:c r="E43" s="136" t="str">
        <x:v>La solución está en pruebas comerciales con clientes iniciales.</x:v>
      </x:c>
      <x:c r="F43" s="136" t="n">
        <x:v>10</x:v>
      </x:c>
      <x:c r="G43" s="136" t="str">
        <x:v>VINCULACIÓN</x:v>
      </x:c>
      <x:c r="H43" s="136" t="n">
        <x:v>54</x:v>
      </x:c>
      <x:c r="I43" s="136" t="n">
        <x:v>71</x:v>
      </x:c>
      <x:c r="J43" s="136" t="str">
        <x:v>CALCULADORA TRL Y CRLS.xlsx</x:v>
      </x:c>
      <x:c r="K43" s="136" t="str">
        <x:v>Fuente interna; confirmar versión vigente</x:v>
      </x:c>
    </x:row>
    <x:row r="44">
      <x:c r="A44" s="136" t="str">
        <x:v>CAD-C-040</x:v>
      </x:c>
      <x:c r="B44" s="136" t="str">
        <x:v>CAD-07</x:v>
      </x:c>
      <x:c r="C44" s="136" t="str">
        <x:v>Plan de Comercialización y Escalabilidad</x:v>
      </x:c>
      <x:c r="D44" s="152" t="n">
        <x:v>0.1111111111111111</x:v>
      </x:c>
      <x:c r="E44" s="136" t="str">
        <x:v>Contamos con una estrategia de comercialización clara para proteger el mercado.</x:v>
      </x:c>
      <x:c r="F44" s="136" t="n">
        <x:v>12</x:v>
      </x:c>
      <x:c r="G44" s="136" t="str">
        <x:v>PROPIEDAD INTELECTUAL</x:v>
      </x:c>
      <x:c r="H44" s="136" t="n">
        <x:v>72</x:v>
      </x:c>
      <x:c r="I44" s="136" t="n">
        <x:v>89</x:v>
      </x:c>
      <x:c r="J44" s="136" t="str">
        <x:v>CALCULADORA TRL Y CRLS.xlsx</x:v>
      </x:c>
      <x:c r="K44" s="136" t="str">
        <x:v>Fuente interna; confirmar versión vigente</x:v>
      </x:c>
    </x:row>
    <x:row r="45">
      <x:c r="A45" s="136" t="str">
        <x:v>CAD-C-041</x:v>
      </x:c>
      <x:c r="B45" s="136" t="str">
        <x:v>CAD-07</x:v>
      </x:c>
      <x:c r="C45" s="136" t="str">
        <x:v>Plan de Comercialización y Escalabilidad</x:v>
      </x:c>
      <x:c r="D45" s="152" t="n">
        <x:v>0.1111111111111111</x:v>
      </x:c>
      <x:c r="E45" s="136" t="str">
        <x:v>Hemos lanzado la solución en el mercado y estamos en crecimiento.</x:v>
      </x:c>
      <x:c r="F45" s="136" t="n">
        <x:v>15</x:v>
      </x:c>
      <x:c r="G45" s="136" t="str">
        <x:v>TRANSFERENCIA</x:v>
      </x:c>
      <x:c r="H45" s="136" t="n">
        <x:v>90</x:v>
      </x:c>
      <x:c r="I45" s="136" t="n">
        <x:v>107</x:v>
      </x:c>
      <x:c r="J45" s="136" t="str">
        <x:v>CALCULADORA TRL Y CRLS.xlsx</x:v>
      </x:c>
      <x:c r="K45" s="136" t="str">
        <x:v>Fuente interna; confirmar versión vigente</x:v>
      </x:c>
    </x:row>
    <x:row r="46">
      <x:c r="A46" s="136" t="str">
        <x:v>CAD-C-042</x:v>
      </x:c>
      <x:c r="B46" s="136" t="str">
        <x:v>CAD-07</x:v>
      </x:c>
      <x:c r="C46" s="136" t="str">
        <x:v>Plan de Comercialización y Escalabilidad</x:v>
      </x:c>
      <x:c r="D46" s="152" t="n">
        <x:v>0.1111111111111111</x:v>
      </x:c>
      <x:c r="E46" s="136" t="str">
        <x:v>El producto tiene una presencia sólida y escalable en varios mercados.</x:v>
      </x:c>
      <x:c r="F46" s="136" t="n">
        <x:v>18</x:v>
      </x:c>
      <x:c r="G46" s="136" t="str">
        <x:v>DIFUSIÓN CIENTÍFICA</x:v>
      </x:c>
      <x:c r="H46" s="136" t="n">
        <x:v>108</x:v>
      </x:c>
      <x:c r="I46" s="136" t="n">
        <x:v>126</x:v>
      </x:c>
      <x:c r="J46" s="136" t="str">
        <x:v>CALCULADORA TRL Y CRLS.xlsx</x:v>
      </x:c>
      <x:c r="K46" s="136" t="str">
        <x:v>Fuente interna; confirmar versión vigente</x:v>
      </x:c>
    </x:row>
    <x:row r="47">
      <x:c r="A47" s="136" t="str">
        <x:v>CAD-C-043</x:v>
      </x:c>
      <x:c r="B47" s="136" t="str">
        <x:v>CAD-08</x:v>
      </x:c>
      <x:c r="C47" s="136" t="str">
        <x:v>Difusión Científica y Visibilidad</x:v>
      </x:c>
      <x:c r="D47" s="152" t="n">
        <x:v>0.1111111111111111</x:v>
      </x:c>
      <x:c r="E47" s="136" t="str">
        <x:v>No hemos considerado la difusión científica; estamos en fase de desarrollo.</x:v>
      </x:c>
      <x:c r="F47" s="136" t="n">
        <x:v>2</x:v>
      </x:c>
      <x:c r="G47" s="136" t="str">
        <x:v>IDEACIÓN</x:v>
      </x:c>
      <x:c r="H47" s="136" t="n">
        <x:v>0</x:v>
      </x:c>
      <x:c r="I47" s="136" t="n">
        <x:v>17</x:v>
      </x:c>
      <x:c r="J47" s="136" t="str">
        <x:v>CALCULADORA TRL Y CRLS.xlsx</x:v>
      </x:c>
      <x:c r="K47" s="136" t="str">
        <x:v>Fuente interna; confirmar versión vigente</x:v>
      </x:c>
    </x:row>
    <x:row r="48">
      <x:c r="A48" s="136" t="str">
        <x:v>CAD-C-044</x:v>
      </x:c>
      <x:c r="B48" s="136" t="str">
        <x:v>CAD-08</x:v>
      </x:c>
      <x:c r="C48" s="136" t="str">
        <x:v>Difusión Científica y Visibilidad</x:v>
      </x:c>
      <x:c r="D48" s="152" t="n">
        <x:v>0.1111111111111111</x:v>
      </x:c>
      <x:c r="E48" s="136" t="str">
        <x:v>Tenemos resultados preliminares que podrían interesar a la comunidad científica.</x:v>
      </x:c>
      <x:c r="F48" s="136" t="n">
        <x:v>5</x:v>
      </x:c>
      <x:c r="G48" s="136" t="str">
        <x:v>INVESTIGACIÓN</x:v>
      </x:c>
      <x:c r="H48" s="136" t="n">
        <x:v>18</x:v>
      </x:c>
      <x:c r="I48" s="136" t="n">
        <x:v>35</x:v>
      </x:c>
      <x:c r="J48" s="136" t="str">
        <x:v>CALCULADORA TRL Y CRLS.xlsx</x:v>
      </x:c>
      <x:c r="K48" s="136" t="str">
        <x:v>Fuente interna; confirmar versión vigente</x:v>
      </x:c>
    </x:row>
    <x:row r="49">
      <x:c r="A49" s="136" t="str">
        <x:v>CAD-C-045</x:v>
      </x:c>
      <x:c r="B49" s="136" t="str">
        <x:v>CAD-08</x:v>
      </x:c>
      <x:c r="C49" s="136" t="str">
        <x:v>Difusión Científica y Visibilidad</x:v>
      </x:c>
      <x:c r="D49" s="152" t="n">
        <x:v>0.1111111111111111</x:v>
      </x:c>
      <x:c r="E49" s="136" t="str">
        <x:v>Los resultados iniciales han sido compartidos en conferencias o reuniones.</x:v>
      </x:c>
      <x:c r="F49" s="136" t="n">
        <x:v>8</x:v>
      </x:c>
      <x:c r="G49" s="136" t="str">
        <x:v>PROTOTIPACIÓN</x:v>
      </x:c>
      <x:c r="H49" s="136" t="n">
        <x:v>36</x:v>
      </x:c>
      <x:c r="I49" s="136" t="n">
        <x:v>53</x:v>
      </x:c>
      <x:c r="J49" s="136" t="str">
        <x:v>CALCULADORA TRL Y CRLS.xlsx</x:v>
      </x:c>
      <x:c r="K49" s="136" t="str">
        <x:v>Fuente interna; confirmar versión vigente</x:v>
      </x:c>
    </x:row>
    <x:row r="50">
      <x:c r="A50" s="136" t="str">
        <x:v>CAD-C-046</x:v>
      </x:c>
      <x:c r="B50" s="136" t="str">
        <x:v>CAD-08</x:v>
      </x:c>
      <x:c r="C50" s="136" t="str">
        <x:v>Difusión Científica y Visibilidad</x:v>
      </x:c>
      <x:c r="D50" s="152" t="n">
        <x:v>0.1111111111111111</x:v>
      </x:c>
      <x:c r="E50" s="136" t="str">
        <x:v>Tenemos datos de validación compartidos en foros especializados o publicaciones iniciales.</x:v>
      </x:c>
      <x:c r="F50" s="136" t="n">
        <x:v>10</x:v>
      </x:c>
      <x:c r="G50" s="136" t="str">
        <x:v>VINCULACIÓN</x:v>
      </x:c>
      <x:c r="H50" s="136" t="n">
        <x:v>54</x:v>
      </x:c>
      <x:c r="I50" s="136" t="n">
        <x:v>71</x:v>
      </x:c>
      <x:c r="J50" s="136" t="str">
        <x:v>CALCULADORA TRL Y CRLS.xlsx</x:v>
      </x:c>
      <x:c r="K50" s="136" t="str">
        <x:v>Fuente interna; confirmar versión vigente</x:v>
      </x:c>
    </x:row>
    <x:row r="51">
      <x:c r="A51" s="136" t="str">
        <x:v>CAD-C-047</x:v>
      </x:c>
      <x:c r="B51" s="136" t="str">
        <x:v>CAD-08</x:v>
      </x:c>
      <x:c r="C51" s="136" t="str">
        <x:v>Difusión Científica y Visibilidad</x:v>
      </x:c>
      <x:c r="D51" s="152" t="n">
        <x:v>0.1111111111111111</x:v>
      </x:c>
      <x:c r="E51" s="136" t="str">
        <x:v>Los resultados y protección de PI han sido presentados en revistas o conferencias de alcance limitado.</x:v>
      </x:c>
      <x:c r="F51" s="136" t="n">
        <x:v>12</x:v>
      </x:c>
      <x:c r="G51" s="136" t="str">
        <x:v>PROPIEDAD INTELECTUAL</x:v>
      </x:c>
      <x:c r="H51" s="136" t="n">
        <x:v>72</x:v>
      </x:c>
      <x:c r="I51" s="136" t="n">
        <x:v>89</x:v>
      </x:c>
      <x:c r="J51" s="136" t="str">
        <x:v>CALCULADORA TRL Y CRLS.xlsx</x:v>
      </x:c>
      <x:c r="K51" s="136" t="str">
        <x:v>Fuente interna; confirmar versión vigente</x:v>
      </x:c>
    </x:row>
    <x:row r="52">
      <x:c r="A52" s="136" t="str">
        <x:v>CAD-C-048</x:v>
      </x:c>
      <x:c r="B52" s="136" t="str">
        <x:v>CAD-08</x:v>
      </x:c>
      <x:c r="C52" s="136" t="str">
        <x:v>Difusión Científica y Visibilidad</x:v>
      </x:c>
      <x:c r="D52" s="152" t="n">
        <x:v>0.1111111111111111</x:v>
      </x:c>
      <x:c r="E52" s="136" t="str">
        <x:v>La solución ha sido difundida en eventos comerciales y científicos.</x:v>
      </x:c>
      <x:c r="F52" s="136" t="n">
        <x:v>15</x:v>
      </x:c>
      <x:c r="G52" s="136" t="str">
        <x:v>TRANSFERENCIA</x:v>
      </x:c>
      <x:c r="H52" s="136" t="n">
        <x:v>90</x:v>
      </x:c>
      <x:c r="I52" s="136" t="n">
        <x:v>107</x:v>
      </x:c>
      <x:c r="J52" s="136" t="str">
        <x:v>CALCULADORA TRL Y CRLS.xlsx</x:v>
      </x:c>
      <x:c r="K52" s="136" t="str">
        <x:v>Fuente interna; confirmar versión vigente</x:v>
      </x:c>
    </x:row>
    <x:row r="53">
      <x:c r="A53" s="137" t="str">
        <x:v>CAD-C-049</x:v>
      </x:c>
      <x:c r="B53" s="137" t="str">
        <x:v>CAD-08</x:v>
      </x:c>
      <x:c r="C53" s="137" t="str">
        <x:v>Difusión Científica y Visibilidad</x:v>
      </x:c>
      <x:c r="D53" s="153" t="n">
        <x:v>0.1111111111111111</x:v>
      </x:c>
      <x:c r="E53" s="137" t="str">
        <x:v>Los resultados han sido publicados en revistas científicas de alto impacto y revisadas por pares.</x:v>
      </x:c>
      <x:c r="F53" s="137" t="n">
        <x:v>18</x:v>
      </x:c>
      <x:c r="G53" s="137" t="str">
        <x:v>DIFUSIÓN CIENTÍFICA</x:v>
      </x:c>
      <x:c r="H53" s="137" t="n">
        <x:v>108</x:v>
      </x:c>
      <x:c r="I53" s="137" t="n">
        <x:v>126</x:v>
      </x:c>
      <x:c r="J53" s="137" t="str">
        <x:v>CALCULADORA TRL Y CRLS.xlsx</x:v>
      </x:c>
      <x:c r="K53" s="137" t="str">
        <x:v>Fuente interna; confirmar versión vigente</x:v>
      </x:c>
    </x:row>
  </x:sheetData>
  <x:mergeCells>
    <x:mergeCell ref="A1:K1"/>
    <x:mergeCell ref="A2:K2"/>
  </x:mergeCells>
  <x:pageMargins left="0.7" right="0.7" top="0.75" bottom="0.75" header="0.3" footer="0.3"/>
  <x:tableParts count="1">
    <x:tablePart xmlns:r="http://schemas.openxmlformats.org/officeDocument/2006/relationships" r:id="R9496a5e335064306"/>
  </x:tableParts>
</x:worksheet>
</file>

<file path=xl/worksheets/sheet15.xml><?xml version="1.0" encoding="utf-8"?>
<x:worksheet xmlns:x="http://schemas.openxmlformats.org/spreadsheetml/2006/main">
  <x:sheetFormatPr defaultRowHeight="15"/>
  <x:cols>
    <x:col min="1" max="1" width="12" hidden="0" customWidth="1"/>
    <x:col min="2" max="2" width="42" hidden="0" customWidth="1"/>
    <x:col min="3" max="3" width="22" hidden="0" customWidth="1"/>
    <x:col min="4" max="4" width="24" hidden="0" customWidth="1"/>
    <x:col min="5" max="5" width="32" hidden="0" customWidth="1"/>
    <x:col min="6" max="6" width="28" hidden="0" customWidth="1"/>
    <x:col min="7" max="7" width="22" hidden="0" customWidth="1"/>
    <x:col min="8" max="8" width="50" hidden="0" customWidth="1"/>
    <x:col min="9" max="9" width="64" hidden="0" customWidth="1"/>
    <x:col min="10" max="10" width="16" hidden="0" customWidth="1"/>
  </x:cols>
  <x:sheetData>
    <x:row r="1" ht="28" customHeight="1">
      <x:c r="A1" s="157" t="str">
        <x:v>14 — FUENTES Y TRAZABILIDAD DEL MODELO</x:v>
      </x:c>
      <x:c r="B1" s="157" t="str">
        <x:v>14 — FUENTES Y TRAZABILIDAD DEL MODELO</x:v>
      </x:c>
      <x:c r="C1" s="157" t="str">
        <x:v>14 — FUENTES Y TRAZABILIDAD DEL MODELO</x:v>
      </x:c>
      <x:c r="D1" s="157" t="str">
        <x:v>14 — FUENTES Y TRAZABILIDAD DEL MODELO</x:v>
      </x:c>
      <x:c r="E1" s="157" t="str">
        <x:v>14 — FUENTES Y TRAZABILIDAD DEL MODELO</x:v>
      </x:c>
      <x:c r="F1" s="157" t="str">
        <x:v>14 — FUENTES Y TRAZABILIDAD DEL MODELO</x:v>
      </x:c>
      <x:c r="G1" s="157" t="str">
        <x:v>14 — FUENTES Y TRAZABILIDAD DEL MODELO</x:v>
      </x:c>
      <x:c r="H1" s="157" t="str">
        <x:v>14 — FUENTES Y TRAZABILIDAD DEL MODELO</x:v>
      </x:c>
    </x:row>
    <x:row r="2" ht="34" customHeight="1">
      <x:c r="A2" s="143" t="str">
        <x:v>«Directo» = contenido explícito de la fuente; «Inferencia sustentada» = clasificación propuesta a partir del contenido; «Por validar» = decisión metodológica que CEDIA debe confirmar.</x:v>
      </x:c>
      <x:c r="B2" s="143" t="str">
        <x:v>«Directo» = contenido explícito de la fuente; «Inferencia sustentada» = clasificación propuesta a partir del contenido; «Por validar» = decisión metodológica que CEDIA debe confirmar.</x:v>
      </x:c>
      <x:c r="C2" s="143" t="str">
        <x:v>«Directo» = contenido explícito de la fuente; «Inferencia sustentada» = clasificación propuesta a partir del contenido; «Por validar» = decisión metodológica que CEDIA debe confirmar.</x:v>
      </x:c>
      <x:c r="D2" s="143" t="str">
        <x:v>«Directo» = contenido explícito de la fuente; «Inferencia sustentada» = clasificación propuesta a partir del contenido; «Por validar» = decisión metodológica que CEDIA debe confirmar.</x:v>
      </x:c>
      <x:c r="E2" s="143" t="str">
        <x:v>«Directo» = contenido explícito de la fuente; «Inferencia sustentada» = clasificación propuesta a partir del contenido; «Por validar» = decisión metodológica que CEDIA debe confirmar.</x:v>
      </x:c>
      <x:c r="F2" s="143" t="str">
        <x:v>«Directo» = contenido explícito de la fuente; «Inferencia sustentada» = clasificación propuesta a partir del contenido; «Por validar» = decisión metodológica que CEDIA debe confirmar.</x:v>
      </x:c>
      <x:c r="G2" s="143" t="str">
        <x:v>«Directo» = contenido explícito de la fuente; «Inferencia sustentada» = clasificación propuesta a partir del contenido; «Por validar» = decisión metodológica que CEDIA debe confirmar.</x:v>
      </x:c>
      <x:c r="H2" s="143" t="str">
        <x:v>«Directo» = contenido explícito de la fuente; «Inferencia sustentada» = clasificación propuesta a partir del contenido; «Por validar» = decisión metodológica que CEDIA debe confirmar.</x:v>
      </x:c>
    </x:row>
    <x:row r="4" ht="34" customHeight="1">
      <x:c r="A4" s="129" t="str">
        <x:v>ID_FUENTE</x:v>
      </x:c>
      <x:c r="B4" s="130" t="str">
        <x:v>ARCHIVO</x:v>
      </x:c>
      <x:c r="C4" s="130" t="str">
        <x:v>TIPO</x:v>
      </x:c>
      <x:c r="D4" s="130" t="str">
        <x:v>FAMILIA / ALCANCE</x:v>
      </x:c>
      <x:c r="E4" s="130" t="str">
        <x:v>USO_EN_MODELO</x:v>
      </x:c>
      <x:c r="F4" s="130" t="str">
        <x:v>NIVEL_SUSTENTO</x:v>
      </x:c>
      <x:c r="G4" s="130" t="str">
        <x:v>ESTADO</x:v>
      </x:c>
      <x:c r="H4" s="131" t="str">
        <x:v>OBSERVACIONES</x:v>
      </x:c>
      <x:c r="I4" s="367" t="str">
        <x:v>URL / ENLACE</x:v>
      </x:c>
      <x:c r="J4" s="367" t="str">
        <x:v>FECHA_CONSULTA</x:v>
      </x:c>
    </x:row>
    <x:row r="5">
      <x:c r="A5" s="136" t="str">
        <x:v>F-001</x:v>
      </x:c>
      <x:c r="B5" s="136" t="str">
        <x:v>IDEACIÓN - ÁRBOL DE PROBLEMAS.pdf</x:v>
      </x:c>
      <x:c r="C5" s="136" t="str">
        <x:v>Documento CEDIA</x:v>
      </x:c>
      <x:c r="D5" s="136" t="str">
        <x:v>Ideación</x:v>
      </x:c>
      <x:c r="E5" s="136" t="str">
        <x:v>Catálogo, brecha y evidencia</x:v>
      </x:c>
      <x:c r="F5" s="136" t="str">
        <x:v>Directo + inferencia sustentada</x:v>
      </x:c>
      <x:c r="G5" s="136" t="str">
        <x:v>Integrado</x:v>
      </x:c>
      <x:c r="H5" s="136" t="str"/>
    </x:row>
    <x:row r="6">
      <x:c r="A6" s="136" t="str">
        <x:v>F-002</x:v>
      </x:c>
      <x:c r="B6" s="136" t="str">
        <x:v>IDEACIÓN - Brainstorming.pdf</x:v>
      </x:c>
      <x:c r="C6" s="136" t="str">
        <x:v>Documento CEDIA</x:v>
      </x:c>
      <x:c r="D6" s="136" t="str">
        <x:v>Ideación</x:v>
      </x:c>
      <x:c r="E6" s="136" t="str">
        <x:v>Catálogo, brecha y evidencia</x:v>
      </x:c>
      <x:c r="F6" s="136" t="str">
        <x:v>Directo + inferencia sustentada</x:v>
      </x:c>
      <x:c r="G6" s="136" t="str">
        <x:v>Integrado</x:v>
      </x:c>
      <x:c r="H6" s="136" t="str"/>
    </x:row>
    <x:row r="7">
      <x:c r="A7" s="136" t="str">
        <x:v>F-003</x:v>
      </x:c>
      <x:c r="B7" s="136" t="str">
        <x:v>IDEACIÓN - Brief de investigación.pdf</x:v>
      </x:c>
      <x:c r="C7" s="136" t="str">
        <x:v>Documento CEDIA</x:v>
      </x:c>
      <x:c r="D7" s="136" t="str">
        <x:v>Ideación</x:v>
      </x:c>
      <x:c r="E7" s="136" t="str">
        <x:v>Catálogo, brecha y evidencia</x:v>
      </x:c>
      <x:c r="F7" s="136" t="str">
        <x:v>Directo + inferencia sustentada</x:v>
      </x:c>
      <x:c r="G7" s="136" t="str">
        <x:v>Integrado</x:v>
      </x:c>
      <x:c r="H7" s="136" t="str"/>
    </x:row>
    <x:row r="8">
      <x:c r="A8" s="136" t="str">
        <x:v>F-004</x:v>
      </x:c>
      <x:c r="B8" s="136" t="str">
        <x:v>IDEACIÓN - Componentes de Preguntas Poderosas.pdf</x:v>
      </x:c>
      <x:c r="C8" s="136" t="str">
        <x:v>Documento CEDIA</x:v>
      </x:c>
      <x:c r="D8" s="136" t="str">
        <x:v>Ideación</x:v>
      </x:c>
      <x:c r="E8" s="136" t="str">
        <x:v>Catálogo, brecha y evidencia</x:v>
      </x:c>
      <x:c r="F8" s="136" t="str">
        <x:v>Directo + inferencia sustentada</x:v>
      </x:c>
      <x:c r="G8" s="136" t="str">
        <x:v>Integrado</x:v>
      </x:c>
      <x:c r="H8" s="136" t="str"/>
    </x:row>
    <x:row r="9">
      <x:c r="A9" s="136" t="str">
        <x:v>F-005</x:v>
      </x:c>
      <x:c r="B9" s="136" t="str">
        <x:v>IDEACIÓN - Diagrama de Ishikawa.pdf</x:v>
      </x:c>
      <x:c r="C9" s="136" t="str">
        <x:v>Documento CEDIA</x:v>
      </x:c>
      <x:c r="D9" s="136" t="str">
        <x:v>Ideación</x:v>
      </x:c>
      <x:c r="E9" s="136" t="str">
        <x:v>Catálogo, brecha y evidencia</x:v>
      </x:c>
      <x:c r="F9" s="136" t="str">
        <x:v>Directo + inferencia sustentada</x:v>
      </x:c>
      <x:c r="G9" s="136" t="str">
        <x:v>Integrado</x:v>
      </x:c>
      <x:c r="H9" s="136" t="str"/>
    </x:row>
    <x:row r="10">
      <x:c r="A10" s="136" t="str">
        <x:v>F-006</x:v>
      </x:c>
      <x:c r="B10" s="136" t="str">
        <x:v>IDEACIÓN - How might we.pdf</x:v>
      </x:c>
      <x:c r="C10" s="136" t="str">
        <x:v>Documento CEDIA</x:v>
      </x:c>
      <x:c r="D10" s="136" t="str">
        <x:v>Ideación</x:v>
      </x:c>
      <x:c r="E10" s="136" t="str">
        <x:v>Catálogo, brecha y evidencia</x:v>
      </x:c>
      <x:c r="F10" s="136" t="str">
        <x:v>Directo + inferencia sustentada</x:v>
      </x:c>
      <x:c r="G10" s="136" t="str">
        <x:v>Integrado</x:v>
      </x:c>
      <x:c r="H10" s="136" t="str"/>
    </x:row>
    <x:row r="11">
      <x:c r="A11" s="136" t="str">
        <x:v>F-007</x:v>
      </x:c>
      <x:c r="B11" s="136" t="str">
        <x:v>IDEACIÓN - Lotus Blossom.pdf</x:v>
      </x:c>
      <x:c r="C11" s="136" t="str">
        <x:v>Documento CEDIA</x:v>
      </x:c>
      <x:c r="D11" s="136" t="str">
        <x:v>Ideación</x:v>
      </x:c>
      <x:c r="E11" s="136" t="str">
        <x:v>Catálogo, brecha y evidencia</x:v>
      </x:c>
      <x:c r="F11" s="136" t="str">
        <x:v>Directo + inferencia sustentada</x:v>
      </x:c>
      <x:c r="G11" s="136" t="str">
        <x:v>Integrado</x:v>
      </x:c>
      <x:c r="H11" s="136" t="str"/>
    </x:row>
    <x:row r="12">
      <x:c r="A12" s="136" t="str">
        <x:v>F-008</x:v>
      </x:c>
      <x:c r="B12" s="136" t="str">
        <x:v>IDEACIÓN - Planteamiento del Problema.pdf</x:v>
      </x:c>
      <x:c r="C12" s="136" t="str">
        <x:v>Documento CEDIA</x:v>
      </x:c>
      <x:c r="D12" s="136" t="str">
        <x:v>Ideación</x:v>
      </x:c>
      <x:c r="E12" s="136" t="str">
        <x:v>Catálogo, brecha y evidencia</x:v>
      </x:c>
      <x:c r="F12" s="136" t="str">
        <x:v>Directo + inferencia sustentada</x:v>
      </x:c>
      <x:c r="G12" s="136" t="str">
        <x:v>Integrado</x:v>
      </x:c>
      <x:c r="H12" s="136" t="str"/>
    </x:row>
    <x:row r="13">
      <x:c r="A13" s="136" t="str">
        <x:v>F-009</x:v>
      </x:c>
      <x:c r="B13" s="136" t="str">
        <x:v>MARKETING - Buyer Persona.pdf</x:v>
      </x:c>
      <x:c r="C13" s="136" t="str">
        <x:v>Documento CEDIA</x:v>
      </x:c>
      <x:c r="D13" s="136" t="str">
        <x:v>Marketing</x:v>
      </x:c>
      <x:c r="E13" s="136" t="str">
        <x:v>Catálogo, brecha y evidencia</x:v>
      </x:c>
      <x:c r="F13" s="136" t="str">
        <x:v>Directo + inferencia sustentada</x:v>
      </x:c>
      <x:c r="G13" s="136" t="str">
        <x:v>Integrado</x:v>
      </x:c>
      <x:c r="H13" s="136" t="str"/>
    </x:row>
    <x:row r="14">
      <x:c r="A14" s="136" t="str">
        <x:v>F-010</x:v>
      </x:c>
      <x:c r="B14" s="136" t="str">
        <x:v>MARKETING - Circulo de Oro.pdf</x:v>
      </x:c>
      <x:c r="C14" s="136" t="str">
        <x:v>Documento CEDIA</x:v>
      </x:c>
      <x:c r="D14" s="136" t="str">
        <x:v>Marketing</x:v>
      </x:c>
      <x:c r="E14" s="136" t="str">
        <x:v>Catálogo, brecha y evidencia</x:v>
      </x:c>
      <x:c r="F14" s="136" t="str">
        <x:v>Directo + inferencia sustentada</x:v>
      </x:c>
      <x:c r="G14" s="136" t="str">
        <x:v>Integrado</x:v>
      </x:c>
      <x:c r="H14" s="136" t="str"/>
    </x:row>
    <x:row r="15">
      <x:c r="A15" s="136" t="str">
        <x:v>F-011</x:v>
      </x:c>
      <x:c r="B15" s="136" t="str">
        <x:v>MARKETING - FODA.pdf</x:v>
      </x:c>
      <x:c r="C15" s="136" t="str">
        <x:v>Documento CEDIA</x:v>
      </x:c>
      <x:c r="D15" s="136" t="str">
        <x:v>Marketing</x:v>
      </x:c>
      <x:c r="E15" s="136" t="str">
        <x:v>Catálogo, brecha y evidencia</x:v>
      </x:c>
      <x:c r="F15" s="136" t="str">
        <x:v>Directo + inferencia sustentada</x:v>
      </x:c>
      <x:c r="G15" s="136" t="str">
        <x:v>Integrado</x:v>
      </x:c>
      <x:c r="H15" s="136" t="str"/>
    </x:row>
    <x:row r="16">
      <x:c r="A16" s="136" t="str">
        <x:v>F-012</x:v>
      </x:c>
      <x:c r="B16" s="136" t="str">
        <x:v>MARKETING - Mapa de Posicionamiento.pdf</x:v>
      </x:c>
      <x:c r="C16" s="136" t="str">
        <x:v>Documento CEDIA</x:v>
      </x:c>
      <x:c r="D16" s="136" t="str">
        <x:v>Marketing</x:v>
      </x:c>
      <x:c r="E16" s="136" t="str">
        <x:v>Catálogo, brecha y evidencia</x:v>
      </x:c>
      <x:c r="F16" s="136" t="str">
        <x:v>Directo + inferencia sustentada</x:v>
      </x:c>
      <x:c r="G16" s="136" t="str">
        <x:v>Integrado</x:v>
      </x:c>
      <x:c r="H16" s="136" t="str"/>
    </x:row>
    <x:row r="17">
      <x:c r="A17" s="136" t="str">
        <x:v>F-013</x:v>
      </x:c>
      <x:c r="B17" s="136" t="str">
        <x:v>MARKETING - Pitch Canvas.pdf</x:v>
      </x:c>
      <x:c r="C17" s="136" t="str">
        <x:v>Documento CEDIA</x:v>
      </x:c>
      <x:c r="D17" s="136" t="str">
        <x:v>Marketing</x:v>
      </x:c>
      <x:c r="E17" s="136" t="str">
        <x:v>Catálogo, brecha y evidencia</x:v>
      </x:c>
      <x:c r="F17" s="136" t="str">
        <x:v>Directo + inferencia sustentada</x:v>
      </x:c>
      <x:c r="G17" s="136" t="str">
        <x:v>Integrado</x:v>
      </x:c>
      <x:c r="H17" s="136" t="str"/>
    </x:row>
    <x:row r="18">
      <x:c r="A18" s="136" t="str">
        <x:v>F-014</x:v>
      </x:c>
      <x:c r="B18" s="136" t="str">
        <x:v>PROTOTIPADO - Job To Be Donde.pdf</x:v>
      </x:c>
      <x:c r="C18" s="136" t="str">
        <x:v>Documento CEDIA</x:v>
      </x:c>
      <x:c r="D18" s="136" t="str">
        <x:v>Prototipado</x:v>
      </x:c>
      <x:c r="E18" s="136" t="str">
        <x:v>Catálogo, brecha y evidencia</x:v>
      </x:c>
      <x:c r="F18" s="136" t="str">
        <x:v>Directo + inferencia sustentada</x:v>
      </x:c>
      <x:c r="G18" s="136" t="str">
        <x:v>Integrado</x:v>
      </x:c>
      <x:c r="H18" s="136" t="str">
        <x:v>El nombre del archivo contiene «Donde»; el contenido identifica Job To Be Done.</x:v>
      </x:c>
    </x:row>
    <x:row r="19">
      <x:c r="A19" s="136" t="str">
        <x:v>F-015</x:v>
      </x:c>
      <x:c r="B19" s="136" t="str">
        <x:v>PROTOTIPADO - Mapa de Empatía.pdf</x:v>
      </x:c>
      <x:c r="C19" s="136" t="str">
        <x:v>Documento CEDIA</x:v>
      </x:c>
      <x:c r="D19" s="136" t="str">
        <x:v>Prototipado</x:v>
      </x:c>
      <x:c r="E19" s="136" t="str">
        <x:v>Catálogo, brecha y evidencia</x:v>
      </x:c>
      <x:c r="F19" s="136" t="str">
        <x:v>Directo + inferencia sustentada</x:v>
      </x:c>
      <x:c r="G19" s="136" t="str">
        <x:v>Integrado</x:v>
      </x:c>
      <x:c r="H19" s="136" t="str">
        <x:v>El encabezado interno dice «Job To Be Done»; el contenido corresponde a Mapa de Empatía.</x:v>
      </x:c>
    </x:row>
    <x:row r="20">
      <x:c r="A20" s="136" t="str">
        <x:v>F-016</x:v>
      </x:c>
      <x:c r="B20" s="136" t="str">
        <x:v>PROTOTIPADO - Que debe hacer mi solución.docx.pdf</x:v>
      </x:c>
      <x:c r="C20" s="136" t="str">
        <x:v>Documento CEDIA</x:v>
      </x:c>
      <x:c r="D20" s="136" t="str">
        <x:v>Prototipado</x:v>
      </x:c>
      <x:c r="E20" s="136" t="str">
        <x:v>Catálogo, brecha y evidencia</x:v>
      </x:c>
      <x:c r="F20" s="136" t="str">
        <x:v>Directo + inferencia sustentada</x:v>
      </x:c>
      <x:c r="G20" s="136" t="str">
        <x:v>Integrado</x:v>
      </x:c>
      <x:c r="H20" s="136" t="str"/>
    </x:row>
    <x:row r="21">
      <x:c r="A21" s="136" t="str">
        <x:v>F-017</x:v>
      </x:c>
      <x:c r="B21" s="136" t="str">
        <x:v>PROTOTIPADO - Requisitos de Solución.pdf</x:v>
      </x:c>
      <x:c r="C21" s="136" t="str">
        <x:v>Documento CEDIA</x:v>
      </x:c>
      <x:c r="D21" s="136" t="str">
        <x:v>Prototipado</x:v>
      </x:c>
      <x:c r="E21" s="136" t="str">
        <x:v>Catálogo, brecha y evidencia</x:v>
      </x:c>
      <x:c r="F21" s="136" t="str">
        <x:v>Directo + inferencia sustentada</x:v>
      </x:c>
      <x:c r="G21" s="136" t="str">
        <x:v>Integrado</x:v>
      </x:c>
      <x:c r="H21" s="136" t="str">
        <x:v>El encabezado interno repite «¿Qué debe hacer mi solución?»; confirmar nomenclatura.</x:v>
      </x:c>
    </x:row>
    <x:row r="22">
      <x:c r="A22" s="136" t="str">
        <x:v>F-018</x:v>
      </x:c>
      <x:c r="B22" s="136" t="str">
        <x:v>PROTOTIPADO - Storyboard.pdf</x:v>
      </x:c>
      <x:c r="C22" s="136" t="str">
        <x:v>Documento CEDIA</x:v>
      </x:c>
      <x:c r="D22" s="136" t="str">
        <x:v>Prototipado</x:v>
      </x:c>
      <x:c r="E22" s="136" t="str">
        <x:v>Catálogo, brecha y evidencia</x:v>
      </x:c>
      <x:c r="F22" s="136" t="str">
        <x:v>Directo + inferencia sustentada</x:v>
      </x:c>
      <x:c r="G22" s="136" t="str">
        <x:v>Integrado</x:v>
      </x:c>
      <x:c r="H22" s="136" t="str"/>
    </x:row>
    <x:row r="23">
      <x:c r="A23" s="136" t="str">
        <x:v>F-019</x:v>
      </x:c>
      <x:c r="B23" s="136" t="str">
        <x:v>PROTOTIPADO - Tres Lupas.pdf</x:v>
      </x:c>
      <x:c r="C23" s="136" t="str">
        <x:v>Documento CEDIA</x:v>
      </x:c>
      <x:c r="D23" s="136" t="str">
        <x:v>Prototipado</x:v>
      </x:c>
      <x:c r="E23" s="136" t="str">
        <x:v>Catálogo, brecha y evidencia</x:v>
      </x:c>
      <x:c r="F23" s="136" t="str">
        <x:v>Directo + inferencia sustentada</x:v>
      </x:c>
      <x:c r="G23" s="136" t="str">
        <x:v>Integrado</x:v>
      </x:c>
      <x:c r="H23" s="136" t="str"/>
    </x:row>
    <x:row r="24">
      <x:c r="A24" s="136" t="str">
        <x:v>F-020</x:v>
      </x:c>
      <x:c r="B24" s="136" t="str">
        <x:v>CALCULADORA TRL Y CRLS.xlsx</x:v>
      </x:c>
      <x:c r="C24" s="136" t="str">
        <x:v>Calculadora interna CEDIA</x:v>
      </x:c>
      <x:c r="D24" s="136" t="str">
        <x:v>TRL / CRL / Cadena de Valor</x:v>
      </x:c>
      <x:c r="E24" s="136" t="str">
        <x:v>Diagnóstico, preguntas, criterios y etapas</x:v>
      </x:c>
      <x:c r="F24" s="136" t="str">
        <x:v>Directo</x:v>
      </x:c>
      <x:c r="G24" s="136" t="str">
        <x:v>Integrado con cautela</x:v>
      </x:c>
      <x:c r="H24" s="136" t="str">
        <x:v>Contiene algunas anotaciones de trabajo; confirmar versión institucional vigente.</x:v>
      </x:c>
    </x:row>
    <x:row r="25">
      <x:c r="A25" s="136" t="str">
        <x:v>F-021</x:v>
      </x:c>
      <x:c r="B25" s="136" t="str">
        <x:v>CALCULADORA-TRL-Y-CRLS.csv</x:v>
      </x:c>
      <x:c r="C25" s="136" t="str">
        <x:v>Archivo complementario</x:v>
      </x:c>
      <x:c r="D25" s="136" t="str">
        <x:v>TRL / CRL</x:v>
      </x:c>
      <x:c r="E25" s="136" t="str">
        <x:v>Pendiente de contraste</x:v>
      </x:c>
      <x:c r="F25" s="136" t="str">
        <x:v>Pendiente</x:v>
      </x:c>
      <x:c r="G25" s="136" t="str">
        <x:v>Pendiente</x:v>
      </x:c>
      <x:c r="H25" s="136" t="str">
        <x:v>Comparar posteriormente con XLSX.</x:v>
      </x:c>
    </x:row>
    <x:row r="26">
      <x:c r="A26" s="136" t="str">
        <x:v>F-022</x:v>
      </x:c>
      <x:c r="B26" s="136" t="str">
        <x:v>CALCULADORA-TRL-Y-CRLS (1).csv</x:v>
      </x:c>
      <x:c r="C26" s="136" t="str">
        <x:v>Archivo complementario</x:v>
      </x:c>
      <x:c r="D26" s="136" t="str">
        <x:v>TRL / CRL</x:v>
      </x:c>
      <x:c r="E26" s="136" t="str">
        <x:v>Pendiente de contraste</x:v>
      </x:c>
      <x:c r="F26" s="136" t="str">
        <x:v>Pendiente</x:v>
      </x:c>
      <x:c r="G26" s="136" t="str">
        <x:v>Pendiente</x:v>
      </x:c>
      <x:c r="H26" s="136" t="str">
        <x:v>Posible duplicado.</x:v>
      </x:c>
    </x:row>
    <x:row r="27">
      <x:c r="A27" s="136" t="str">
        <x:v>F-023</x:v>
      </x:c>
      <x:c r="B27" s="136" t="str">
        <x:v>Guía Calculadora_TRL.xls</x:v>
      </x:c>
      <x:c r="C27" s="136" t="str">
        <x:v>Guía / formato legado</x:v>
      </x:c>
      <x:c r="D27" s="136" t="str">
        <x:v>TRL</x:v>
      </x:c>
      <x:c r="E27" s="136" t="str">
        <x:v>Pendiente de revisión</x:v>
      </x:c>
      <x:c r="F27" s="136" t="str">
        <x:v>Pendiente</x:v>
      </x:c>
      <x:c r="G27" s="136" t="str">
        <x:v>Pendiente</x:v>
      </x:c>
      <x:c r="H27" s="136" t="str">
        <x:v>No integrada todavía.</x:v>
      </x:c>
    </x:row>
    <x:row r="28">
      <x:c r="A28" s="137" t="str">
        <x:v>F-024</x:v>
      </x:c>
      <x:c r="B28" s="137" t="str">
        <x:v>Guía Calculadora_TRL (1).xls</x:v>
      </x:c>
      <x:c r="C28" s="137" t="str">
        <x:v>Guía / formato legado</x:v>
      </x:c>
      <x:c r="D28" s="137" t="str">
        <x:v>TRL</x:v>
      </x:c>
      <x:c r="E28" s="137" t="str">
        <x:v>Pendiente de revisión</x:v>
      </x:c>
      <x:c r="F28" s="137" t="str">
        <x:v>Pendiente</x:v>
      </x:c>
      <x:c r="G28" s="137" t="str">
        <x:v>Pendiente</x:v>
      </x:c>
      <x:c r="H28" s="137" t="str">
        <x:v>Posible duplicado; no integrada todavía.</x:v>
      </x:c>
    </x:row>
    <x:row r="29">
      <x:c r="A29" s="136" t="str">
        <x:v>F-025</x:v>
      </x:c>
      <x:c r="B29" s="136" t="str">
        <x:v>MODELO DE NEGOCIO - Busines Model Canvas.pdf</x:v>
      </x:c>
      <x:c r="C29" s="136" t="str">
        <x:v>Documento CEDIA</x:v>
      </x:c>
      <x:c r="D29" s="136" t="str">
        <x:v>Modelo de Negocio</x:v>
      </x:c>
      <x:c r="E29" s="136" t="str">
        <x:v>Catálogo, brecha y evidencia</x:v>
      </x:c>
      <x:c r="F29" s="136" t="str">
        <x:v>Directo + inferencia sustentada</x:v>
      </x:c>
      <x:c r="G29" s="136" t="str">
        <x:v>Integrado</x:v>
      </x:c>
      <x:c r="H29" s="136" t="str">
        <x:v>Nombre de archivo con «Busines»; herramienta interna: Business Model Canvas.</x:v>
      </x:c>
    </x:row>
    <x:row r="30">
      <x:c r="A30" s="136" t="str">
        <x:v>F-026</x:v>
      </x:c>
      <x:c r="B30" s="136" t="str">
        <x:v>MODELO DE NEGOCIO - Lienzo de Propuesta de Valor.pdf</x:v>
      </x:c>
      <x:c r="C30" s="136" t="str">
        <x:v>Documento CEDIA</x:v>
      </x:c>
      <x:c r="D30" s="136" t="str">
        <x:v>Modelo de Negocio</x:v>
      </x:c>
      <x:c r="E30" s="136" t="str">
        <x:v>Catálogo, brecha y evidencia</x:v>
      </x:c>
      <x:c r="F30" s="136" t="str">
        <x:v>Directo + inferencia sustentada</x:v>
      </x:c>
      <x:c r="G30" s="136" t="str">
        <x:v>Integrado</x:v>
      </x:c>
      <x:c r="H30" s="136" t="str"/>
    </x:row>
    <x:row r="31">
      <x:c r="A31" s="136" t="str">
        <x:v>F-027</x:v>
      </x:c>
      <x:c r="B31" s="136" t="str">
        <x:v>SERVUCCIÓN - servucción.pdf</x:v>
      </x:c>
      <x:c r="C31" s="136" t="str">
        <x:v>Documento CEDIA</x:v>
      </x:c>
      <x:c r="D31" s="136" t="str">
        <x:v>Servucción</x:v>
      </x:c>
      <x:c r="E31" s="136" t="str">
        <x:v>Catálogo, brecha y evidencia</x:v>
      </x:c>
      <x:c r="F31" s="136" t="str">
        <x:v>Directo + inferencia sustentada</x:v>
      </x:c>
      <x:c r="G31" s="136" t="str">
        <x:v>Integrado</x:v>
      </x:c>
      <x:c r="H31" s="136" t="str">
        <x:v>Texto: «Servicio Estrella»; esquema de página 4: «Servicio Expectativa». Confirmar nomenclatura.</x:v>
      </x:c>
    </x:row>
    <x:row r="32">
      <x:c r="A32" s="136" t="str">
        <x:v>F-028</x:v>
      </x:c>
      <x:c r="B32" s="136" t="str">
        <x:v>TENDENCIAS - Componentes de Tendencias.pdf</x:v>
      </x:c>
      <x:c r="C32" s="136" t="str">
        <x:v>Documento CEDIA</x:v>
      </x:c>
      <x:c r="D32" s="136" t="str">
        <x:v>Tendencias</x:v>
      </x:c>
      <x:c r="E32" s="136" t="str">
        <x:v>Catálogo, brecha y evidencia</x:v>
      </x:c>
      <x:c r="F32" s="136" t="str">
        <x:v>Directo + inferencia sustentada</x:v>
      </x:c>
      <x:c r="G32" s="136" t="str">
        <x:v>Integrado</x:v>
      </x:c>
      <x:c r="H32" s="136" t="str">
        <x:v>El encabezado interno dice «Mapa de Tendencias» aunque el archivo se llama «Componentes de Tendencias».</x:v>
      </x:c>
    </x:row>
    <x:row r="33">
      <x:c r="A33" s="136" t="str">
        <x:v>F-029</x:v>
      </x:c>
      <x:c r="B33" s="136" t="str">
        <x:v>TENDENCIAS - Future Compass.pdf</x:v>
      </x:c>
      <x:c r="C33" s="136" t="str">
        <x:v>Documento CEDIA</x:v>
      </x:c>
      <x:c r="D33" s="136" t="str">
        <x:v>Tendencias</x:v>
      </x:c>
      <x:c r="E33" s="136" t="str">
        <x:v>Catálogo, brecha y evidencia</x:v>
      </x:c>
      <x:c r="F33" s="136" t="str">
        <x:v>Directo + inferencia sustentada</x:v>
      </x:c>
      <x:c r="G33" s="136" t="str">
        <x:v>Integrado</x:v>
      </x:c>
      <x:c r="H33" s="136" t="str"/>
    </x:row>
    <x:row r="34">
      <x:c r="A34" s="136" t="str">
        <x:v>F-030</x:v>
      </x:c>
      <x:c r="B34" s="136" t="str">
        <x:v>TENDENCIAS - Mapa de Tendencias.pdf</x:v>
      </x:c>
      <x:c r="C34" s="136" t="str">
        <x:v>Documento CEDIA</x:v>
      </x:c>
      <x:c r="D34" s="136" t="str">
        <x:v>Tendencias</x:v>
      </x:c>
      <x:c r="E34" s="136" t="str">
        <x:v>Catálogo, brecha y evidencia</x:v>
      </x:c>
      <x:c r="F34" s="136" t="str">
        <x:v>Directo + inferencia sustentada</x:v>
      </x:c>
      <x:c r="G34" s="136" t="str">
        <x:v>Integrado</x:v>
      </x:c>
      <x:c r="H34" s="136" t="str">
        <x:v>El encabezado superior del PDF indica «PROTOTIPADO» aunque el contenido corresponde a tendencias.</x:v>
      </x:c>
    </x:row>
    <x:row r="35">
      <x:c r="A35" s="182" t="str">
        <x:v>F-031</x:v>
      </x:c>
      <x:c r="B35" s="182" t="str">
        <x:v>TENDENCIAS - Trend Canvas.pdf</x:v>
      </x:c>
      <x:c r="C35" s="182" t="str">
        <x:v>Documento CEDIA</x:v>
      </x:c>
      <x:c r="D35" s="182" t="str">
        <x:v>Tendencias</x:v>
      </x:c>
      <x:c r="E35" s="182" t="str">
        <x:v>Catálogo, brecha y evidencia</x:v>
      </x:c>
      <x:c r="F35" s="182" t="str">
        <x:v>Directo + inferencia sustentada</x:v>
      </x:c>
      <x:c r="G35" s="182" t="str">
        <x:v>Integrado</x:v>
      </x:c>
      <x:c r="H35" s="182" t="str"/>
    </x:row>
    <x:row r="36">
      <x:c r="A36" s="207" t="str">
        <x:v>F-032</x:v>
      </x:c>
      <x:c r="B36" s="207" t="str">
        <x:v>Herramientas_TRL_CRL.docx</x:v>
      </x:c>
      <x:c r="C36" s="207" t="str">
        <x:v>Investigación secundaria entregada</x:v>
      </x:c>
      <x:c r="D36" s="207" t="str">
        <x:v>TRL / CRL / secuenciación de herramientas</x:v>
      </x:c>
      <x:c r="E36" s="207" t="str">
        <x:v>Referencia orientativa para ventanas TRL/CRL y relaciones entre herramientas</x:v>
      </x:c>
      <x:c r="F36" s="207" t="str">
        <x:v>Secundario / orientativo</x:v>
      </x:c>
      <x:c r="G36" s="207" t="str">
        <x:v>Integrado con cautela</x:v>
      </x:c>
      <x:c r="H36" s="207" t="str">
        <x:v>El propio documento advierte que no existe una asignación oficial «herramienta = TRL»; sus rangos deben usarse como guía y no como norma CEDIA.</x:v>
      </x:c>
    </x:row>
    <x:row r="37">
      <x:c r="A37" s="207" t="str">
        <x:v>F-033</x:v>
      </x:c>
      <x:c r="B37" s="207" t="str">
        <x:v>07_DEPENDENCIAS.xlsx</x:v>
      </x:c>
      <x:c r="C37" s="207" t="str">
        <x:v>Propuesta metodológica complementaria</x:v>
      </x:c>
      <x:c r="D37" s="207" t="str">
        <x:v>Prerrequisitos de evidencia / dependencias</x:v>
      </x:c>
      <x:c r="E37" s="207" t="str">
        <x:v>Contraste y depuración de prerrequisitos; no sustituye documentos CEDIA ni la red v7.</x:v>
      </x:c>
      <x:c r="F37" s="207" t="str">
        <x:v>Secundario / inferencia metodológica</x:v>
      </x:c>
      <x:c r="G37" s="207" t="str">
        <x:v>Integrado con correcciones</x:v>
      </x:c>
      <x:c r="H37" s="207" t="str">
        <x:v>Se aceptó el enfoque de prerrequisitos de evidencia. Se rechazaron o flexibilizaron relaciones rígidas como Future Compass→Tendencias, JTBD como alternativa a Empatía, FODA como bloqueo de Posicionamiento y BMC obligatorio para todo Pitch.</x:v>
      </x:c>
    </x:row>
    <x:row r="38">
      <x:c r="A38" s="334" t="str">
        <x:v>F-034</x:v>
      </x:c>
      <x:c r="B38" s="334" t="str">
        <x:v>NASA NPR 7123.1D Appendix E</x:v>
      </x:c>
      <x:c r="C38" s="334" t="str">
        <x:v>Fuente oficial externa</x:v>
      </x:c>
      <x:c r="D38" s="334" t="str">
        <x:v>TRL global / hardware / software</x:v>
      </x:c>
      <x:c r="E38" s="334" t="str">
        <x:v>Benchmark de niveles, evidencia y criterios de éxito</x:v>
      </x:c>
      <x:c r="F38" s="334" t="str">
        <x:v>Directo / oficial</x:v>
      </x:c>
      <x:c r="G38" s="334" t="str">
        <x:v>Integrado</x:v>
      </x:c>
      <x:c r="H38" s="334" t="str">
        <x:v>Base técnica principal del benchmark</x:v>
      </x:c>
      <x:c r="I38" s="334" t="str">
        <x:v>https://nodis3.gsfc.nasa.gov/displayDir.cfm?Internal_ID=N_PR_7123_001D_&amp;page_name=AppendixE</x:v>
      </x:c>
      <x:c r="J38" s="334" t="str">
        <x:v>2026-09-14</x:v>
      </x:c>
    </x:row>
    <x:row r="39">
      <x:c r="A39" s="334" t="str">
        <x:v>F-035</x:v>
      </x:c>
      <x:c r="B39" s="334" t="str">
        <x:v>Horizon Europe Work Programme 2026–2027 — General Annexes</x:v>
      </x:c>
      <x:c r="C39" s="334" t="str">
        <x:v>Fuente oficial externa</x:v>
      </x:c>
      <x:c r="D39" s="334" t="str">
        <x:v>TRL global / Unión Europea</x:v>
      </x:c>
      <x:c r="E39" s="334" t="str">
        <x:v>Definiciones TRL 1–9 y lenguaje común internacional</x:v>
      </x:c>
      <x:c r="F39" s="334" t="str">
        <x:v>Directo / oficial</x:v>
      </x:c>
      <x:c r="G39" s="334" t="str">
        <x:v>Integrado</x:v>
      </x:c>
      <x:c r="H39" s="334" t="str">
        <x:v>Referencia europea vigente</x:v>
      </x:c>
      <x:c r="I39" s="334" t="str">
        <x:v>https://research-and-innovation.ec.europa.eu/document/download/7318fc15-13a4-484b-a74e-7c403f88fee2_en</x:v>
      </x:c>
      <x:c r="J39" s="334" t="str">
        <x:v>2026-09-14</x:v>
      </x:c>
    </x:row>
    <x:row r="40">
      <x:c r="A40" s="334" t="str">
        <x:v>F-036</x:v>
      </x:c>
      <x:c r="B40" s="334" t="str">
        <x:v>U.S. Department of Energy — Technology Readiness Levels</x:v>
      </x:c>
      <x:c r="C40" s="334" t="str">
        <x:v>Fuente oficial externa</x:v>
      </x:c>
      <x:c r="D40" s="334" t="str">
        <x:v>TRL industria / energía</x:v>
      </x:c>
      <x:c r="E40" s="334" t="str">
        <x:v>Benchmark de definición, justificación del nivel y criterio de entrada al siguiente TRL</x:v>
      </x:c>
      <x:c r="F40" s="334" t="str">
        <x:v>Directo / oficial</x:v>
      </x:c>
      <x:c r="G40" s="334" t="str">
        <x:v>Integrado</x:v>
      </x:c>
      <x:c r="H40" s="334" t="str">
        <x:v>Refuerza salida «qué falta para avanzar»</x:v>
      </x:c>
      <x:c r="I40" s="334" t="str">
        <x:v>https://www.energy.gov/cmei/technology-readiness-levels-trls</x:v>
      </x:c>
      <x:c r="J40" s="334" t="str">
        <x:v>2026-09-14</x:v>
      </x:c>
    </x:row>
    <x:row r="41">
      <x:c r="A41" s="334" t="str">
        <x:v>F-037</x:v>
      </x:c>
      <x:c r="B41" s="334" t="str">
        <x:v>European Space Agency — Technology Readiness Levels</x:v>
      </x:c>
      <x:c r="C41" s="334" t="str">
        <x:v>Fuente oficial externa</x:v>
      </x:c>
      <x:c r="D41" s="334" t="str">
        <x:v>TRL / estandarización</x:v>
      </x:c>
      <x:c r="E41" s="334" t="str">
        <x:v>Confirma uso de ISO 16290 y adopción internacional</x:v>
      </x:c>
      <x:c r="F41" s="334" t="str">
        <x:v>Directo / oficial</x:v>
      </x:c>
      <x:c r="G41" s="334" t="str">
        <x:v>Integrado</x:v>
      </x:c>
      <x:c r="H41" s="334" t="str">
        <x:v>Referencia ESA</x:v>
      </x:c>
      <x:c r="I41" s="334" t="str">
        <x:v>https://www.esa.int/Enabling_Support/Space_Engineering_Technology/Shaping_the_Future/Technology_Readiness_Levels_TRL</x:v>
      </x:c>
      <x:c r="J41" s="334" t="str">
        <x:v>2026-09-14</x:v>
      </x:c>
    </x:row>
    <x:row r="42">
      <x:c r="A42" s="334" t="str">
        <x:v>F-038</x:v>
      </x:c>
      <x:c r="B42" s="334" t="str">
        <x:v>ISO 16290:2013</x:v>
      </x:c>
      <x:c r="C42" s="334" t="str">
        <x:v>Norma internacional</x:v>
      </x:c>
      <x:c r="D42" s="334" t="str">
        <x:v>TRL / criterios de evaluación</x:v>
      </x:c>
      <x:c r="E42" s="334" t="str">
        <x:v>Referencia normativa internacional; confirmada en 2024</x:v>
      </x:c>
      <x:c r="F42" s="334" t="str">
        <x:v>Directo / oficial</x:v>
      </x:c>
      <x:c r="G42" s="334" t="str">
        <x:v>Integrado</x:v>
      </x:c>
      <x:c r="H42" s="334" t="str">
        <x:v>Aplicación primaria espacial; definiciones reutilizables en otros dominios</x:v>
      </x:c>
      <x:c r="I42" s="334" t="str">
        <x:v>https://www.iso.org/standard/56064.html</x:v>
      </x:c>
      <x:c r="J42" s="334" t="str">
        <x:v>2026-09-14</x:v>
      </x:c>
    </x:row>
    <x:row r="43">
      <x:c r="A43" s="334" t="str">
        <x:v>F-039</x:v>
      </x:c>
      <x:c r="B43" s="334" t="str">
        <x:v>EURAXESS — TRL sectorial pharma/hardware</x:v>
      </x:c>
      <x:c r="C43" s="334" t="str">
        <x:v>Fuente oficial externa</x:v>
      </x:c>
      <x:c r="D43" s="334" t="str">
        <x:v>TRL farmacéutico / hardware</x:v>
      </x:c>
      <x:c r="E43" s="334" t="str">
        <x:v>Contraste sectorial para fármacos y hardware/sistemas</x:v>
      </x:c>
      <x:c r="F43" s="334" t="str">
        <x:v>Directo / oficial</x:v>
      </x:c>
      <x:c r="G43" s="334" t="str">
        <x:v>Integrado</x:v>
      </x:c>
      <x:c r="H43" s="334" t="str">
        <x:v>Referencia para auditar ruta farmacéutica CEDIA</x:v>
      </x:c>
      <x:c r="I43" s="334" t="str">
        <x:v>https://euraxess.ec.europa.eu/career-development/researchers/manual-scientific-entrepreneurship/major-steps/trl</x:v>
      </x:c>
      <x:c r="J43" s="334" t="str">
        <x:v>2026-09-14</x:v>
      </x:c>
    </x:row>
    <x:row r="44">
      <x:c r="A44" s="416" t="str">
        <x:v>F-040</x:v>
      </x:c>
      <x:c r="B44" s="416" t="str">
        <x:v>Strategyzer — Assumptions Mapping</x:v>
      </x:c>
      <x:c r="C44" s="416" t="str">
        <x:v>Fuente externa oficial/metodológica</x:v>
      </x:c>
      <x:c r="D44" s="416" t="str">
        <x:v>Validación / hipótesis</x:v>
      </x:c>
      <x:c r="E44" s="416" t="str">
        <x:v>Sustento de Mapa de Supuestos e Hipótesis Críticas</x:v>
      </x:c>
      <x:c r="F44" s="416" t="str">
        <x:v>Directo + adaptación</x:v>
      </x:c>
      <x:c r="G44" s="416" t="str">
        <x:v>Integrado como propuesta</x:v>
      </x:c>
      <x:c r="H44" s="416" t="str">
        <x:v>Strategyzer prioriza supuestos por importancia/riesgo y evidencia; Ruta CEDIA adapta el formato a su motor.</x:v>
      </x:c>
      <x:c r="I44" s="416" t="str">
        <x:v>https://www.strategyzer.com/programs/assumptions-mapping-prepare-to-test-your-business-idea-part-1</x:v>
      </x:c>
      <x:c r="J44" s="416" t="str">
        <x:v>2026-09-14</x:v>
      </x:c>
    </x:row>
    <x:row r="45">
      <x:c r="A45" s="416" t="str">
        <x:v>F-041</x:v>
      </x:c>
      <x:c r="B45" s="416" t="str">
        <x:v>Strategyzer — Test Card</x:v>
      </x:c>
      <x:c r="C45" s="416" t="str">
        <x:v>Fuente externa oficial/metodológica</x:v>
      </x:c>
      <x:c r="D45" s="416" t="str">
        <x:v>Validación / experimentación</x:v>
      </x:c>
      <x:c r="E45" s="416" t="str">
        <x:v>Sustento de Tarjeta de Experimento</x:v>
      </x:c>
      <x:c r="F45" s="416" t="str">
        <x:v>Directo + adaptación</x:v>
      </x:c>
      <x:c r="G45" s="416" t="str">
        <x:v>Integrado como propuesta</x:v>
      </x:c>
      <x:c r="H45" s="416" t="str">
        <x:v>La herramienta explicita hipótesis, prueba, métrica y umbral.</x:v>
      </x:c>
      <x:c r="I45" s="416" t="str">
        <x:v>https://www.strategyzer.com/library/validate-your-ideas-with-the-test-card</x:v>
      </x:c>
      <x:c r="J45" s="416" t="str">
        <x:v>2026-09-14</x:v>
      </x:c>
    </x:row>
    <x:row r="46">
      <x:c r="A46" s="416" t="str">
        <x:v>F-042</x:v>
      </x:c>
      <x:c r="B46" s="416" t="str">
        <x:v>Strategyzer — Learning Card</x:v>
      </x:c>
      <x:c r="C46" s="416" t="str">
        <x:v>Fuente externa oficial/metodológica</x:v>
      </x:c>
      <x:c r="D46" s="416" t="str">
        <x:v>Validación / aprendizaje</x:v>
      </x:c>
      <x:c r="E46" s="416" t="str">
        <x:v>Sustento de Tarjeta de Aprendizaje</x:v>
      </x:c>
      <x:c r="F46" s="416" t="str">
        <x:v>Directo + adaptación</x:v>
      </x:c>
      <x:c r="G46" s="416" t="str">
        <x:v>Integrado como propuesta</x:v>
      </x:c>
      <x:c r="H46" s="416" t="str">
        <x:v>La herramienta captura observaciones, aprendizaje y acciones/decisiones posteriores.</x:v>
      </x:c>
      <x:c r="I46" s="416" t="str">
        <x:v>https://www.strategyzer.com/library/capture-customer-insights-and-actions-with-the-learning-card</x:v>
      </x:c>
      <x:c r="J46" s="416" t="str">
        <x:v>2026-09-14</x:v>
      </x:c>
    </x:row>
    <x:row r="47">
      <x:c r="A47" s="416" t="str">
        <x:v>F-043</x:v>
      </x:c>
      <x:c r="B47" s="416" t="str">
        <x:v>U.S. DOE — Technology Readiness Assessment Guide / TMP</x:v>
      </x:c>
      <x:c r="C47" s="416" t="str">
        <x:v>Fuente oficial externa</x:v>
      </x:c>
      <x:c r="D47" s="416" t="str">
        <x:v>Maduración tecnológica</x:v>
      </x:c>
      <x:c r="E47" s="416" t="str">
        <x:v>Sustento de Plan de Maduración Tecnológica</x:v>
      </x:c>
      <x:c r="F47" s="416" t="str">
        <x:v>Directo + adaptación</x:v>
      </x:c>
      <x:c r="G47" s="416" t="str">
        <x:v>Integrado como propuesta</x:v>
      </x:c>
      <x:c r="H47" s="416" t="str">
        <x:v>DOE describe el Technology Maturation Plan como roadmap de desarrollo/ingeniería para elevar madurez tecnológica.</x:v>
      </x:c>
      <x:c r="I47" s="416" t="str">
        <x:v>https://www.energy.gov/documents/archivedoe-g-413-3-4doe-technology-readiness-assessment-guide2009-10-12pdf</x:v>
      </x:c>
      <x:c r="J47" s="416" t="str">
        <x:v>2026-09-14</x:v>
      </x:c>
    </x:row>
    <x:row r="48">
      <x:c r="A48" s="416" t="str">
        <x:v>F-044</x:v>
      </x:c>
      <x:c r="B48" s="416" t="str">
        <x:v>WIPO — Toolkit on New Product Development and Inventions in the Public Domain</x:v>
      </x:c>
      <x:c r="C48" s="416" t="str">
        <x:v>Fuente oficial externa</x:v>
      </x:c>
      <x:c r="D48" s="416" t="str">
        <x:v>Transferencia / PI / cadena de valor</x:v>
      </x:c>
      <x:c r="E48" s="416" t="str">
        <x:v>Sustento de Freedom to Operate y Value Chain</x:v>
      </x:c>
      <x:c r="F48" s="416" t="str">
        <x:v>Directo + adaptación</x:v>
      </x:c>
      <x:c r="G48" s="416" t="str">
        <x:v>Integrado como propuesta</x:v>
      </x:c>
      <x:c r="H48" s="416" t="str">
        <x:v>WIPO publica herramientas específicas de Freedom to Operate y Value Chain.</x:v>
      </x:c>
      <x:c r="I48" s="416" t="str">
        <x:v>https://www.wipo.int/en/web/tisc/inventions-public-domain</x:v>
      </x:c>
      <x:c r="J48" s="416" t="str">
        <x:v>2026-09-14</x:v>
      </x:c>
    </x:row>
    <x:row r="49">
      <x:c r="A49" s="416" t="str">
        <x:v>F-045</x:v>
      </x:c>
      <x:c r="B49" s="416" t="str">
        <x:v>WIPO — Knowledge and Technology Transfer</x:v>
      </x:c>
      <x:c r="C49" s="416" t="str">
        <x:v>Fuente oficial externa</x:v>
      </x:c>
      <x:c r="D49" s="416" t="str">
        <x:v>Transferencia / divulgación de invención</x:v>
      </x:c>
      <x:c r="E49" s="416" t="str">
        <x:v>Sustento de Ficha de Divulgación de Invención</x:v>
      </x:c>
      <x:c r="F49" s="416" t="str">
        <x:v>Directo para el proceso + adaptación de plantilla</x:v>
      </x:c>
      <x:c r="G49" s="416" t="str">
        <x:v>Integrado como propuesta</x:v>
      </x:c>
      <x:c r="H49" s="416" t="str">
        <x:v>WIPO sitúa identificar y divulgar la innovación a la OTT como inicio del proceso de transferencia.</x:v>
      </x:c>
      <x:c r="I49" s="416" t="str">
        <x:v>https://www.wipo.int/es/web/technology-transfer/</x:v>
      </x:c>
      <x:c r="J49" s="416" t="str">
        <x:v>2026-09-14</x:v>
      </x:c>
    </x:row>
    <x:row r="50">
      <x:c r="A50" s="416" t="str">
        <x:v>F-046</x:v>
      </x:c>
      <x:c r="B50" s="416" t="str">
        <x:v>U.S. DOE — Adoption Readiness Levels Framework</x:v>
      </x:c>
      <x:c r="C50" s="416" t="str">
        <x:v>Fuente oficial externa</x:v>
      </x:c>
      <x:c r="D50" s="416" t="str">
        <x:v>Adopción / comercialización</x:v>
      </x:c>
      <x:c r="E50" s="416" t="str">
        <x:v>Sustento de Mapa de Riesgos de Adopción</x:v>
      </x:c>
      <x:c r="F50" s="416" t="str">
        <x:v>Directo + adaptación</x:v>
      </x:c>
      <x:c r="G50" s="416" t="str">
        <x:v>Integrado como propuesta</x:v>
      </x:c>
      <x:c r="H50" s="416" t="str">
        <x:v>DOE ARL evalúa 17 riesgos de adopción en cuatro áreas y complementa TRL.</x:v>
      </x:c>
      <x:c r="I50" s="416" t="str">
        <x:v>https://www.energy.gov/technologycommercialization/adoption-readiness-levels-arl-framework</x:v>
      </x:c>
      <x:c r="J50" s="416" t="str">
        <x:v>2026-09-14</x:v>
      </x:c>
    </x:row>
  </x:sheetData>
  <x:mergeCells>
    <x:mergeCell ref="A1:H1"/>
    <x:mergeCell ref="A2:H2"/>
  </x:mergeCells>
  <x:pageMargins left="0.7" right="0.7" top="0.75" bottom="0.75" header="0.3" footer="0.3"/>
  <x:tableParts count="1">
    <x:tablePart xmlns:r="http://schemas.openxmlformats.org/officeDocument/2006/relationships" r:id="R1e431bc99c364eb3"/>
  </x:tableParts>
</x:worksheet>
</file>

<file path=xl/worksheets/sheet16.xml><?xml version="1.0" encoding="utf-8"?>
<x:worksheet xmlns:x="http://schemas.openxmlformats.org/spreadsheetml/2006/main">
  <x:sheetFormatPr defaultRowHeight="15"/>
  <x:cols>
    <x:col min="1" max="1" width="14" hidden="0" customWidth="1"/>
    <x:col min="2" max="2" width="28" hidden="0" customWidth="1"/>
    <x:col min="3" max="3" width="55" hidden="0" customWidth="1"/>
    <x:col min="4" max="4" width="36" hidden="0" customWidth="1"/>
    <x:col min="5" max="5" width="50" hidden="0" customWidth="1"/>
    <x:col min="6" max="6" width="55" hidden="0" customWidth="1"/>
    <x:col min="7" max="7" width="42" hidden="0" customWidth="1"/>
    <x:col min="8" max="8" width="30" hidden="0" customWidth="1"/>
    <x:col min="9" max="9" width="22" hidden="0" customWidth="1"/>
    <x:col min="10" max="10" width="22" hidden="0" customWidth="1"/>
  </x:cols>
  <x:sheetData>
    <x:row r="1">
      <x:c r="A1" s="196" t="str">
        <x:v>15 — VALIDACIÓN EXTERNA: 26 HERRAMIENTAS CEDIA + 8 PROPUESTAS</x:v>
      </x:c>
      <x:c r="B1" s="196" t="str">
        <x:v>15 — VALIDACIÓN EXTERNA: 26 HERRAMIENTAS CEDIA + 8 PROPUESTAS</x:v>
      </x:c>
      <x:c r="C1" s="196" t="str">
        <x:v>15 — VALIDACIÓN EXTERNA: 26 HERRAMIENTAS CEDIA + 8 PROPUESTAS</x:v>
      </x:c>
      <x:c r="D1" s="196" t="str">
        <x:v>15 — VALIDACIÓN EXTERNA: 26 HERRAMIENTAS CEDIA + 8 PROPUESTAS</x:v>
      </x:c>
      <x:c r="E1" s="196" t="str">
        <x:v>15 — VALIDACIÓN EXTERNA: 26 HERRAMIENTAS CEDIA + 8 PROPUESTAS</x:v>
      </x:c>
      <x:c r="F1" s="196" t="str">
        <x:v>15 — VALIDACIÓN EXTERNA: 26 HERRAMIENTAS CEDIA + 8 PROPUESTAS</x:v>
      </x:c>
      <x:c r="G1" s="196" t="str">
        <x:v>15 — VALIDACIÓN EXTERNA: 26 HERRAMIENTAS CEDIA + 8 PROPUESTAS</x:v>
      </x:c>
      <x:c r="H1" s="196" t="str">
        <x:v>15 — VALIDACIÓN EXTERNA: 26 HERRAMIENTAS CEDIA + 8 PROPUESTAS</x:v>
      </x:c>
      <x:c r="I1" s="196" t="str">
        <x:v>15 — VALIDACIÓN EXTERNA: 26 HERRAMIENTAS CEDIA + 8 PROPUESTAS</x:v>
      </x:c>
      <x:c r="J1" s="196" t="str">
        <x:v>15 — VALIDACIÓN EXTERNA: 26 HERRAMIENTAS CEDIA + 8 PROPUESTAS</x:v>
      </x:c>
    </x:row>
    <x:row r="2">
      <x:c r="A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c r="B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c r="C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c r="D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c r="E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c r="F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c r="G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c r="H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c r="I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c r="J2" s="427" t="str">
        <x:v>Documenta fuentes externas verificables. Las 26 primeras filas complementan herramientas CEDIA; las 8 filas amarillas son herramientas nuevas propuestas desde benchmark internacional. Las propuestas deben presentarse como ampliación metodológica y requieren decisión institucional para convertirse en oferta oficial.</x:v>
      </x:c>
    </x:row>
    <x:row r="4">
      <x:c r="A4" s="204" t="str">
        <x:v>ID_HERRAMIENTA</x:v>
      </x:c>
      <x:c r="B4" s="204" t="str">
        <x:v>HERRAMIENTA</x:v>
      </x:c>
      <x:c r="C4" s="204" t="str">
        <x:v>CUANDO_NO_USAR_PROPUESTO</x:v>
      </x:c>
      <x:c r="D4" s="204" t="str">
        <x:v>FUENTE_EXTERNA</x:v>
      </x:c>
      <x:c r="E4" s="204" t="str">
        <x:v>URL</x:v>
      </x:c>
      <x:c r="F4" s="204" t="str">
        <x:v>HALLAZGO_VERIFICADO</x:v>
      </x:c>
      <x:c r="G4" s="204" t="str">
        <x:v>TIPO_SUSTENTO</x:v>
      </x:c>
      <x:c r="H4" s="204" t="str">
        <x:v>DURACION_REFERENCIAL</x:v>
      </x:c>
      <x:c r="I4" s="204" t="str">
        <x:v>DIFICULTAD</x:v>
      </x:c>
      <x:c r="J4" s="204" t="str">
        <x:v>ESTADO</x:v>
      </x:c>
    </x:row>
    <x:row r="5">
      <x:c r="A5" s="207" t="str">
        <x:v>IDE-001</x:v>
      </x:c>
      <x:c r="B5" s="207" t="str">
        <x:v>Árbol de Problemas</x:v>
      </x:c>
      <x:c r="C5" s="207" t="str">
        <x:v>No usar para dar por demostrada una causa ni para escoger por sí solo la solución final. El árbol organiza relaciones causa–efecto; las causas deben contrastarse después con evidencia.</x:v>
      </x:c>
      <x:c r="D5" s="207" t="str">
        <x:v>FAO — Participatory Rural Communication Appraisal, Problem Tree</x:v>
      </x:c>
      <x:c r="E5" s="207" t="str">
        <x:v>https://www.fao.org/4/y5793e/y5793e04.htm</x:v>
      </x:c>
      <x:c r="F5" s="207" t="str">
        <x:v>La FAO define el árbol de problemas como una herramienta visual para especificar e investigar causas y efectos de un problema; las causas identificadas sirven después como base para formular soluciones.</x:v>
      </x:c>
      <x:c r="G5" s="207" t="str">
        <x:v>Limitación inferida del alcance de la herramienta: análisis causal, no validación empírica ni selección de solución.</x:v>
      </x:c>
      <x:c r="H5" s="207" t="str">
        <x:v>No estandarizada en la fuente consultada.</x:v>
      </x:c>
      <x:c r="I5" s="207" t="str">
        <x:v>Por validar CEDIA</x:v>
      </x:c>
      <x:c r="J5" s="207" t="str">
        <x:v>Verificado externamente</x:v>
      </x:c>
    </x:row>
    <x:row r="6">
      <x:c r="A6" s="207" t="str">
        <x:v>IDE-002</x:v>
      </x:c>
      <x:c r="B6" s="207" t="str">
        <x:v>Brainstorming</x:v>
      </x:c>
      <x:c r="C6" s="207" t="str">
        <x:v>No usar para evaluar o seleccionar la mejor idea ni cuando no existe una pregunta o reto concreto. Brainstorming es una técnica divergente para generar muchas alternativas antes de converger.</x:v>
      </x:c>
      <x:c r="D6" s="207" t="str">
        <x:v>IDEO.org Design Kit — Brainstorm</x:v>
      </x:c>
      <x:c r="E6" s="207" t="str">
        <x:v>https://www.designkit.org/methods/1.html</x:v>
      </x:c>
      <x:c r="F6" s="207" t="str">
        <x:v>IDEO describe Brainstorm como una técnica para generar gran cantidad de ideas, priorizando apertura, creatividad y cantidad sobre factibilidad inmediata.</x:v>
      </x:c>
      <x:c r="G6" s="207" t="str">
        <x:v>Directo + inferencia: la fuente lo ubica en generación divergente, por lo que no sustituye la evaluación posterior.</x:v>
      </x:c>
      <x:c r="H6" s="207" t="str">
        <x:v>30–60 min (IDEO.org).</x:v>
      </x:c>
      <x:c r="I6" s="207" t="str">
        <x:v>Medio</x:v>
      </x:c>
      <x:c r="J6" s="207" t="str">
        <x:v>Verificado externamente</x:v>
      </x:c>
    </x:row>
    <x:row r="7">
      <x:c r="A7" s="207" t="str">
        <x:v>IDE-003</x:v>
      </x:c>
      <x:c r="B7" s="207" t="str">
        <x:v>Brief de investigación</x:v>
      </x:c>
      <x:c r="C7" s="207" t="str">
        <x:v>No usar como sustituto de la investigación ni comenzar a recolectar datos si todavía no están claros los objetivos, participantes y método. El brief/plan organiza la investigación; no produce por sí mismo evidencia de usuarios.</x:v>
      </x:c>
      <x:c r="D7" s="207" t="str">
        <x:v>Nielsen Norman Group — Research Plans: Organize, Document, Inform</x:v>
      </x:c>
      <x:c r="E7" s="207" t="str">
        <x:v>https://www.nngroup.com/articles/pm-research-plan/</x:v>
      </x:c>
      <x:c r="F7" s="207" t="str">
        <x:v>NN/g indica que todo estudio debe iniciar con un plan que documente objetivos, participantes, método, procedimiento y logística.</x:v>
      </x:c>
      <x:c r="G7" s="207" t="str">
        <x:v>Directo + inferencia: un plan de investigación estructura el estudio, pero no reemplaza su ejecución.</x:v>
      </x:c>
      <x:c r="H7" s="207" t="str">
        <x:v>Depende del alcance del estudio; no existe un tiempo único.</x:v>
      </x:c>
      <x:c r="I7" s="207" t="str">
        <x:v>Por validar CEDIA</x:v>
      </x:c>
      <x:c r="J7" s="207" t="str">
        <x:v>Verificado externamente</x:v>
      </x:c>
    </x:row>
    <x:row r="8">
      <x:c r="A8" s="207" t="str">
        <x:v>IDE-004</x:v>
      </x:c>
      <x:c r="B8" s="207" t="str">
        <x:v>Componentes de Preguntas Poderosas</x:v>
      </x:c>
      <x:c r="C8" s="207" t="str">
        <x:v>No usar preguntas aisladas sin un objetivo de investigación claro ni para forzar una respuesta esperada. Las preguntas deben responder a lo que se necesita aprender y al método elegido.</x:v>
      </x:c>
      <x:c r="D8" s="207" t="str">
        <x:v>Nielsen Norman Group — What, When, Why: Research Goals, Questions, and Hypotheses</x:v>
      </x:c>
      <x:c r="E8" s="207" t="str">
        <x:v>https://www.nngroup.com/videos/research-goals-questions-hypotheses/</x:v>
      </x:c>
      <x:c r="F8" s="207" t="str">
        <x:v>NN/g distingue objetivos, preguntas e hipótesis como recursos para enfocar un estudio y recomienda que la investigación parta de objetivos claros.</x:v>
      </x:c>
      <x:c r="G8" s="207" t="str">
        <x:v>Inferencia sustentada: las preguntas son un componente del diseño de investigación y no deben separarse de su objetivo.</x:v>
      </x:c>
      <x:c r="H8" s="207" t="str">
        <x:v>No estandarizada.</x:v>
      </x:c>
      <x:c r="I8" s="207" t="str">
        <x:v>Por validar CEDIA</x:v>
      </x:c>
      <x:c r="J8" s="207" t="str">
        <x:v>Verificado externamente</x:v>
      </x:c>
    </x:row>
    <x:row r="9">
      <x:c r="A9" s="207" t="str">
        <x:v>IDE-005</x:v>
      </x:c>
      <x:c r="B9" s="207" t="str">
        <x:v>Diagrama de Ishikawa</x:v>
      </x:c>
      <x:c r="C9" s="207" t="str">
        <x:v>No usar para afirmar que una causa es la causa raíz únicamente porque aparece en el diagrama. Ishikawa ayuda a identificar y ordenar causas posibles; las hipótesis causales deben verificarse con datos o pruebas adicionales.</x:v>
      </x:c>
      <x:c r="D9" s="207" t="str">
        <x:v>ASQ — Fishbone Diagram</x:v>
      </x:c>
      <x:c r="E9" s="207" t="str">
        <x:v>https://asq.org/quality-resources/fishbone</x:v>
      </x:c>
      <x:c r="F9" s="207" t="str">
        <x:v>ASQ define el fishbone/Ishikawa como una herramienta para identificar muchas causas posibles y clasificarlas en categorías útiles.</x:v>
      </x:c>
      <x:c r="G9" s="207" t="str">
        <x:v>Directo + inferencia: «causas posibles» no equivale a causalidad comprobada.</x:v>
      </x:c>
      <x:c r="H9" s="207" t="str">
        <x:v>No estandarizada.</x:v>
      </x:c>
      <x:c r="I9" s="207" t="str">
        <x:v>Por validar CEDIA</x:v>
      </x:c>
      <x:c r="J9" s="207" t="str">
        <x:v>Verificado externamente</x:v>
      </x:c>
    </x:row>
    <x:row r="10">
      <x:c r="A10" s="207" t="str">
        <x:v>IDE-006</x:v>
      </x:c>
      <x:c r="B10" s="207" t="str">
        <x:v>How Might We</x:v>
      </x:c>
      <x:c r="C10" s="207" t="str">
        <x:v>No usar antes de contar con insights o un problema definido, ni formular preguntas que ya sugieran una solución. Tampoco deben ser tan amplias que no orienten la ideación o tan estrechas que solo admitan una respuesta.</x:v>
      </x:c>
      <x:c r="D10" s="207" t="str">
        <x:v>IDEO.org Design Kit — How Might We</x:v>
      </x:c>
      <x:c r="E10" s="207" t="str">
        <x:v>https://www.designkit.org/methods/how-might-we.html</x:v>
      </x:c>
      <x:c r="F10" s="207" t="str">
        <x:v>IDEO parte de insight statements y señala que una buena HMW no sugiere una solución, permite varias respuestas y mantiene un alcance ni demasiado amplio ni demasiado estrecho.</x:v>
      </x:c>
      <x:c r="G10" s="207" t="str">
        <x:v>Directo.</x:v>
      </x:c>
      <x:c r="H10" s="207" t="str">
        <x:v>60 min (IDEO.org).</x:v>
      </x:c>
      <x:c r="I10" s="207" t="str">
        <x:v>Medio</x:v>
      </x:c>
      <x:c r="J10" s="207" t="str">
        <x:v>Verificado externamente</x:v>
      </x:c>
    </x:row>
    <x:row r="11">
      <x:c r="A11" s="207" t="str">
        <x:v>IDE-007</x:v>
      </x:c>
      <x:c r="B11" s="207" t="str">
        <x:v>Lotus Blossom</x:v>
      </x:c>
      <x:c r="C11" s="207" t="str">
        <x:v>No usar como herramienta de validación o selección definitiva de ideas. Lotus Blossom sirve para expandir sistemáticamente un tema; la calidad y viabilidad de las ideas deben evaluarse después con otros criterios.</x:v>
      </x:c>
      <x:c r="D11" s="207" t="str">
        <x:v>Health Innovation West of England — Lotus Blossom</x:v>
      </x:c>
      <x:c r="E11" s="207" t="str">
        <x:v>https://www.healthinnowest.net/creative-problem-solving-toolkit/generate-and-select-ideas/guidance-notes-how-to-use-the-lotus-blossom-tool/</x:v>
      </x:c>
      <x:c r="F11" s="207" t="str">
        <x:v>La guía utiliza Lotus Blossom para generar ocho ideas iniciales y expandirlas sucesivamente, pudiendo llegar a decenas de alternativas.</x:v>
      </x:c>
      <x:c r="G11" s="207" t="str">
        <x:v>Directo + inferencia: es una herramienta de generación, no una prueba de mercado o viabilidad.</x:v>
      </x:c>
      <x:c r="H11" s="207" t="str">
        <x:v>Variable; puede detenerse cuando se completa el lienzo o termina el tiempo.</x:v>
      </x:c>
      <x:c r="I11" s="207" t="str">
        <x:v>Por validar CEDIA</x:v>
      </x:c>
      <x:c r="J11" s="207" t="str">
        <x:v>Verificado externamente</x:v>
      </x:c>
    </x:row>
    <x:row r="12">
      <x:c r="A12" s="207" t="str">
        <x:v>IDE-008</x:v>
      </x:c>
      <x:c r="B12" s="207" t="str">
        <x:v>Planteamiento del Problema</x:v>
      </x:c>
      <x:c r="C12" s="207" t="str">
        <x:v>No usar si el planteamiento ya contiene una solución predeterminada o si el reto está tan amplio o tan estrecho que impide explorar alternativas. Primero debe definirse correctamente el desafío.</x:v>
      </x:c>
      <x:c r="D12" s="207" t="str">
        <x:v>IDEO.org Design Kit — Frame Your Design Challenge</x:v>
      </x:c>
      <x:c r="E12" s="207" t="str">
        <x:v>https://www.designkit.org/methods/frame-your-design-challenge.html</x:v>
      </x:c>
      <x:c r="F12" s="207" t="str">
        <x:v>IDEO señala que un desafío debe expresar el problema y tener un alcance que no sea ni demasiado amplio ni demasiado estrecho, considerando audiencia, contexto y restricciones.</x:v>
      </x:c>
      <x:c r="G12" s="207" t="str">
        <x:v>Directo + inferencia.</x:v>
      </x:c>
      <x:c r="H12" s="207" t="str">
        <x:v>1–2 días para el método completo de encuadre de IDEO; no trasladar automáticamente a la plantilla CEDIA.</x:v>
      </x:c>
      <x:c r="I12" s="207" t="str">
        <x:v>Medio</x:v>
      </x:c>
      <x:c r="J12" s="207" t="str">
        <x:v>Verificado externamente</x:v>
      </x:c>
    </x:row>
    <x:row r="13">
      <x:c r="A13" s="207" t="str">
        <x:v>MKT-001</x:v>
      </x:c>
      <x:c r="B13" s="207" t="str">
        <x:v>Buyer Persona</x:v>
      </x:c>
      <x:c r="C13" s="207" t="str">
        <x:v>No usar una Buyer Persona construida solo con suposiciones o analítica demográfica, ni mezclar varios tipos de usuario en un único perfil. Debe apoyarse en información real del público objetivo.</x:v>
      </x:c>
      <x:c r="D13" s="207" t="str">
        <x:v>Nielsen Norman Group — Personas</x:v>
      </x:c>
      <x:c r="E13" s="207" t="str">
        <x:v>https://www.nngroup.com/topic/personas/?asset=publications</x:v>
      </x:c>
      <x:c r="F13" s="207" t="str">
        <x:v>NN/g define las personas como representaciones de información real sobre la audiencia y advierte evitar construirlas únicamente con datos analíticos.</x:v>
      </x:c>
      <x:c r="G13" s="207" t="str">
        <x:v>Directo.</x:v>
      </x:c>
      <x:c r="H13" s="207" t="str">
        <x:v>No estandarizada.</x:v>
      </x:c>
      <x:c r="I13" s="207" t="str">
        <x:v>Por validar CEDIA</x:v>
      </x:c>
      <x:c r="J13" s="207" t="str">
        <x:v>Verificado externamente</x:v>
      </x:c>
    </x:row>
    <x:row r="14">
      <x:c r="A14" s="207" t="str">
        <x:v>MKT-002</x:v>
      </x:c>
      <x:c r="B14" s="207" t="str">
        <x:v>Círculo de Oro</x:v>
      </x:c>
      <x:c r="C14" s="207" t="str">
        <x:v>No usar el Círculo de Oro para validar mercado, precio o demanda. Su función es clarificar propósito (WHY), forma diferencial de actuar (HOW) y oferta (WHAT), no demostrar aceptación comercial.</x:v>
      </x:c>
      <x:c r="D14" s="207" t="str">
        <x:v>Simon Sinek — The Golden Circle</x:v>
      </x:c>
      <x:c r="E14" s="207" t="str">
        <x:v>https://simonsinek.com/golden-circle</x:v>
      </x:c>
      <x:c r="F14" s="207" t="str">
        <x:v>La fuente oficial presenta el Golden Circle como un marco para comprender y comunicar WHY, HOW y WHAT y aplicarlo a liderazgo, producto, ventas y marketing.</x:v>
      </x:c>
      <x:c r="G14" s="207" t="str">
        <x:v>Directo + inferencia de alcance.</x:v>
      </x:c>
      <x:c r="H14" s="207" t="str">
        <x:v>No estandarizada.</x:v>
      </x:c>
      <x:c r="I14" s="207" t="str">
        <x:v>Por validar CEDIA</x:v>
      </x:c>
      <x:c r="J14" s="207" t="str">
        <x:v>Verificado externamente</x:v>
      </x:c>
    </x:row>
    <x:row r="15">
      <x:c r="A15" s="207" t="str">
        <x:v>MKT-003</x:v>
      </x:c>
      <x:c r="B15" s="207" t="str">
        <x:v>FODA</x:v>
      </x:c>
      <x:c r="C15" s="207" t="str">
        <x:v>No usar un FODA como única base para decidir una estrategia ni construirlo desde la opinión de una sola persona. Puede simplificar en exceso y contener supuestos no comprobados; debe apoyarse en datos y discusión del equipo.</x:v>
      </x:c>
      <x:c r="D15" s="207" t="str">
        <x:v>CIPD — SWOT analysis</x:v>
      </x:c>
      <x:c r="E15" s="207" t="str">
        <x:v>https://www.cipd.org/uk/knowledge/factsheets/swot-analysis-factsheet/</x:v>
      </x:c>
      <x:c r="F15" s="207" t="str">
        <x:v>CIPD señala que el FODA es una herramienta de diagnóstico y captura de información, que requiere fuentes adecuadas, trabajo de equipo y análisis posterior; advierte riesgos por supuestos e insuficiencia de datos.</x:v>
      </x:c>
      <x:c r="G15" s="207" t="str">
        <x:v>Directo.</x:v>
      </x:c>
      <x:c r="H15" s="207" t="str">
        <x:v>Variable según profundidad.</x:v>
      </x:c>
      <x:c r="I15" s="207" t="str">
        <x:v>Por validar CEDIA</x:v>
      </x:c>
      <x:c r="J15" s="207" t="str">
        <x:v>Verificado externamente</x:v>
      </x:c>
    </x:row>
    <x:row r="16">
      <x:c r="A16" s="207" t="str">
        <x:v>MKT-004</x:v>
      </x:c>
      <x:c r="B16" s="207" t="str">
        <x:v>Mapa de Posicionamiento</x:v>
      </x:c>
      <x:c r="C16" s="207" t="str">
        <x:v>No usar un mapa de posicionamiento basado únicamente en cómo la empresa cree que es percibida. Los ejes y posiciones deben reflejar atributos relevantes y percepciones del mercado objetivo.</x:v>
      </x:c>
      <x:c r="D16" s="207" t="str">
        <x:v>OpenStax — Principles of Marketing: Product Positioning</x:v>
      </x:c>
      <x:c r="E16" s="207" t="str">
        <x:v>https://openstax.org/books/principles-marketing/pages/5-6-product-positioning</x:v>
      </x:c>
      <x:c r="F16" s="207" t="str">
        <x:v>OpenStax define el perceptual map como una representación de cómo el mercado objetivo percibe una oferta frente a competidores usando atributos determinantes para la compra.</x:v>
      </x:c>
      <x:c r="G16" s="207" t="str">
        <x:v>Directo.</x:v>
      </x:c>
      <x:c r="H16" s="207" t="str">
        <x:v>No estandarizada.</x:v>
      </x:c>
      <x:c r="I16" s="207" t="str">
        <x:v>Por validar CEDIA</x:v>
      </x:c>
      <x:c r="J16" s="207" t="str">
        <x:v>Verificado externamente</x:v>
      </x:c>
    </x:row>
    <x:row r="17">
      <x:c r="A17" s="207" t="str">
        <x:v>MKT-005</x:v>
      </x:c>
      <x:c r="B17" s="207" t="str">
        <x:v>Pitch Canvas</x:v>
      </x:c>
      <x:c r="C17" s="207" t="str">
        <x:v>No usar el Pitch Canvas para sustituir la validación del problema, mercado o tracción. El pitch organiza y comunica la historia del proyecto; los datos que presenta deben provenir de evidencia real.</x:v>
      </x:c>
      <x:c r="D17" s="207" t="str">
        <x:v>Y Combinator — How to Pitch Your Company</x:v>
      </x:c>
      <x:c r="E17" s="207" t="str">
        <x:v>https://www.ycombinator.com/blog/how-to-pitch-your-company/</x:v>
      </x:c>
      <x:c r="F17" s="207" t="str">
        <x:v>Y Combinator enfatiza que un pitch debe explicar con claridad qué hace la empresa, clientes, progreso y lo que se busca; la efectividad depende de información clara y real, no del formato por sí solo.</x:v>
      </x:c>
      <x:c r="G17" s="207" t="str">
        <x:v>Directo + inferencia de alcance.</x:v>
      </x:c>
      <x:c r="H17" s="207" t="str">
        <x:v>No estandarizada.</x:v>
      </x:c>
      <x:c r="I17" s="207" t="str">
        <x:v>Por validar CEDIA</x:v>
      </x:c>
      <x:c r="J17" s="207" t="str">
        <x:v>Verificado externamente</x:v>
      </x:c>
    </x:row>
    <x:row r="18">
      <x:c r="A18" s="207" t="str">
        <x:v>NEG-001</x:v>
      </x:c>
      <x:c r="B18" s="207" t="str">
        <x:v>Business Model Canvas</x:v>
      </x:c>
      <x:c r="C18" s="207" t="str">
        <x:v>No usar el Business Model Canvas como si fuera un plan de negocio validado o definitivo. Sus bloques representan hipótesis que deben actualizarse cuando aparece nueva evidencia.</x:v>
      </x:c>
      <x:c r="D18" s="207" t="str">
        <x:v>Strategyzer — Business Model Canvas</x:v>
      </x:c>
      <x:c r="E18" s="207" t="str">
        <x:v>https://www.strategyzer.com/library/the-business-model-canvas</x:v>
      </x:c>
      <x:c r="F18" s="207" t="str">
        <x:v>Strategyzer indica que el BMC usa nueve bloques, muestra dependencias entre ellos y debe tratarse como una afirmación/hipótesis, no como un plan definitivo.</x:v>
      </x:c>
      <x:c r="G18" s="207" t="str">
        <x:v>Directo.</x:v>
      </x:c>
      <x:c r="H18" s="207" t="str">
        <x:v>No existe un tiempo único oficial.</x:v>
      </x:c>
      <x:c r="I18" s="207" t="str">
        <x:v>Por validar CEDIA</x:v>
      </x:c>
      <x:c r="J18" s="207" t="str">
        <x:v>Verificado externamente</x:v>
      </x:c>
    </x:row>
    <x:row r="19">
      <x:c r="A19" s="207" t="str">
        <x:v>NEG-002</x:v>
      </x:c>
      <x:c r="B19" s="207" t="str">
        <x:v>Lienzo de Propuesta de Valor</x:v>
      </x:c>
      <x:c r="C19" s="207" t="str">
        <x:v>No usar el Lienzo de Propuesta de Valor para afirmar que existe encaje producto‑mercado sin validación externa. Tampoco se deben mezclar varios segmentos de clientes en un mismo perfil.</x:v>
      </x:c>
      <x:c r="D19" s="207" t="str">
        <x:v>Strategyzer — Value Proposition Canvas</x:v>
      </x:c>
      <x:c r="E19" s="207" t="str">
        <x:v>https://www.strategyzer.com/library/the-value-proposition-canvas</x:v>
      </x:c>
      <x:c r="F19" s="207" t="str">
        <x:v>Strategyzer señala que el lienzo describe jobs, pains y gains de un segmento y el valor creado; el «fit» sigue siendo una hipótesis hasta que clientes lo confirman.</x:v>
      </x:c>
      <x:c r="G19" s="207" t="str">
        <x:v>Directo.</x:v>
      </x:c>
      <x:c r="H19" s="207" t="str">
        <x:v>No existe un tiempo único oficial.</x:v>
      </x:c>
      <x:c r="I19" s="207" t="str">
        <x:v>Por validar CEDIA</x:v>
      </x:c>
      <x:c r="J19" s="207" t="str">
        <x:v>Verificado externamente</x:v>
      </x:c>
    </x:row>
    <x:row r="20">
      <x:c r="A20" s="207" t="str">
        <x:v>PRO-001</x:v>
      </x:c>
      <x:c r="B20" s="207" t="str">
        <x:v>Job To Be Done</x:v>
      </x:c>
      <x:c r="C20" s="207" t="str">
        <x:v>No usar Jobs to Be Done como simple perfil demográfico ni asumir que identificar un «job» ya demuestra qué solución construir. El job debe describir el progreso/tarea del cliente y las oportunidades requieren investigación posterior.</x:v>
      </x:c>
      <x:c r="D20" s="207" t="str">
        <x:v>Strategyn — Jobs to Be Done</x:v>
      </x:c>
      <x:c r="E20" s="207" t="str">
        <x:v>https://strategyn.com/jobs-to-be-done/</x:v>
      </x:c>
      <x:c r="F20" s="207" t="str">
        <x:v>Strategyn trata el Job como unidad de análisis distinta de características demográficas o del producto y vincula la innovación con resultados que el cliente usa para medir éxito.</x:v>
      </x:c>
      <x:c r="G20" s="207" t="str">
        <x:v>Directo + inferencia.</x:v>
      </x:c>
      <x:c r="H20" s="207" t="str">
        <x:v>No estandarizada.</x:v>
      </x:c>
      <x:c r="I20" s="207" t="str">
        <x:v>Por validar CEDIA</x:v>
      </x:c>
      <x:c r="J20" s="207" t="str">
        <x:v>Verificado externamente</x:v>
      </x:c>
    </x:row>
    <x:row r="21">
      <x:c r="A21" s="207" t="str">
        <x:v>PRO-002</x:v>
      </x:c>
      <x:c r="B21" s="207" t="str">
        <x:v>Mapa de Empatía</x:v>
      </x:c>
      <x:c r="C21" s="207" t="str">
        <x:v>No usar el Mapa de Empatía como sustituto de investigación con usuarios ni juntar varios tipos de usuario en un solo mapa. Si el mapa está basado en poca información, debe considerarse una hipótesis a investigar.</x:v>
      </x:c>
      <x:c r="D21" s="207" t="str">
        <x:v>Nielsen Norman Group — Empathy Mapping</x:v>
      </x:c>
      <x:c r="E21" s="207" t="str">
        <x:v>https://www.nngroup.com/articles/empathy-mapping/</x:v>
      </x:c>
      <x:c r="F21" s="207" t="str">
        <x:v>NN/g recomienda un mapa por usuario/persona, utilizar investigación cualitativa y actualizarlo a medida que se obtiene nueva evidencia; un mapa escaso revela brechas de investigación.</x:v>
      </x:c>
      <x:c r="G21" s="207" t="str">
        <x:v>Directo.</x:v>
      </x:c>
      <x:c r="H21" s="207" t="str">
        <x:v>No estandarizada.</x:v>
      </x:c>
      <x:c r="I21" s="207" t="str">
        <x:v>Por validar CEDIA</x:v>
      </x:c>
      <x:c r="J21" s="207" t="str">
        <x:v>Verificado externamente</x:v>
      </x:c>
    </x:row>
    <x:row r="22">
      <x:c r="A22" s="207" t="str">
        <x:v>PRO-003</x:v>
      </x:c>
      <x:c r="B22" s="207" t="str">
        <x:v>¿Qué debe hacer mi solución?</x:v>
      </x:c>
      <x:c r="C22" s="207" t="str">
        <x:v>No usar esta herramienta si todavía no está claro qué trabajo o necesidad intenta resolver el usuario, ni convertir características del producto en «necesidades». Primero se debe comprender el job y después diseñar atributos.</x:v>
      </x:c>
      <x:c r="D22" s="207" t="str">
        <x:v>Strategyn — Customer Needs Through a Jobs-to-be-Done Lens</x:v>
      </x:c>
      <x:c r="E22" s="207" t="str">
        <x:v>https://strategyn.com/customer-needs-through-a-jobs-to-be-done-lens/</x:v>
      </x:c>
      <x:c r="F22" s="207" t="str">
        <x:v>Strategyn plantea que las necesidades deben asociarse al trabajo del cliente, expresarse de forma independiente de soluciones y aportar información accionable al diseño.</x:v>
      </x:c>
      <x:c r="G22" s="207" t="str">
        <x:v>Directo + adaptación al alcance CEDIA.</x:v>
      </x:c>
      <x:c r="H22" s="207" t="str">
        <x:v>No estandarizada.</x:v>
      </x:c>
      <x:c r="I22" s="207" t="str">
        <x:v>Por validar CEDIA</x:v>
      </x:c>
      <x:c r="J22" s="207" t="str">
        <x:v>Verificado externamente</x:v>
      </x:c>
    </x:row>
    <x:row r="23">
      <x:c r="A23" s="207" t="str">
        <x:v>PRO-004</x:v>
      </x:c>
      <x:c r="B23" s="207" t="str">
        <x:v>Requisitos de Solución</x:v>
      </x:c>
      <x:c r="C23" s="207" t="str">
        <x:v>No usar los requisitos como una lista cerrada basada solo en la opinión del equipo. Deben derivarse de necesidades y expectativas de usuarios/stakeholders, ser claros y revisarse/validarse durante el desarrollo.</x:v>
      </x:c>
      <x:c r="D23" s="207" t="str">
        <x:v>NASA — Technical Requirements Definition</x:v>
      </x:c>
      <x:c r="E23" s="207" t="str">
        <x:v>https://www.nasa.gov/reference/4-2-technical-requirements-definition/</x:v>
      </x:c>
      <x:c r="F23" s="207" t="str">
        <x:v>NASA indica que los requisitos técnicos parten de expectativas de stakeholders, funciones, interfaces y restricciones y deben transformarse en criterios completos y validados para orientar el diseño.</x:v>
      </x:c>
      <x:c r="G23" s="207" t="str">
        <x:v>Directo + adaptación a producto/servicio.</x:v>
      </x:c>
      <x:c r="H23" s="207" t="str">
        <x:v>Depende de la complejidad del producto.</x:v>
      </x:c>
      <x:c r="I23" s="207" t="str">
        <x:v>Por validar CEDIA</x:v>
      </x:c>
      <x:c r="J23" s="207" t="str">
        <x:v>Verificado externamente</x:v>
      </x:c>
    </x:row>
    <x:row r="24">
      <x:c r="A24" s="207" t="str">
        <x:v>PRO-005</x:v>
      </x:c>
      <x:c r="B24" s="207" t="str">
        <x:v>Storyboard</x:v>
      </x:c>
      <x:c r="C24" s="207" t="str">
        <x:v>No usar un Storyboard como prueba de que la experiencia funciona ni cuando no existe un escenario específico. El storyboard comunica una secuencia hipotética; después debe contrastarse con prototipos o usuarios.</x:v>
      </x:c>
      <x:c r="D24" s="207" t="str">
        <x:v>Nielsen Norman Group — Storyboards Help Visualize UX Ideas</x:v>
      </x:c>
      <x:c r="E24" s="207" t="str">
        <x:v>https://www.nngroup.com/articles/storyboards-visualize-ideas/</x:v>
      </x:c>
      <x:c r="F24" s="207" t="str">
        <x:v>NN/g define el storyboard como una secuencia visual basada en un escenario específico para comunicar y priorizar ideas de experiencia.</x:v>
      </x:c>
      <x:c r="G24" s="207" t="str">
        <x:v>Directo + inferencia de alcance.</x:v>
      </x:c>
      <x:c r="H24" s="207" t="str">
        <x:v>No estandarizada.</x:v>
      </x:c>
      <x:c r="I24" s="207" t="str">
        <x:v>Por validar CEDIA</x:v>
      </x:c>
      <x:c r="J24" s="207" t="str">
        <x:v>Verificado externamente</x:v>
      </x:c>
    </x:row>
    <x:row r="25">
      <x:c r="A25" s="207" t="str">
        <x:v>PRO-006</x:v>
      </x:c>
      <x:c r="B25" s="207" t="str">
        <x:v>Tres Lupas</x:v>
      </x:c>
      <x:c r="C25" s="207" t="str">
        <x:v>No usar Tres Lupas si se evaluará solo una dimensión. Una idea no debería considerarse lista para avanzar si no se ha revisado de forma conjunta la deseabilidad para las personas, factibilidad técnica y viabilidad para la organización.</x:v>
      </x:c>
      <x:c r="D25" s="207" t="str">
        <x:v>IDEO — Design Thinking</x:v>
      </x:c>
      <x:c r="E25" s="207" t="str">
        <x:v>https://designthinking.ideo.com/introduction</x:v>
      </x:c>
      <x:c r="F25" s="207" t="str">
        <x:v>IDEO describe la innovación como un equilibrio entre deseabilidad humana, factibilidad tecnológica y viabilidad económica/organizacional.</x:v>
      </x:c>
      <x:c r="G25" s="207" t="str">
        <x:v>Directo.</x:v>
      </x:c>
      <x:c r="H25" s="207" t="str">
        <x:v>No estandarizada.</x:v>
      </x:c>
      <x:c r="I25" s="207" t="str">
        <x:v>Por validar CEDIA</x:v>
      </x:c>
      <x:c r="J25" s="207" t="str">
        <x:v>Verificado externamente</x:v>
      </x:c>
    </x:row>
    <x:row r="26">
      <x:c r="A26" s="207" t="str">
        <x:v>SER-001</x:v>
      </x:c>
      <x:c r="B26" s="207" t="str">
        <x:v>Servucción</x:v>
      </x:c>
      <x:c r="C26" s="207" t="str">
        <x:v>No usar para idear desde cero un servicio todavía indefinido ni basarse únicamente en cómo el proceso «debería» funcionar. Para estructurar la prestación se necesita un servicio o escenario suficientemente definido y evidencia del funcionamiento real.</x:v>
      </x:c>
      <x:c r="D26" s="207" t="str">
        <x:v>Service Design Tools — Service Blueprint</x:v>
      </x:c>
      <x:c r="E26" s="207" t="str">
        <x:v>https://servicedesigntools.org/tools/service-blueprint</x:v>
      </x:c>
      <x:c r="F26" s="207" t="str">
        <x:v>Service Design Tools recomienda mapear un servicio existente o un concepto bien definido y no utilizar el blueprint como herramienta de ideación; NN/g también recomienda validar acciones con investigación interna.</x:v>
      </x:c>
      <x:c r="G26" s="207" t="str">
        <x:v>Fuente externa análoga de diseño de servicios; no sustituye la definición específica de Servucción de CEDIA.</x:v>
      </x:c>
      <x:c r="H26" s="207" t="str">
        <x:v>Variable según alcance del servicio.</x:v>
      </x:c>
      <x:c r="I26" s="207" t="str">
        <x:v>Por validar CEDIA</x:v>
      </x:c>
      <x:c r="J26" s="207" t="str">
        <x:v>Verificado externamente</x:v>
      </x:c>
    </x:row>
    <x:row r="27">
      <x:c r="A27" s="207" t="str">
        <x:v>TEN-001</x:v>
      </x:c>
      <x:c r="B27" s="207" t="str">
        <x:v>Componentes de Tendencias</x:v>
      </x:c>
      <x:c r="C27" s="207" t="str">
        <x:v>No usar únicamente con tendencias escogidas por intuición ni para afirmar que una oportunidad es viable. Las tendencias deben apoyarse en información externa y su intersección solo genera hipótesis de innovación que luego requieren validación.</x:v>
      </x:c>
      <x:c r="D27" s="207" t="str">
        <x:v>TrendWatching — Consumer Trend Canvas</x:v>
      </x:c>
      <x:c r="E27" s="207" t="str">
        <x:v>https://www.trendwatching.com/toolbox/consumer-trend-canvas</x:v>
      </x:c>
      <x:c r="F27" s="207" t="str">
        <x:v>TrendWatching propone analizar una tendencia con insights, contexto y ejemplos y después aplicarla para generar innovaciones; la herramienta convierte señales en oportunidades, no en validación automática.</x:v>
      </x:c>
      <x:c r="G27" s="207" t="str">
        <x:v>Fuente externa relacionada con análisis y aplicación de tendencias.</x:v>
      </x:c>
      <x:c r="H27" s="207" t="str">
        <x:v>No estandarizada.</x:v>
      </x:c>
      <x:c r="I27" s="207" t="str">
        <x:v>Por validar CEDIA</x:v>
      </x:c>
      <x:c r="J27" s="207" t="str">
        <x:v>Verificado externamente</x:v>
      </x:c>
    </x:row>
    <x:row r="28">
      <x:c r="A28" s="207" t="str">
        <x:v>TEN-002</x:v>
      </x:c>
      <x:c r="B28" s="207" t="str">
        <x:v>Future Compass</x:v>
      </x:c>
      <x:c r="C28" s="207" t="str">
        <x:v>No usar Future Compass para predecir un único futuro cierto ni si el problema todavía no tiene un alcance mínimo definido. El análisis de futuros trabaja con contextos, actores, causas y posibilidades, no con certezas.</x:v>
      </x:c>
      <x:c r="D28" s="207" t="str">
        <x:v>UK Government Office for Science — The Futures Toolkit</x:v>
      </x:c>
      <x:c r="E28" s="207" t="str">
        <x:v>https://www.gov.uk/government/publications/futures-toolkit-for-policy-makers-and-analysts/the-futures-toolkit-html</x:v>
      </x:c>
      <x:c r="F28" s="207" t="str">
        <x:v>El Futures Toolkit utiliza herramientas de exploración para comprender fuerzas de cambio y futuros posibles; los escenarios son alternativas plausibles y no una predicción única.</x:v>
      </x:c>
      <x:c r="G28" s="207" t="str">
        <x:v>Fuente externa de prospectiva; complementa la estructura particular de Future Compass de CEDIA.</x:v>
      </x:c>
      <x:c r="H28" s="207" t="str">
        <x:v>Variable según alcance.</x:v>
      </x:c>
      <x:c r="I28" s="207" t="str">
        <x:v>Por validar CEDIA</x:v>
      </x:c>
      <x:c r="J28" s="207" t="str">
        <x:v>Verificado externamente</x:v>
      </x:c>
    </x:row>
    <x:row r="29">
      <x:c r="A29" s="207" t="str">
        <x:v>TEN-003</x:v>
      </x:c>
      <x:c r="B29" s="207" t="str">
        <x:v>Mapa de Tendencias</x:v>
      </x:c>
      <x:c r="C29" s="207" t="str">
        <x:v>No usar un Mapa de Tendencias basado en una búsqueda estrecha o en una sola fuente, ni confundir una señal con una tendencia consolidada. Se necesita escanear ampliamente, registrar fuentes y analizar impacto/relevancia.</x:v>
      </x:c>
      <x:c r="D29" s="207" t="str">
        <x:v>UK Government Office for Science — The Futures Toolkit</x:v>
      </x:c>
      <x:c r="E29" s="207" t="str">
        <x:v>https://www.gov.uk/government/publications/futures-toolkit-for-policy-makers-and-analysts/the-futures-toolkit-html</x:v>
      </x:c>
      <x:c r="F29" s="207" t="str">
        <x:v>La guía de Horizon Scanning recomienda buscar ampliamente, usar fuentes originales, registrar enlaces y analizar tendencias, señales, riesgos y oportunidades antes de priorizarlos.</x:v>
      </x:c>
      <x:c r="G29" s="207" t="str">
        <x:v>Directo para el proceso de exploración de tendencias; adaptación al mapa CEDIA.</x:v>
      </x:c>
      <x:c r="H29" s="207" t="str">
        <x:v>Variable; el Horizon Scanning puede ser un proceso continuo.</x:v>
      </x:c>
      <x:c r="I29" s="207" t="str">
        <x:v>Por validar CEDIA</x:v>
      </x:c>
      <x:c r="J29" s="207" t="str">
        <x:v>Verificado externamente</x:v>
      </x:c>
    </x:row>
    <x:row r="30">
      <x:c r="A30" s="207" t="str">
        <x:v>TEN-004</x:v>
      </x:c>
      <x:c r="B30" s="207" t="str">
        <x:v>Trend Canvas</x:v>
      </x:c>
      <x:c r="C30" s="207" t="str">
        <x:v>No usar el Trend Canvas sin una tendencia previamente seleccionada e investigada, ni asumir que una idea generada por el lienzo ya tiene aceptación de mercado. Primero se analiza la tendencia y luego se aplica; la validación ocurre después.</x:v>
      </x:c>
      <x:c r="D30" s="207" t="str">
        <x:v>TrendWatching — Consumer Trend Canvas</x:v>
      </x:c>
      <x:c r="E30" s="207" t="str">
        <x:v>https://www.trendwatching.com/toolbox/consumer-trend-canvas/examples</x:v>
      </x:c>
      <x:c r="F30" s="207" t="str">
        <x:v>TrendWatching estructura el recorrido en dos grandes momentos: analizar con datos/ejemplos y después aplicar la tendencia para identificar dónde, cómo y para qué consumidores innovar.</x:v>
      </x:c>
      <x:c r="G30" s="207" t="str">
        <x:v>Directo + adaptación al Trend Canvas de CEDIA.</x:v>
      </x:c>
      <x:c r="H30" s="207" t="str">
        <x:v>Variable según profundidad.</x:v>
      </x:c>
      <x:c r="I30" s="207" t="str">
        <x:v>Por validar CEDIA</x:v>
      </x:c>
      <x:c r="J30" s="207" t="str">
        <x:v>Verificado externamente</x:v>
      </x:c>
    </x:row>
    <x:row r="31">
      <x:c r="A31" s="416" t="str">
        <x:v>VAL-001</x:v>
      </x:c>
      <x:c r="B31" s="416" t="str">
        <x:v>Mapa de Supuestos e Hipótesis Críticas</x:v>
      </x:c>
      <x:c r="C31" s="416" t="str">
        <x:v>No usar como sustituto de investigación o experimentación. Tampoco es necesario cuando la decisión está sustentada por evidencia suficiente y vigente y no existe una incertidumbre material pendiente.</x:v>
      </x:c>
      <x:c r="D31" s="416" t="str">
        <x:v>Strategyzer — Assumptions Mapping</x:v>
      </x:c>
      <x:c r="E31" s="416" t="str">
        <x:v>https://www.strategyzer.com/programs/assumptions-mapping-prepare-to-test-your-business-idea-part-1</x:v>
      </x:c>
      <x:c r="F31" s="416" t="str">
        <x:v>La metodología hace explícitos los supuestos, los organiza por tipos de riesgo y prioriza los de alta importancia y baja evidencia antes de invertir en pruebas.</x:v>
      </x:c>
      <x:c r="G31" s="416" t="str">
        <x:v>Directo + adaptación propuesta</x:v>
      </x:c>
      <x:c r="H31" s="416" t="str">
        <x:v>No existe un tiempo único oficial.</x:v>
      </x:c>
      <x:c r="I31" s="416" t="str">
        <x:v>Media, dependiente de la complejidad del proyecto.</x:v>
      </x:c>
      <x:c r="J31" s="416" t="str">
        <x:v>Propuesta externa verificada — validar incorporación CEDIA</x:v>
      </x:c>
    </x:row>
    <x:row r="32">
      <x:c r="A32" s="416" t="str">
        <x:v>VAL-002</x:v>
      </x:c>
      <x:c r="B32" s="416" t="str">
        <x:v>Tarjeta de Experimento (Test Card)</x:v>
      </x:c>
      <x:c r="C32" s="416" t="str">
        <x:v>No usar si aún no existe una hipótesis clara y testable. La tarjeta diseña la prueba; no reemplaza la ejecución del experimento ni la interpretación posterior.</x:v>
      </x:c>
      <x:c r="D32" s="416" t="str">
        <x:v>Strategyzer — Test Card</x:v>
      </x:c>
      <x:c r="E32" s="416" t="str">
        <x:v>https://www.strategyzer.com/library/validate-your-ideas-with-the-test-card</x:v>
      </x:c>
      <x:c r="F32" s="416" t="str">
        <x:v>La Test Card obliga a explicitar qué debe ser cierto, cómo se probará, qué se medirá y cuál será el umbral de éxito.</x:v>
      </x:c>
      <x:c r="G32" s="416" t="str">
        <x:v>Directo + adaptación propuesta</x:v>
      </x:c>
      <x:c r="H32" s="416" t="str">
        <x:v>No existe un tiempo único oficial.</x:v>
      </x:c>
      <x:c r="I32" s="416" t="str">
        <x:v>Media.</x:v>
      </x:c>
      <x:c r="J32" s="416" t="str">
        <x:v>Propuesta externa verificada — validar incorporación CEDIA</x:v>
      </x:c>
    </x:row>
    <x:row r="33">
      <x:c r="A33" s="416" t="str">
        <x:v>VAL-003</x:v>
      </x:c>
      <x:c r="B33" s="416" t="str">
        <x:v>Tarjeta de Aprendizaje (Learning Card)</x:v>
      </x:c>
      <x:c r="C33" s="416" t="str">
        <x:v>No usar antes de ejecutar una prueba ni para reemplazar datos ausentes. Si la evidencia es insuficiente, debe registrarse esa limitación y diseñarse una nueva prueba.</x:v>
      </x:c>
      <x:c r="D33" s="416" t="str">
        <x:v>Strategyzer — Learning Card</x:v>
      </x:c>
      <x:c r="E33" s="416" t="str">
        <x:v>https://www.strategyzer.com/library/capture-customer-insights-and-actions-with-the-learning-card</x:v>
      </x:c>
      <x:c r="F33" s="416" t="str">
        <x:v>La Learning Card sistematiza aprendizajes de experimentos y hace explícitas las decisiones y acciones resultantes.</x:v>
      </x:c>
      <x:c r="G33" s="416" t="str">
        <x:v>Directo + adaptación propuesta</x:v>
      </x:c>
      <x:c r="H33" s="416" t="str">
        <x:v>No existe un tiempo único oficial.</x:v>
      </x:c>
      <x:c r="I33" s="416" t="str">
        <x:v>Media.</x:v>
      </x:c>
      <x:c r="J33" s="416" t="str">
        <x:v>Propuesta externa verificada — validar incorporación CEDIA</x:v>
      </x:c>
    </x:row>
    <x:row r="34">
      <x:c r="A34" s="416" t="str">
        <x:v>MAD-001</x:v>
      </x:c>
      <x:c r="B34" s="416" t="str">
        <x:v>Plan de Maduración Tecnológica</x:v>
      </x:c>
      <x:c r="C34" s="416" t="str">
        <x:v>No usar como sustituto de una evaluación TRL ni cuando todavía no existe una tecnología suficientemente definida para identificar brechas técnicas y resultados de maduración.</x:v>
      </x:c>
      <x:c r="D34" s="416" t="str">
        <x:v>U.S. DOE — Technology Readiness Assessment Guide / Technology Maturation Plan</x:v>
      </x:c>
      <x:c r="E34" s="416" t="str">
        <x:v>https://www.energy.gov/documents/archivedoe-g-413-3-4doe-technology-readiness-assessment-guide2009-10-12pdf</x:v>
      </x:c>
      <x:c r="F34" s="416" t="str">
        <x:v>DOE define el TMP como un plan de actividades de desarrollo e ingeniería para llevar tecnologías inmaduras a un nivel aceptable, con roadmap de maduración.</x:v>
      </x:c>
      <x:c r="G34" s="416" t="str">
        <x:v>Directo + adaptación propuesta</x:v>
      </x:c>
      <x:c r="H34" s="416" t="str">
        <x:v>Depende del proyecto y de la brecha tecnológica.</x:v>
      </x:c>
      <x:c r="I34" s="416" t="str">
        <x:v>Alta.</x:v>
      </x:c>
      <x:c r="J34" s="416" t="str">
        <x:v>Propuesta externa verificada — validar incorporación CEDIA</x:v>
      </x:c>
    </x:row>
    <x:row r="35">
      <x:c r="A35" s="416" t="str">
        <x:v>TRA-001</x:v>
      </x:c>
      <x:c r="B35" s="416" t="str">
        <x:v>Libertad de Operación (Freedom to Operate)</x:v>
      </x:c>
      <x:c r="C35" s="416" t="str">
        <x:v>No usar como opinión jurídica definitiva ni como sustituto de asesoría especializada. No aporta valor suficiente si la solución, características o jurisdicción objetivo todavía no están definidas.</x:v>
      </x:c>
      <x:c r="D35" s="416" t="str">
        <x:v>WIPO — Toolkit on New Product Development / Freedom to Operate</x:v>
      </x:c>
      <x:c r="E35" s="416" t="str">
        <x:v>https://www.wipo.int/en/web/tisc/inventions-public-domain</x:v>
      </x:c>
      <x:c r="F35" s="416" t="str">
        <x:v>WIPO define FTO como la capacidad de avanzar con un producto o servicio sin infringir PI de terceros y subraya su importancia antes del lanzamiento.</x:v>
      </x:c>
      <x:c r="G35" s="416" t="str">
        <x:v>Directo + adaptación propuesta</x:v>
      </x:c>
      <x:c r="H35" s="416" t="str">
        <x:v>No existe un tiempo único; depende del campo, jurisdicciones y profundidad de búsqueda.</x:v>
      </x:c>
      <x:c r="I35" s="416" t="str">
        <x:v>Alta; requiere apoyo experto.</x:v>
      </x:c>
      <x:c r="J35" s="416" t="str">
        <x:v>Propuesta externa verificada — validar incorporación CEDIA</x:v>
      </x:c>
    </x:row>
    <x:row r="36">
      <x:c r="A36" s="416" t="str">
        <x:v>TRA-002</x:v>
      </x:c>
      <x:c r="B36" s="416" t="str">
        <x:v>Mapa de Cadena de Valor y Actores</x:v>
      </x:c>
      <x:c r="C36" s="416" t="str">
        <x:v>No usar como sustituto del Business Model Canvas ni cuando todavía no existe una solución o aplicación suficientemente definida para identificar actividades y actores relevantes.</x:v>
      </x:c>
      <x:c r="D36" s="416" t="str">
        <x:v>WIPO — Toolkit on New Product Development / Value Chain</x:v>
      </x:c>
      <x:c r="E36" s="416" t="str">
        <x:v>https://www.wipo.int/en/web/tisc/inventions-public-domain</x:v>
      </x:c>
      <x:c r="F36" s="416" t="str">
        <x:v>WIPO señala que Value Chain permite comprobar si existen capacidades suficientes para desarrollar, comercializar y apoyar una oferta después del lanzamiento.</x:v>
      </x:c>
      <x:c r="G36" s="416" t="str">
        <x:v>Directo + adaptación propuesta</x:v>
      </x:c>
      <x:c r="H36" s="416" t="str">
        <x:v>No existe un tiempo único oficial.</x:v>
      </x:c>
      <x:c r="I36" s="416" t="str">
        <x:v>Media/Alta según complejidad de la cadena.</x:v>
      </x:c>
      <x:c r="J36" s="416" t="str">
        <x:v>Propuesta externa verificada — validar incorporación CEDIA</x:v>
      </x:c>
    </x:row>
    <x:row r="37">
      <x:c r="A37" s="416" t="str">
        <x:v>TRA-003</x:v>
      </x:c>
      <x:c r="B37" s="416" t="str">
        <x:v>Ficha de Divulgación de Invención</x:v>
      </x:c>
      <x:c r="C37" s="416" t="str">
        <x:v>No usar como solicitud de patente ni como evaluación de patentabilidad/FTO. Si solo existe una idea general sin resultado inventivo o evidencia mínima, primero debe madurarse/documentarse.</x:v>
      </x:c>
      <x:c r="D37" s="416" t="str">
        <x:v>WIPO — Knowledge and Technology Transfer</x:v>
      </x:c>
      <x:c r="E37" s="416" t="str">
        <x:v>https://www.wipo.int/es/web/technology-transfer/</x:v>
      </x:c>
      <x:c r="F37" s="416" t="str">
        <x:v>WIPO sitúa la identificación y divulgación de innovaciones a la oficina de transferencia como el primer paso del proceso de transferencia tecnológica.</x:v>
      </x:c>
      <x:c r="G37" s="416" t="str">
        <x:v>Directo para necesidad de divulgación + adaptación propuesta de plantilla</x:v>
      </x:c>
      <x:c r="H37" s="416" t="str">
        <x:v>No estandarizada.</x:v>
      </x:c>
      <x:c r="I37" s="416" t="str">
        <x:v>Media.</x:v>
      </x:c>
      <x:c r="J37" s="416" t="str">
        <x:v>Propuesta externa verificada — validar incorporación CEDIA</x:v>
      </x:c>
    </x:row>
    <x:row r="38">
      <x:c r="A38" s="416" t="str">
        <x:v>ADO-001</x:v>
      </x:c>
      <x:c r="B38" s="416" t="str">
        <x:v>Mapa de Riesgos de Adopción / Comercialización</x:v>
      </x:c>
      <x:c r="C38" s="416" t="str">
        <x:v>No usar para calcular TRL ni para reemplazar el CRL institucional mientras no exista una decisión de integración. En investigación muy básica sin aplicación/mercado definido, su utilidad es limitada.</x:v>
      </x:c>
      <x:c r="D38" s="416" t="str">
        <x:v>U.S. DOE — Adoption Readiness Levels (ARL) Framework</x:v>
      </x:c>
      <x:c r="E38" s="416" t="str">
        <x:v>https://www.energy.gov/technologycommercialization/adoption-readiness-levels-arl-framework</x:v>
      </x:c>
      <x:c r="F38" s="416" t="str">
        <x:v>DOE señala que resolver retos técnicos no es suficiente para comercializar; ARL evalúa 17 riesgos no técnicos en cuatro áreas y complementa el TRL.</x:v>
      </x:c>
      <x:c r="G38" s="416" t="str">
        <x:v>Directo + adaptación propuesta</x:v>
      </x:c>
      <x:c r="H38" s="416" t="str">
        <x:v>No existe un tiempo único oficial.</x:v>
      </x:c>
      <x:c r="I38" s="416" t="str">
        <x:v>Alta.</x:v>
      </x:c>
      <x:c r="J38" s="416" t="str">
        <x:v>Propuesta externa verificada — validar incorporación CEDIA</x:v>
      </x:c>
    </x:row>
  </x:sheetData>
  <x:mergeCells>
    <x:mergeCell ref="A1:J1"/>
    <x:mergeCell ref="A2:J2"/>
  </x:mergeCells>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20" hidden="0" customWidth="1"/>
    <x:col min="3" max="3" width="35" hidden="0" customWidth="1"/>
    <x:col min="4" max="4" width="50" hidden="0" customWidth="1"/>
    <x:col min="5" max="5" width="34" hidden="0" customWidth="1"/>
    <x:col min="6" max="6" width="18" hidden="0" customWidth="1"/>
    <x:col min="7" max="7" width="38" hidden="0" customWidth="1"/>
    <x:col min="8" max="8" width="35" hidden="0" customWidth="1"/>
  </x:cols>
  <x:sheetData>
    <x:row r="1">
      <x:c r="A1" s="196" t="str">
        <x:v>16 — CÓMO LLENAR LOS DATOS QUE AÚN NO DEBEN INVENTARSE</x:v>
      </x:c>
      <x:c r="B1" s="196" t="str">
        <x:v>16 — CÓMO LLENAR LOS DATOS QUE AÚN NO DEBEN INVENTARSE</x:v>
      </x:c>
      <x:c r="C1" s="196" t="str">
        <x:v>16 — CÓMO LLENAR LOS DATOS QUE AÚN NO DEBEN INVENTARSE</x:v>
      </x:c>
      <x:c r="D1" s="196" t="str">
        <x:v>16 — CÓMO LLENAR LOS DATOS QUE AÚN NO DEBEN INVENTARSE</x:v>
      </x:c>
      <x:c r="E1" s="196" t="str">
        <x:v>16 — CÓMO LLENAR LOS DATOS QUE AÚN NO DEBEN INVENTARSE</x:v>
      </x:c>
      <x:c r="F1" s="196" t="str">
        <x:v>16 — CÓMO LLENAR LOS DATOS QUE AÚN NO DEBEN INVENTARSE</x:v>
      </x:c>
      <x:c r="G1" s="196" t="str">
        <x:v>16 — CÓMO LLENAR LOS DATOS QUE AÚN NO DEBEN INVENTARSE</x:v>
      </x:c>
      <x:c r="H1" s="196" t="str">
        <x:v>16 — CÓMO LLENAR LOS DATOS QUE AÚN NO DEBEN INVENTARSE</x:v>
      </x:c>
    </x:row>
    <x:row r="3">
      <x:c r="A3" s="202" t="str">
        <x:v>CAMPO</x:v>
      </x:c>
      <x:c r="B3" s="202" t="str">
        <x:v>¿SE LLENA YA?</x:v>
      </x:c>
      <x:c r="C3" s="202" t="str">
        <x:v>FUENTE CORRECTA</x:v>
      </x:c>
      <x:c r="D3" s="202" t="str">
        <x:v>MÉTODO</x:v>
      </x:c>
      <x:c r="E3" s="202" t="str">
        <x:v>RESULTADO ESPERADO</x:v>
      </x:c>
      <x:c r="F3" s="202" t="str">
        <x:v>QUIÉN VALIDA</x:v>
      </x:c>
      <x:c r="G3" s="202" t="str">
        <x:v>RIESGO SI SE INVENTA</x:v>
      </x:c>
      <x:c r="H3" s="202" t="str">
        <x:v>PRÓXIMO PASO</x:v>
      </x:c>
    </x:row>
    <x:row r="4">
      <x:c r="A4" s="207" t="str">
        <x:v>RELACION_TRL / TRL_MIN / TRL_MAX</x:v>
      </x:c>
      <x:c r="B4" s="207" t="str">
        <x:v>No, salvo relación directa demostrable</x:v>
      </x:c>
      <x:c r="C4" s="207" t="str">
        <x:v>Calculadora TRL CEDIA + validación metodológica</x:v>
      </x:c>
      <x:c r="D4" s="207" t="str">
        <x:v>Cruzar dimensión TRL afectada por la herramienta; no asignar un rango solo por intuición.</x:v>
      </x:c>
      <x:c r="E4" s="207" t="str">
        <x:v>Directa / complementaria / transversal + rango solo si aplica</x:v>
      </x:c>
      <x:c r="F4" s="207" t="str">
        <x:v>CEDIA</x:v>
      </x:c>
      <x:c r="G4" s="207" t="str">
        <x:v>La app recomendaría herramientas por nivel equivocado.</x:v>
      </x:c>
      <x:c r="H4" s="207" t="str">
        <x:v>Construir matriz dimensión TRL ↔ brecha ↔ herramienta.</x:v>
      </x:c>
    </x:row>
    <x:row r="5">
      <x:c r="A5" s="207" t="str">
        <x:v>RELACION_CRL / CRL_MIN / CRL_MAX</x:v>
      </x:c>
      <x:c r="B5" s="207" t="str">
        <x:v>No de forma rígida todavía</x:v>
      </x:c>
      <x:c r="C5" s="207" t="str">
        <x:v>Calculadora CRL CEDIA + finalidad de herramienta</x:v>
      </x:c>
      <x:c r="D5" s="207" t="str">
        <x:v>Relacionar cada herramienta con una de las 3 dimensiones CRL cuando realmente aporte evidencia.</x:v>
      </x:c>
      <x:c r="E5" s="207" t="str">
        <x:v>Dimensión CRL relacionada + tipo de relación</x:v>
      </x:c>
      <x:c r="F5" s="207" t="str">
        <x:v>CEDIA</x:v>
      </x:c>
      <x:c r="G5" s="207" t="str">
        <x:v>Confundir una herramienta con evidencia de madurez comercial.</x:v>
      </x:c>
      <x:c r="H5" s="207" t="str">
        <x:v>Cruzar CRL ↔ brechas ↔ evidencias.</x:v>
      </x:c>
    </x:row>
    <x:row r="6">
      <x:c r="A6" s="207" t="str">
        <x:v>ETAPA_CADENA_CEDIA</x:v>
      </x:c>
      <x:c r="B6" s="207" t="str">
        <x:v>Sí, pero como hipótesis a validar</x:v>
      </x:c>
      <x:c r="C6" s="207" t="str">
        <x:v>Cadena de Valor de la Innovación CEDIA</x:v>
      </x:c>
      <x:c r="D6" s="207" t="str">
        <x:v>Asignar etapa principal y permitir transversalidad; comparar propósito de la herramienta con criterios de la etapa.</x:v>
      </x:c>
      <x:c r="E6" s="207" t="str">
        <x:v>Etapa principal / transversal</x:v>
      </x:c>
      <x:c r="F6" s="207" t="str">
        <x:v>CEDIA</x:v>
      </x:c>
      <x:c r="G6" s="207" t="str">
        <x:v>Convertir familias de herramientas en una secuencia falsa.</x:v>
      </x:c>
      <x:c r="H6" s="207" t="str">
        <x:v>Hacer matriz herramienta ↔ etapa.</x:v>
      </x:c>
    </x:row>
    <x:row r="7">
      <x:c r="A7" s="207" t="str">
        <x:v>DURACION_ESTIMADA_MIN</x:v>
      </x:c>
      <x:c r="B7" s="207" t="str">
        <x:v>No como número único todavía</x:v>
      </x:c>
      <x:c r="C7" s="207" t="str">
        <x:v>Piloto con usuarios CEDIA</x:v>
      </x:c>
      <x:c r="D7" s="207" t="str">
        <x:v>Medir 3–5 ejecuciones por herramienta y usar mediana; conservar rango cuando exista fuente externa.</x:v>
      </x:c>
      <x:c r="E7" s="207" t="str">
        <x:v>Mediana y rango real</x:v>
      </x:c>
      <x:c r="F7" s="207" t="str">
        <x:v>CEDIA</x:v>
      </x:c>
      <x:c r="G7" s="207" t="str">
        <x:v>Tiempos inventados reducen credibilidad y dañan UX.</x:v>
      </x:c>
      <x:c r="H7" s="207" t="str">
        <x:v>Medir durante prototipo/piloto.</x:v>
      </x:c>
    </x:row>
    <x:row r="8">
      <x:c r="A8" s="207" t="str">
        <x:v>DIFICULTAD</x:v>
      </x:c>
      <x:c r="B8" s="207" t="str">
        <x:v>Parcial</x:v>
      </x:c>
      <x:c r="C8" s="207" t="str">
        <x:v>Piloto + prueba con usuarios</x:v>
      </x:c>
      <x:c r="D8" s="207" t="str">
        <x:v>Definir criterios: nº de pasos, conocimiento previo, necesidad de facilitador y carga de evidencia.</x:v>
      </x:c>
      <x:c r="E8" s="207" t="str">
        <x:v>Básico / Medio / Avanzado con criterio común</x:v>
      </x:c>
      <x:c r="F8" s="207" t="str">
        <x:v>CEDIA</x:v>
      </x:c>
      <x:c r="G8" s="207" t="str">
        <x:v>Clasificación subjetiva e inconsistente.</x:v>
      </x:c>
      <x:c r="H8" s="207" t="str">
        <x:v>Crear rúbrica de dificultad y aplicarla a las 34 (26 actuales + 8 propuestas).</x:v>
      </x:c>
    </x:row>
    <x:row r="9">
      <x:c r="A9" s="207" t="str">
        <x:v>MODALIDAD_RECOMENDADA</x:v>
      </x:c>
      <x:c r="B9" s="207" t="str">
        <x:v>Después de dependencias</x:v>
      </x:c>
      <x:c r="C9" s="207" t="str">
        <x:v>Diseño del servicio CEDIA</x:v>
      </x:c>
      <x:c r="D9" s="207" t="str">
        <x:v>Decidir si la herramienta puede ser autoguiada, requiere IA, taller o experto según riesgo y complejidad.</x:v>
      </x:c>
      <x:c r="E9" s="207" t="str">
        <x:v>Autogestión / IA / Taller / Acompañamiento / Mixta</x:v>
      </x:c>
      <x:c r="F9" s="207" t="str">
        <x:v>CEDIA</x:v>
      </x:c>
      <x:c r="G9" s="207" t="str">
        <x:v>Enviar al usuario a IA cuando necesita experto, o viceversa.</x:v>
      </x:c>
      <x:c r="H9" s="207" t="str">
        <x:v>Definir niveles de soporte.</x:v>
      </x:c>
    </x:row>
    <x:row r="10">
      <x:c r="A10" s="207" t="str">
        <x:v>DEPENDENCIAS</x:v>
      </x:c>
      <x:c r="B10" s="207" t="str">
        <x:v>Sí, es el próximo trabajo</x:v>
      </x:c>
      <x:c r="C10" s="207" t="str">
        <x:v>Entradas, salidas y evidencias ya levantadas</x:v>
      </x:c>
      <x:c r="D10" s="207" t="str">
        <x:v>Relacionar A→B solo cuando la salida/evidencia de A sea requisito real de B. También registrar alternativas.</x:v>
      </x:c>
      <x:c r="E10" s="207" t="str">
        <x:v>Antes de / después de / complementaria / alternativa</x:v>
      </x:c>
      <x:c r="F10" s="207" t="str">
        <x:v>CEDIA</x:v>
      </x:c>
      <x:c r="G10" s="207" t="str">
        <x:v>Crear una ruta lineal artificial.</x:v>
      </x:c>
      <x:c r="H10" s="207" t="str">
        <x:v>Completar 07_DEPENDENCIAS.</x:v>
      </x:c>
    </x:row>
    <x:row r="11">
      <x:c r="A11" s="207" t="str">
        <x:v>REGLAS_RUTA</x:v>
      </x:c>
      <x:c r="B11" s="207" t="str">
        <x:v>Después de dependencias</x:v>
      </x:c>
      <x:c r="C11" s="207" t="str">
        <x:v>Brechas + dependencias + TRL/CRL</x:v>
      </x:c>
      <x:c r="D11" s="207" t="str">
        <x:v>Redactar reglas SI condición → ENTONCES herramienta, con prioridad y excepción.</x:v>
      </x:c>
      <x:c r="E11" s="207" t="str">
        <x:v>Reglas v1 listas para casos de prueba</x:v>
      </x:c>
      <x:c r="F11" s="207" t="str">
        <x:v>CEDIA</x:v>
      </x:c>
      <x:c r="G11" s="207" t="str">
        <x:v>Automatizar recomendaciones sin fundamento.</x:v>
      </x:c>
      <x:c r="H11" s="207" t="str">
        <x:v>Validar 26 reglas y crear casos de prueba.</x:v>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30" hidden="0" customWidth="1"/>
    <x:col min="3" max="3" width="34" hidden="0" customWidth="1"/>
    <x:col min="4" max="4" width="14" hidden="0" customWidth="1"/>
    <x:col min="5" max="5" width="14" hidden="0" customWidth="1"/>
    <x:col min="6" max="6" width="34" hidden="0" customWidth="1"/>
    <x:col min="7" max="7" width="22" hidden="0" customWidth="1"/>
    <x:col min="8" max="8" width="34" hidden="0" customWidth="1"/>
    <x:col min="9" max="9" width="20" hidden="0" customWidth="1"/>
    <x:col min="10" max="10" width="44" hidden="0" customWidth="1"/>
  </x:cols>
  <x:sheetData>
    <x:row r="1">
      <x:c r="A1" s="236" t="str">
        <x:v>17 — MAPEO TRL / CRL REFERENCIAL DE LAS 26 HERRAMIENTAS CEDIA ORIGINALES</x:v>
      </x:c>
      <x:c r="B1" s="236" t="str">
        <x:v>17 — MAPEO TRL / CRL REFERENCIAL DE LAS 26 HERRAMIENTAS CEDIA ORIGINALES</x:v>
      </x:c>
      <x:c r="C1" s="236" t="str">
        <x:v>17 — MAPEO TRL / CRL REFERENCIAL DE LAS 26 HERRAMIENTAS CEDIA ORIGINALES</x:v>
      </x:c>
      <x:c r="D1" s="236" t="str">
        <x:v>17 — MAPEO TRL / CRL REFERENCIAL DE LAS 26 HERRAMIENTAS CEDIA ORIGINALES</x:v>
      </x:c>
      <x:c r="E1" s="236" t="str">
        <x:v>17 — MAPEO TRL / CRL REFERENCIAL DE LAS 26 HERRAMIENTAS CEDIA ORIGINALES</x:v>
      </x:c>
      <x:c r="F1" s="236" t="str">
        <x:v>17 — MAPEO TRL / CRL REFERENCIAL DE LAS 26 HERRAMIENTAS CEDIA ORIGINALES</x:v>
      </x:c>
      <x:c r="G1" s="236" t="str">
        <x:v>17 — MAPEO TRL / CRL REFERENCIAL DE LAS 26 HERRAMIENTAS CEDIA ORIGINALES</x:v>
      </x:c>
      <x:c r="H1" s="236" t="str">
        <x:v>17 — MAPEO TRL / CRL REFERENCIAL DE LAS 26 HERRAMIENTAS CEDIA ORIGINALES</x:v>
      </x:c>
      <x:c r="I1" s="236" t="str">
        <x:v>17 — MAPEO TRL / CRL REFERENCIAL DE LAS 26 HERRAMIENTAS CEDIA ORIGINALES</x:v>
      </x:c>
      <x:c r="J1" s="236" t="str">
        <x:v>17 — MAPEO TRL / CRL REFERENCIAL DE LAS 26 HERRAMIENTAS CEDIA ORIGINALES</x:v>
      </x:c>
    </x:row>
    <x:row r="2" ht="52" customHeight="1">
      <x:c r="A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c r="B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c r="C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c r="D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c r="E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c r="F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c r="G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c r="H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c r="I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c r="J2" s="518" t="str">
        <x:v>Esta hoja conserva exclusivamente el mapeo orientativo de las 26 herramientas originales de CEDIA proveniente de Herramientas_TRL_CRL.docx. Las 8 herramientas nuevas NO se fuerzan a rangos TRL/CRL porque el benchmark internacional confirma que la pertinencia debe determinarse por brecha, evidencia y objetivo.</x:v>
      </x:c>
    </x:row>
    <x:row r="4">
      <x:c r="A4" s="242" t="str">
        <x:v>ID_HERRAMIENTA</x:v>
      </x:c>
      <x:c r="B4" s="242" t="str">
        <x:v>HERRAMIENTA</x:v>
      </x:c>
      <x:c r="C4" s="242" t="str">
        <x:v>FASE_PROPUESTA</x:v>
      </x:c>
      <x:c r="D4" s="242" t="str">
        <x:v>TRL_SUGERIDO</x:v>
      </x:c>
      <x:c r="E4" s="242" t="str">
        <x:v>CRL_SUGERIDO</x:v>
      </x:c>
      <x:c r="F4" s="242" t="str">
        <x:v>USO_RECOMENDADO</x:v>
      </x:c>
      <x:c r="G4" s="242" t="str">
        <x:v>TIPO_DE_DATO</x:v>
      </x:c>
      <x:c r="H4" s="242" t="str">
        <x:v>FUENTE</x:v>
      </x:c>
      <x:c r="I4" s="242" t="str">
        <x:v>ESTADO</x:v>
      </x:c>
      <x:c r="J4" s="242" t="str">
        <x:v>DECISION_PARA_RUTA</x:v>
      </x:c>
    </x:row>
    <x:row r="5">
      <x:c r="A5" s="207" t="str">
        <x:v>IDE-001</x:v>
      </x:c>
      <x:c r="B5" s="207" t="str">
        <x:v>Árbol de Problemas</x:v>
      </x:c>
      <x:c r="C5" s="207" t="str">
        <x:v>Descubrimiento del problema</x:v>
      </x:c>
      <x:c r="D5" s="207" t="str">
        <x:v>TRL 1</x:v>
      </x:c>
      <x:c r="E5" s="207" t="str">
        <x:v>No aplica</x:v>
      </x:c>
      <x:c r="F5" s="207" t="str">
        <x:v>Ventana de mayor pertinencia, no uso exclusivo</x:v>
      </x:c>
      <x:c r="G5" s="207" t="str">
        <x:v>Guía orientativa</x:v>
      </x:c>
      <x:c r="H5" s="207" t="str">
        <x:v>Herramientas_TRL_CRL.docx</x:v>
      </x:c>
      <x:c r="I5" s="207" t="str">
        <x:v>Por validar CEDIA</x:v>
      </x:c>
      <x:c r="J5" s="207" t="str">
        <x:v>No bloquear por nivel; usar brecha/evidencia como criterio principal.</x:v>
      </x:c>
    </x:row>
    <x:row r="6">
      <x:c r="A6" s="207" t="str">
        <x:v>IDE-002</x:v>
      </x:c>
      <x:c r="B6" s="207" t="str">
        <x:v>Brainstorming</x:v>
      </x:c>
      <x:c r="C6" s="207" t="str">
        <x:v>Descubrimiento del problema</x:v>
      </x:c>
      <x:c r="D6" s="207" t="str">
        <x:v>TRL 1</x:v>
      </x:c>
      <x:c r="E6" s="207" t="str">
        <x:v>No aplica</x:v>
      </x:c>
      <x:c r="F6" s="207" t="str">
        <x:v>Ventana de mayor pertinencia, no uso exclusivo</x:v>
      </x:c>
      <x:c r="G6" s="207" t="str">
        <x:v>Guía orientativa</x:v>
      </x:c>
      <x:c r="H6" s="207" t="str">
        <x:v>Herramientas_TRL_CRL.docx</x:v>
      </x:c>
      <x:c r="I6" s="207" t="str">
        <x:v>Por validar CEDIA</x:v>
      </x:c>
      <x:c r="J6" s="207" t="str">
        <x:v>No bloquear por nivel.</x:v>
      </x:c>
    </x:row>
    <x:row r="7">
      <x:c r="A7" s="207" t="str">
        <x:v>IDE-003</x:v>
      </x:c>
      <x:c r="B7" s="207" t="str">
        <x:v>Brief de investigación</x:v>
      </x:c>
      <x:c r="C7" s="207" t="str">
        <x:v>Descubrimiento del problema</x:v>
      </x:c>
      <x:c r="D7" s="207" t="str">
        <x:v>TRL 1</x:v>
      </x:c>
      <x:c r="E7" s="207" t="str">
        <x:v>No aplica</x:v>
      </x:c>
      <x:c r="F7" s="207" t="str">
        <x:v>Ventana de mayor pertinencia, no uso exclusivo</x:v>
      </x:c>
      <x:c r="G7" s="207" t="str">
        <x:v>Guía orientativa</x:v>
      </x:c>
      <x:c r="H7" s="207" t="str">
        <x:v>Herramientas_TRL_CRL.docx</x:v>
      </x:c>
      <x:c r="I7" s="207" t="str">
        <x:v>Por validar CEDIA</x:v>
      </x:c>
      <x:c r="J7" s="207" t="str">
        <x:v>Usar como contexto.</x:v>
      </x:c>
    </x:row>
    <x:row r="8">
      <x:c r="A8" s="207" t="str">
        <x:v>IDE-004</x:v>
      </x:c>
      <x:c r="B8" s="207" t="str">
        <x:v>Componentes de Preguntas Poderosas</x:v>
      </x:c>
      <x:c r="C8" s="207" t="str">
        <x:v>Descubrimiento del problema</x:v>
      </x:c>
      <x:c r="D8" s="207" t="str">
        <x:v>TRL 1</x:v>
      </x:c>
      <x:c r="E8" s="207" t="str">
        <x:v>No aplica</x:v>
      </x:c>
      <x:c r="F8" s="207" t="str">
        <x:v>Ventana de mayor pertinencia, no uso exclusivo</x:v>
      </x:c>
      <x:c r="G8" s="207" t="str">
        <x:v>Guía orientativa</x:v>
      </x:c>
      <x:c r="H8" s="207" t="str">
        <x:v>Herramientas_TRL_CRL.docx</x:v>
      </x:c>
      <x:c r="I8" s="207" t="str">
        <x:v>Por validar CEDIA</x:v>
      </x:c>
      <x:c r="J8" s="207" t="str">
        <x:v>Usar como contexto.</x:v>
      </x:c>
    </x:row>
    <x:row r="9">
      <x:c r="A9" s="207" t="str">
        <x:v>IDE-005</x:v>
      </x:c>
      <x:c r="B9" s="207" t="str">
        <x:v>Diagrama de Ishikawa</x:v>
      </x:c>
      <x:c r="C9" s="207" t="str">
        <x:v>Descubrimiento del problema</x:v>
      </x:c>
      <x:c r="D9" s="207" t="str">
        <x:v>TRL 1–2</x:v>
      </x:c>
      <x:c r="E9" s="207" t="str">
        <x:v>No aplica</x:v>
      </x:c>
      <x:c r="F9" s="207" t="str">
        <x:v>Ventana de mayor pertinencia, no uso exclusivo</x:v>
      </x:c>
      <x:c r="G9" s="207" t="str">
        <x:v>Guía orientativa</x:v>
      </x:c>
      <x:c r="H9" s="207" t="str">
        <x:v>Herramientas_TRL_CRL.docx</x:v>
      </x:c>
      <x:c r="I9" s="207" t="str">
        <x:v>Por validar CEDIA</x:v>
      </x:c>
      <x:c r="J9" s="207" t="str">
        <x:v>Usar como contexto.</x:v>
      </x:c>
    </x:row>
    <x:row r="10">
      <x:c r="A10" s="207" t="str">
        <x:v>IDE-006</x:v>
      </x:c>
      <x:c r="B10" s="207" t="str">
        <x:v>How Might We</x:v>
      </x:c>
      <x:c r="C10" s="207" t="str">
        <x:v>Descubrimiento del problema</x:v>
      </x:c>
      <x:c r="D10" s="207" t="str">
        <x:v>TRL 2</x:v>
      </x:c>
      <x:c r="E10" s="207" t="str">
        <x:v>No aplica</x:v>
      </x:c>
      <x:c r="F10" s="207" t="str">
        <x:v>Ventana de mayor pertinencia, no uso exclusivo</x:v>
      </x:c>
      <x:c r="G10" s="207" t="str">
        <x:v>Guía orientativa</x:v>
      </x:c>
      <x:c r="H10" s="207" t="str">
        <x:v>Herramientas_TRL_CRL.docx</x:v>
      </x:c>
      <x:c r="I10" s="207" t="str">
        <x:v>Por validar CEDIA</x:v>
      </x:c>
      <x:c r="J10" s="207" t="str">
        <x:v>Usar como contexto.</x:v>
      </x:c>
    </x:row>
    <x:row r="11">
      <x:c r="A11" s="207" t="str">
        <x:v>IDE-007</x:v>
      </x:c>
      <x:c r="B11" s="207" t="str">
        <x:v>Lotus Blossom</x:v>
      </x:c>
      <x:c r="C11" s="207" t="str">
        <x:v>Descubrimiento del problema</x:v>
      </x:c>
      <x:c r="D11" s="207" t="str">
        <x:v>TRL 2</x:v>
      </x:c>
      <x:c r="E11" s="207" t="str">
        <x:v>No aplica</x:v>
      </x:c>
      <x:c r="F11" s="207" t="str">
        <x:v>Ventana de mayor pertinencia, no uso exclusivo</x:v>
      </x:c>
      <x:c r="G11" s="207" t="str">
        <x:v>Guía orientativa</x:v>
      </x:c>
      <x:c r="H11" s="207" t="str">
        <x:v>Herramientas_TRL_CRL.docx</x:v>
      </x:c>
      <x:c r="I11" s="207" t="str">
        <x:v>Por validar CEDIA</x:v>
      </x:c>
      <x:c r="J11" s="207" t="str">
        <x:v>Usar como contexto.</x:v>
      </x:c>
    </x:row>
    <x:row r="12">
      <x:c r="A12" s="207" t="str">
        <x:v>IDE-008</x:v>
      </x:c>
      <x:c r="B12" s="207" t="str">
        <x:v>Planteamiento del Problema</x:v>
      </x:c>
      <x:c r="C12" s="207" t="str">
        <x:v>Descubrimiento del problema</x:v>
      </x:c>
      <x:c r="D12" s="207" t="str">
        <x:v>TRL 1</x:v>
      </x:c>
      <x:c r="E12" s="207" t="str">
        <x:v>No aplica</x:v>
      </x:c>
      <x:c r="F12" s="207" t="str">
        <x:v>Ventana de mayor pertinencia, no uso exclusivo</x:v>
      </x:c>
      <x:c r="G12" s="207" t="str">
        <x:v>Guía orientativa</x:v>
      </x:c>
      <x:c r="H12" s="207" t="str">
        <x:v>Herramientas_TRL_CRL.docx</x:v>
      </x:c>
      <x:c r="I12" s="207" t="str">
        <x:v>Por validar CEDIA</x:v>
      </x:c>
      <x:c r="J12" s="207" t="str">
        <x:v>Usar como contexto.</x:v>
      </x:c>
    </x:row>
    <x:row r="13">
      <x:c r="A13" s="207" t="str">
        <x:v>TEN-001</x:v>
      </x:c>
      <x:c r="B13" s="207" t="str">
        <x:v>Componentes de Tendencias</x:v>
      </x:c>
      <x:c r="C13" s="207" t="str">
        <x:v>Exploración de tendencias</x:v>
      </x:c>
      <x:c r="D13" s="207" t="str">
        <x:v>TRL 1–3</x:v>
      </x:c>
      <x:c r="E13" s="207" t="str">
        <x:v>CRL 1</x:v>
      </x:c>
      <x:c r="F13" s="207" t="str">
        <x:v>Ventana de mayor pertinencia, no uso exclusivo</x:v>
      </x:c>
      <x:c r="G13" s="207" t="str">
        <x:v>Guía orientativa</x:v>
      </x:c>
      <x:c r="H13" s="207" t="str">
        <x:v>Herramientas_TRL_CRL.docx</x:v>
      </x:c>
      <x:c r="I13" s="207" t="str">
        <x:v>Por validar CEDIA</x:v>
      </x:c>
      <x:c r="J13" s="207" t="str">
        <x:v>Usar como contexto.</x:v>
      </x:c>
    </x:row>
    <x:row r="14">
      <x:c r="A14" s="207" t="str">
        <x:v>TEN-002</x:v>
      </x:c>
      <x:c r="B14" s="207" t="str">
        <x:v>Future Compass</x:v>
      </x:c>
      <x:c r="C14" s="207" t="str">
        <x:v>Exploración de tendencias</x:v>
      </x:c>
      <x:c r="D14" s="207" t="str">
        <x:v>TRL 2–3</x:v>
      </x:c>
      <x:c r="E14" s="207" t="str">
        <x:v>CRL 1</x:v>
      </x:c>
      <x:c r="F14" s="207" t="str">
        <x:v>Ventana de mayor pertinencia, no uso exclusivo</x:v>
      </x:c>
      <x:c r="G14" s="207" t="str">
        <x:v>Guía orientativa</x:v>
      </x:c>
      <x:c r="H14" s="207" t="str">
        <x:v>Herramientas_TRL_CRL.docx</x:v>
      </x:c>
      <x:c r="I14" s="207" t="str">
        <x:v>Por validar CEDIA</x:v>
      </x:c>
      <x:c r="J14" s="207" t="str">
        <x:v>Usar como contexto.</x:v>
      </x:c>
    </x:row>
    <x:row r="15">
      <x:c r="A15" s="207" t="str">
        <x:v>TEN-003</x:v>
      </x:c>
      <x:c r="B15" s="207" t="str">
        <x:v>Mapa de Tendencias</x:v>
      </x:c>
      <x:c r="C15" s="207" t="str">
        <x:v>Exploración de tendencias</x:v>
      </x:c>
      <x:c r="D15" s="207" t="str">
        <x:v>TRL 2–3</x:v>
      </x:c>
      <x:c r="E15" s="207" t="str">
        <x:v>CRL 1</x:v>
      </x:c>
      <x:c r="F15" s="207" t="str">
        <x:v>Ventana de mayor pertinencia, no uso exclusivo</x:v>
      </x:c>
      <x:c r="G15" s="207" t="str">
        <x:v>Guía orientativa</x:v>
      </x:c>
      <x:c r="H15" s="207" t="str">
        <x:v>Herramientas_TRL_CRL.docx</x:v>
      </x:c>
      <x:c r="I15" s="207" t="str">
        <x:v>Por validar CEDIA</x:v>
      </x:c>
      <x:c r="J15" s="207" t="str">
        <x:v>Usar como contexto.</x:v>
      </x:c>
    </x:row>
    <x:row r="16">
      <x:c r="A16" s="207" t="str">
        <x:v>TEN-004</x:v>
      </x:c>
      <x:c r="B16" s="207" t="str">
        <x:v>Trend Canvas</x:v>
      </x:c>
      <x:c r="C16" s="207" t="str">
        <x:v>Exploración de tendencias</x:v>
      </x:c>
      <x:c r="D16" s="207" t="str">
        <x:v>TRL 2–3</x:v>
      </x:c>
      <x:c r="E16" s="207" t="str">
        <x:v>CRL 1–2</x:v>
      </x:c>
      <x:c r="F16" s="207" t="str">
        <x:v>Ventana de mayor pertinencia, no uso exclusivo</x:v>
      </x:c>
      <x:c r="G16" s="207" t="str">
        <x:v>Guía orientativa</x:v>
      </x:c>
      <x:c r="H16" s="207" t="str">
        <x:v>Herramientas_TRL_CRL.docx</x:v>
      </x:c>
      <x:c r="I16" s="207" t="str">
        <x:v>Por validar CEDIA</x:v>
      </x:c>
      <x:c r="J16" s="207" t="str">
        <x:v>Usar como contexto.</x:v>
      </x:c>
    </x:row>
    <x:row r="17">
      <x:c r="A17" s="207" t="str">
        <x:v>MKT-002</x:v>
      </x:c>
      <x:c r="B17" s="207" t="str">
        <x:v>Círculo de Oro</x:v>
      </x:c>
      <x:c r="C17" s="207" t="str">
        <x:v>Comprensión de usuario/propósito</x:v>
      </x:c>
      <x:c r="D17" s="207" t="str">
        <x:v>TRL 2–3</x:v>
      </x:c>
      <x:c r="E17" s="207" t="str">
        <x:v>CRL 1</x:v>
      </x:c>
      <x:c r="F17" s="207" t="str">
        <x:v>Ventana de mayor pertinencia, no uso exclusivo</x:v>
      </x:c>
      <x:c r="G17" s="207" t="str">
        <x:v>Guía orientativa</x:v>
      </x:c>
      <x:c r="H17" s="207" t="str">
        <x:v>Herramientas_TRL_CRL.docx</x:v>
      </x:c>
      <x:c r="I17" s="207" t="str">
        <x:v>Por validar CEDIA</x:v>
      </x:c>
      <x:c r="J17" s="207" t="str">
        <x:v>Usar como contexto.</x:v>
      </x:c>
    </x:row>
    <x:row r="18">
      <x:c r="A18" s="207" t="str">
        <x:v>PRO-002</x:v>
      </x:c>
      <x:c r="B18" s="207" t="str">
        <x:v>Mapa de Empatía</x:v>
      </x:c>
      <x:c r="C18" s="207" t="str">
        <x:v>Comprensión de usuario</x:v>
      </x:c>
      <x:c r="D18" s="207" t="str">
        <x:v>TRL 3</x:v>
      </x:c>
      <x:c r="E18" s="207" t="str">
        <x:v>CRL 1–2</x:v>
      </x:c>
      <x:c r="F18" s="207" t="str">
        <x:v>Ventana de mayor pertinencia, no uso exclusivo</x:v>
      </x:c>
      <x:c r="G18" s="207" t="str">
        <x:v>Guía orientativa</x:v>
      </x:c>
      <x:c r="H18" s="207" t="str">
        <x:v>Herramientas_TRL_CRL.docx</x:v>
      </x:c>
      <x:c r="I18" s="207" t="str">
        <x:v>Por validar CEDIA</x:v>
      </x:c>
      <x:c r="J18" s="207" t="str">
        <x:v>Usar brecha de usuario como criterio principal.</x:v>
      </x:c>
    </x:row>
    <x:row r="19">
      <x:c r="A19" s="207" t="str">
        <x:v>MKT-001</x:v>
      </x:c>
      <x:c r="B19" s="207" t="str">
        <x:v>Buyer Persona</x:v>
      </x:c>
      <x:c r="C19" s="207" t="str">
        <x:v>Comprensión de usuario</x:v>
      </x:c>
      <x:c r="D19" s="207" t="str">
        <x:v>TRL 3–4</x:v>
      </x:c>
      <x:c r="E19" s="207" t="str">
        <x:v>CRL 1–2</x:v>
      </x:c>
      <x:c r="F19" s="207" t="str">
        <x:v>Ventana de mayor pertinencia, no uso exclusivo</x:v>
      </x:c>
      <x:c r="G19" s="207" t="str">
        <x:v>Guía orientativa</x:v>
      </x:c>
      <x:c r="H19" s="207" t="str">
        <x:v>Herramientas_TRL_CRL.docx</x:v>
      </x:c>
      <x:c r="I19" s="207" t="str">
        <x:v>Por validar CEDIA</x:v>
      </x:c>
      <x:c r="J19" s="207" t="str">
        <x:v>Usar brecha/segmento como criterio principal.</x:v>
      </x:c>
    </x:row>
    <x:row r="20">
      <x:c r="A20" s="207" t="str">
        <x:v>PRO-001</x:v>
      </x:c>
      <x:c r="B20" s="207" t="str">
        <x:v>Job To Be Done</x:v>
      </x:c>
      <x:c r="C20" s="207" t="str">
        <x:v>Comprensión de usuario</x:v>
      </x:c>
      <x:c r="D20" s="207" t="str">
        <x:v>TRL 3–4</x:v>
      </x:c>
      <x:c r="E20" s="207" t="str">
        <x:v>CRL 2</x:v>
      </x:c>
      <x:c r="F20" s="207" t="str">
        <x:v>Ventana de mayor pertinencia, no uso exclusivo</x:v>
      </x:c>
      <x:c r="G20" s="207" t="str">
        <x:v>Guía orientativa</x:v>
      </x:c>
      <x:c r="H20" s="207" t="str">
        <x:v>Herramientas_TRL_CRL.docx</x:v>
      </x:c>
      <x:c r="I20" s="207" t="str">
        <x:v>Por validar CEDIA</x:v>
      </x:c>
      <x:c r="J20" s="207" t="str">
        <x:v>Usar jobs/evidencia como criterio principal.</x:v>
      </x:c>
    </x:row>
    <x:row r="21">
      <x:c r="A21" s="207" t="str">
        <x:v>PRO-006</x:v>
      </x:c>
      <x:c r="B21" s="207" t="str">
        <x:v>Tres Lupas</x:v>
      </x:c>
      <x:c r="C21" s="207" t="str">
        <x:v>Comprensión de usuario</x:v>
      </x:c>
      <x:c r="D21" s="207" t="str">
        <x:v>TRL 3–5</x:v>
      </x:c>
      <x:c r="E21" s="207" t="str">
        <x:v>CRL 2–3</x:v>
      </x:c>
      <x:c r="F21" s="207" t="str">
        <x:v>Checkpoint orientativo</x:v>
      </x:c>
      <x:c r="G21" s="207" t="str">
        <x:v>Guía orientativa</x:v>
      </x:c>
      <x:c r="H21" s="207" t="str">
        <x:v>Herramientas_TRL_CRL.docx</x:v>
      </x:c>
      <x:c r="I21" s="207" t="str">
        <x:v>Por validar CEDIA</x:v>
      </x:c>
      <x:c r="J21" s="207" t="str">
        <x:v>Puede funcionar como gate si una dimensión crítica está débil.</x:v>
      </x:c>
    </x:row>
    <x:row r="22">
      <x:c r="A22" s="207" t="str">
        <x:v>PRO-005</x:v>
      </x:c>
      <x:c r="B22" s="207" t="str">
        <x:v>Storyboard</x:v>
      </x:c>
      <x:c r="C22" s="207" t="str">
        <x:v>Comprensión de usuario / prototipado</x:v>
      </x:c>
      <x:c r="D22" s="207" t="str">
        <x:v>TRL 3–5</x:v>
      </x:c>
      <x:c r="E22" s="207" t="str">
        <x:v>CRL 2–3</x:v>
      </x:c>
      <x:c r="F22" s="207" t="str">
        <x:v>Ventana de mayor pertinencia, no uso exclusivo</x:v>
      </x:c>
      <x:c r="G22" s="207" t="str">
        <x:v>Guía orientativa</x:v>
      </x:c>
      <x:c r="H22" s="207" t="str">
        <x:v>Herramientas_TRL_CRL.docx</x:v>
      </x:c>
      <x:c r="I22" s="207" t="str">
        <x:v>Por validar CEDIA</x:v>
      </x:c>
      <x:c r="J22" s="207" t="str">
        <x:v>Usar según brecha de experiencia/prototipado.</x:v>
      </x:c>
    </x:row>
    <x:row r="23">
      <x:c r="A23" s="207" t="str">
        <x:v>SER-001</x:v>
      </x:c>
      <x:c r="B23" s="207" t="str">
        <x:v>Servucción</x:v>
      </x:c>
      <x:c r="C23" s="207" t="str">
        <x:v>Diseño del sistema de entrega</x:v>
      </x:c>
      <x:c r="D23" s="207" t="str">
        <x:v>TRL 4–6</x:v>
      </x:c>
      <x:c r="E23" s="207" t="str">
        <x:v>CRL 3–4</x:v>
      </x:c>
      <x:c r="F23" s="207" t="str">
        <x:v>Aplica cuando la innovación es o incluye servicio</x:v>
      </x:c>
      <x:c r="G23" s="207" t="str">
        <x:v>Guía orientativa</x:v>
      </x:c>
      <x:c r="H23" s="207" t="str">
        <x:v>Herramientas_TRL_CRL.docx</x:v>
      </x:c>
      <x:c r="I23" s="207" t="str">
        <x:v>Por validar CEDIA</x:v>
      </x:c>
      <x:c r="J23" s="207" t="str">
        <x:v>Condicionar por tipo de proyecto/servicio.</x:v>
      </x:c>
    </x:row>
    <x:row r="24">
      <x:c r="A24" s="207" t="str">
        <x:v>PRO-003</x:v>
      </x:c>
      <x:c r="B24" s="207" t="str">
        <x:v>¿Qué debe hacer mi solución?</x:v>
      </x:c>
      <x:c r="C24" s="207" t="str">
        <x:v>Definición de la solución</x:v>
      </x:c>
      <x:c r="D24" s="207" t="str">
        <x:v>TRL 4–5</x:v>
      </x:c>
      <x:c r="E24" s="207" t="str">
        <x:v>CRL 2</x:v>
      </x:c>
      <x:c r="F24" s="207" t="str">
        <x:v>Ventana de mayor pertinencia, no uso exclusivo</x:v>
      </x:c>
      <x:c r="G24" s="207" t="str">
        <x:v>Guía orientativa</x:v>
      </x:c>
      <x:c r="H24" s="207" t="str">
        <x:v>Herramientas_TRL_CRL.docx</x:v>
      </x:c>
      <x:c r="I24" s="207" t="str">
        <x:v>Por validar CEDIA</x:v>
      </x:c>
      <x:c r="J24" s="207" t="str">
        <x:v>Usar cuando falte traducir necesidades a atributos.</x:v>
      </x:c>
    </x:row>
    <x:row r="25">
      <x:c r="A25" s="207" t="str">
        <x:v>PRO-004</x:v>
      </x:c>
      <x:c r="B25" s="207" t="str">
        <x:v>Requisitos de Solución</x:v>
      </x:c>
      <x:c r="C25" s="207" t="str">
        <x:v>Definición de la solución</x:v>
      </x:c>
      <x:c r="D25" s="207" t="str">
        <x:v>TRL 4–6</x:v>
      </x:c>
      <x:c r="E25" s="207" t="str">
        <x:v>CRL 2–3</x:v>
      </x:c>
      <x:c r="F25" s="207" t="str">
        <x:v>Ventana de mayor pertinencia, no uso exclusivo</x:v>
      </x:c>
      <x:c r="G25" s="207" t="str">
        <x:v>Guía orientativa</x:v>
      </x:c>
      <x:c r="H25" s="207" t="str">
        <x:v>Herramientas_TRL_CRL.docx</x:v>
      </x:c>
      <x:c r="I25" s="207" t="str">
        <x:v>Por validar CEDIA</x:v>
      </x:c>
      <x:c r="J25" s="207" t="str">
        <x:v>Usar cuando falten requisitos.</x:v>
      </x:c>
    </x:row>
    <x:row r="26">
      <x:c r="A26" s="207" t="str">
        <x:v>NEG-002</x:v>
      </x:c>
      <x:c r="B26" s="207" t="str">
        <x:v>Lienzo de Propuesta de Valor</x:v>
      </x:c>
      <x:c r="C26" s="207" t="str">
        <x:v>Definición de la solución</x:v>
      </x:c>
      <x:c r="D26" s="207" t="str">
        <x:v>TRL 5–6</x:v>
      </x:c>
      <x:c r="E26" s="207" t="str">
        <x:v>CRL 3–4</x:v>
      </x:c>
      <x:c r="F26" s="207" t="str">
        <x:v>Ventana de mayor pertinencia, no uso exclusivo</x:v>
      </x:c>
      <x:c r="G26" s="207" t="str">
        <x:v>Guía orientativa</x:v>
      </x:c>
      <x:c r="H26" s="207" t="str">
        <x:v>Herramientas_TRL_CRL.docx</x:v>
      </x:c>
      <x:c r="I26" s="207" t="str">
        <x:v>Por validar CEDIA</x:v>
      </x:c>
      <x:c r="J26" s="207" t="str">
        <x:v>No confundir con fit validado sin clientes.</x:v>
      </x:c>
    </x:row>
    <x:row r="27">
      <x:c r="A27" s="207" t="str">
        <x:v>MKT-003</x:v>
      </x:c>
      <x:c r="B27" s="207" t="str">
        <x:v>FODA</x:v>
      </x:c>
      <x:c r="C27" s="207" t="str">
        <x:v>Estrategia y validación de mercado</x:v>
      </x:c>
      <x:c r="D27" s="207" t="str">
        <x:v>TRL 5–9</x:v>
      </x:c>
      <x:c r="E27" s="207" t="str">
        <x:v>CRL 3–6</x:v>
      </x:c>
      <x:c r="F27" s="207" t="str">
        <x:v>Herramienta iterativa</x:v>
      </x:c>
      <x:c r="G27" s="207" t="str">
        <x:v>Guía orientativa</x:v>
      </x:c>
      <x:c r="H27" s="207" t="str">
        <x:v>Herramientas_TRL_CRL.docx</x:v>
      </x:c>
      <x:c r="I27" s="207" t="str">
        <x:v>Por validar CEDIA</x:v>
      </x:c>
      <x:c r="J27" s="207" t="str">
        <x:v>Puede repetirse; no restringir a una sola etapa.</x:v>
      </x:c>
    </x:row>
    <x:row r="28">
      <x:c r="A28" s="207" t="str">
        <x:v>MKT-004</x:v>
      </x:c>
      <x:c r="B28" s="207" t="str">
        <x:v>Mapa de Posicionamiento</x:v>
      </x:c>
      <x:c r="C28" s="207" t="str">
        <x:v>Estrategia y validación de mercado</x:v>
      </x:c>
      <x:c r="D28" s="207" t="str">
        <x:v>TRL 6–8</x:v>
      </x:c>
      <x:c r="E28" s="207" t="str">
        <x:v>CRL 4–6</x:v>
      </x:c>
      <x:c r="F28" s="207" t="str">
        <x:v>Ventana de mayor pertinencia, no uso exclusivo</x:v>
      </x:c>
      <x:c r="G28" s="207" t="str">
        <x:v>Guía orientativa</x:v>
      </x:c>
      <x:c r="H28" s="207" t="str">
        <x:v>Herramientas_TRL_CRL.docx</x:v>
      </x:c>
      <x:c r="I28" s="207" t="str">
        <x:v>Por validar CEDIA</x:v>
      </x:c>
      <x:c r="J28" s="207" t="str">
        <x:v>Exigir evidencia competitiva/cliente.</x:v>
      </x:c>
    </x:row>
    <x:row r="29">
      <x:c r="A29" s="207" t="str">
        <x:v>MKT-005</x:v>
      </x:c>
      <x:c r="B29" s="207" t="str">
        <x:v>Pitch Canvas</x:v>
      </x:c>
      <x:c r="C29" s="207" t="str">
        <x:v>Comunicación y levantamiento de capital</x:v>
      </x:c>
      <x:c r="D29" s="207" t="str">
        <x:v>TRL 7–9</x:v>
      </x:c>
      <x:c r="E29" s="207" t="str">
        <x:v>CRL 5–7</x:v>
      </x:c>
      <x:c r="F29" s="207" t="str">
        <x:v>Ventana de mayor pertinencia, no uso exclusivo</x:v>
      </x:c>
      <x:c r="G29" s="207" t="str">
        <x:v>Guía orientativa</x:v>
      </x:c>
      <x:c r="H29" s="207" t="str">
        <x:v>Herramientas_TRL_CRL.docx</x:v>
      </x:c>
      <x:c r="I29" s="207" t="str">
        <x:v>Por validar CEDIA</x:v>
      </x:c>
      <x:c r="J29" s="207" t="str">
        <x:v>Recomendar cuando exista evidencia suficiente para comunicar.</x:v>
      </x:c>
    </x:row>
    <x:row r="30">
      <x:c r="A30" s="207" t="str">
        <x:v>NEG-001</x:v>
      </x:c>
      <x:c r="B30" s="207" t="str">
        <x:v>Business Model Canvas</x:v>
      </x:c>
      <x:c r="C30" s="207" t="str">
        <x:v>Modelo de negocio</x:v>
      </x:c>
      <x:c r="D30" s="207" t="str">
        <x:v>TRL 6–9</x:v>
      </x:c>
      <x:c r="E30" s="207" t="str">
        <x:v>CRL 4–9</x:v>
      </x:c>
      <x:c r="F30" s="207" t="str">
        <x:v>Herramienta iterativa</x:v>
      </x:c>
      <x:c r="G30" s="207" t="str">
        <x:v>Guía orientativa</x:v>
      </x:c>
      <x:c r="H30" s="207" t="str">
        <x:v>Herramientas_TRL_CRL.docx</x:v>
      </x:c>
      <x:c r="I30" s="207" t="str">
        <x:v>Por validar CEDIA</x:v>
      </x:c>
      <x:c r="J30" s="207" t="str">
        <x:v>Puede existir antes como hipótesis; refinar con evidencia.</x:v>
      </x:c>
    </x:row>
  </x:sheetData>
  <x:mergeCells>
    <x:mergeCell ref="A1:J1"/>
    <x:mergeCell ref="A2:J2"/>
  </x:mergeCells>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42" hidden="0" customWidth="1"/>
    <x:col min="3" max="3" width="34" hidden="0" customWidth="1"/>
    <x:col min="4" max="4" width="34" hidden="0" customWidth="1"/>
    <x:col min="5" max="5" width="32" hidden="0" customWidth="1"/>
    <x:col min="6" max="6" width="32" hidden="0" customWidth="1"/>
    <x:col min="7" max="7" width="44" hidden="0" customWidth="1"/>
    <x:col min="8" max="8" width="24" hidden="0" customWidth="1"/>
  </x:cols>
  <x:sheetData>
    <x:row r="1">
      <x:c r="A1" s="250" t="str">
        <x:v>18 — LÓGICA DEL MOTOR DE DECISIÓN RUTA CEDIA</x:v>
      </x:c>
      <x:c r="B1" s="250" t="str">
        <x:v>18 — LÓGICA DEL MOTOR DE DECISIÓN RUTA CEDIA</x:v>
      </x:c>
      <x:c r="C1" s="250" t="str">
        <x:v>18 — LÓGICA DEL MOTOR DE DECISIÓN RUTA CEDIA</x:v>
      </x:c>
      <x:c r="D1" s="250" t="str">
        <x:v>18 — LÓGICA DEL MOTOR DE DECISIÓN RUTA CEDIA</x:v>
      </x:c>
      <x:c r="E1" s="250" t="str">
        <x:v>18 — LÓGICA DEL MOTOR DE DECISIÓN RUTA CEDIA</x:v>
      </x:c>
      <x:c r="F1" s="250" t="str">
        <x:v>18 — LÓGICA DEL MOTOR DE DECISIÓN RUTA CEDIA</x:v>
      </x:c>
      <x:c r="G1" s="250" t="str">
        <x:v>18 — LÓGICA DEL MOTOR DE DECISIÓN RUTA CEDIA</x:v>
      </x:c>
      <x:c r="H1" s="250" t="str">
        <x:v>18 — LÓGICA DEL MOTOR DE DECISIÓN RUTA CEDIA</x:v>
      </x:c>
    </x:row>
    <x:row r="2">
      <x:c r="A2" s="277" t="str">
        <x:v>Propuesta técnica para convertir 05_REGLAS_RUTA en comportamiento de aplicación. No usa puntajes arbitrarios: primero excluye, luego resuelve prerrequisitos y finalmente prioriza por brecha/objetivo. TRL/CRL solo contextualizan y ayudan a desempatar.</x:v>
      </x:c>
      <x:c r="B2" s="277" t="str">
        <x:v>Propuesta técnica para convertir 05_REGLAS_RUTA en comportamiento de aplicación. No usa puntajes arbitrarios: primero excluye, luego resuelve prerrequisitos y finalmente prioriza por brecha/objetivo. TRL/CRL solo contextualizan y ayudan a desempatar.</x:v>
      </x:c>
      <x:c r="C2" s="277" t="str">
        <x:v>Propuesta técnica para convertir 05_REGLAS_RUTA en comportamiento de aplicación. No usa puntajes arbitrarios: primero excluye, luego resuelve prerrequisitos y finalmente prioriza por brecha/objetivo. TRL/CRL solo contextualizan y ayudan a desempatar.</x:v>
      </x:c>
      <x:c r="D2" s="277" t="str">
        <x:v>Propuesta técnica para convertir 05_REGLAS_RUTA en comportamiento de aplicación. No usa puntajes arbitrarios: primero excluye, luego resuelve prerrequisitos y finalmente prioriza por brecha/objetivo. TRL/CRL solo contextualizan y ayudan a desempatar.</x:v>
      </x:c>
      <x:c r="E2" s="277" t="str">
        <x:v>Propuesta técnica para convertir 05_REGLAS_RUTA en comportamiento de aplicación. No usa puntajes arbitrarios: primero excluye, luego resuelve prerrequisitos y finalmente prioriza por brecha/objetivo. TRL/CRL solo contextualizan y ayudan a desempatar.</x:v>
      </x:c>
      <x:c r="F2" s="277" t="str">
        <x:v>Propuesta técnica para convertir 05_REGLAS_RUTA en comportamiento de aplicación. No usa puntajes arbitrarios: primero excluye, luego resuelve prerrequisitos y finalmente prioriza por brecha/objetivo. TRL/CRL solo contextualizan y ayudan a desempatar.</x:v>
      </x:c>
      <x:c r="G2" s="277" t="str">
        <x:v>Propuesta técnica para convertir 05_REGLAS_RUTA en comportamiento de aplicación. No usa puntajes arbitrarios: primero excluye, luego resuelve prerrequisitos y finalmente prioriza por brecha/objetivo. TRL/CRL solo contextualizan y ayudan a desempatar.</x:v>
      </x:c>
      <x:c r="H2" s="277" t="str">
        <x:v>Propuesta técnica para convertir 05_REGLAS_RUTA en comportamiento de aplicación. No usa puntajes arbitrarios: primero excluye, luego resuelve prerrequisitos y finalmente prioriza por brecha/objetivo. TRL/CRL solo contextualizan y ayudan a desempatar.</x:v>
      </x:c>
    </x:row>
    <x:row r="4">
      <x:c r="A4" s="278" t="str">
        <x:v>ORDEN</x:v>
      </x:c>
      <x:c r="B4" s="278" t="str">
        <x:v>PREGUNTA DEL MOTOR</x:v>
      </x:c>
      <x:c r="C4" s="278" t="str">
        <x:v>SI</x:v>
      </x:c>
      <x:c r="D4" s="278" t="str">
        <x:v>NO</x:v>
      </x:c>
      <x:c r="E4" s="278" t="str">
        <x:v>FUENTE PRINCIPAL</x:v>
      </x:c>
      <x:c r="F4" s="278" t="str">
        <x:v>SALIDA</x:v>
      </x:c>
      <x:c r="G4" s="278" t="str">
        <x:v>REGLA</x:v>
      </x:c>
      <x:c r="H4" s="278" t="str">
        <x:v>ESTADO</x:v>
      </x:c>
    </x:row>
    <x:row r="5">
      <x:c r="A5" s="207" t="n">
        <x:v>1</x:v>
      </x:c>
      <x:c r="B5" s="207" t="str">
        <x:v>¿La herramienta aplica al tipo de proyecto/objetivo actual?</x:v>
      </x:c>
      <x:c r="C5" s="207" t="str">
        <x:v>Continuar</x:v>
      </x:c>
      <x:c r="D5" s="207" t="str">
        <x:v>Excluir candidato</x:v>
      </x:c>
      <x:c r="E5" s="207" t="str">
        <x:v>01_HERRAMIENTAS + 05_REGLAS_RUTA</x:v>
      </x:c>
      <x:c r="F5" s="207" t="str">
        <x:v>Candidatos aplicables</x:v>
      </x:c>
      <x:c r="G5" s="207" t="str">
        <x:v>No restringir por TRL fijo.</x:v>
      </x:c>
      <x:c r="H5" s="207" t="str">
        <x:v>Propuesta — validar CEDIA</x:v>
      </x:c>
    </x:row>
    <x:row r="6">
      <x:c r="A6" s="207" t="n">
        <x:v>2</x:v>
      </x:c>
      <x:c r="B6" s="207" t="str">
        <x:v>¿Existe la brecha asociada?</x:v>
      </x:c>
      <x:c r="C6" s="207" t="str">
        <x:v>Continuar</x:v>
      </x:c>
      <x:c r="D6" s="207" t="str">
        <x:v>No recomendar</x:v>
      </x:c>
      <x:c r="E6" s="207" t="str">
        <x:v>02_BRECHAS + diagnóstico</x:v>
      </x:c>
      <x:c r="F6" s="207" t="str">
        <x:v>Brecha activa</x:v>
      </x:c>
      <x:c r="G6" s="207" t="str">
        <x:v>La brecha es el criterio principal de activación.</x:v>
      </x:c>
      <x:c r="H6" s="207" t="str">
        <x:v>Propuesta — validar CEDIA</x:v>
      </x:c>
    </x:row>
    <x:row r="7">
      <x:c r="A7" s="207" t="n">
        <x:v>3</x:v>
      </x:c>
      <x:c r="B7" s="207" t="str">
        <x:v>¿Falta la evidencia o la existente no cumple calidad?</x:v>
      </x:c>
      <x:c r="C7" s="207" t="str">
        <x:v>Continuar</x:v>
      </x:c>
      <x:c r="D7" s="207" t="str">
        <x:v>Excluir, salvo disparador de iteración</x:v>
      </x:c>
      <x:c r="E7" s="207" t="str">
        <x:v>04_EVIDENCIAS</x:v>
      </x:c>
      <x:c r="F7" s="207" t="str">
        <x:v>Necesidad real de herramienta</x:v>
      </x:c>
      <x:c r="G7" s="207" t="str">
        <x:v>No repetir por repetir.</x:v>
      </x:c>
      <x:c r="H7" s="207" t="str">
        <x:v>Propuesta — validar CEDIA</x:v>
      </x:c>
    </x:row>
    <x:row r="8">
      <x:c r="A8" s="207" t="n">
        <x:v>4</x:v>
      </x:c>
      <x:c r="B8" s="207" t="str">
        <x:v>¿Se cumplen los prerrequisitos de EVIDENCIA de la herramienta?</x:v>
      </x:c>
      <x:c r="C8" s="207" t="str">
        <x:v>Continuar</x:v>
      </x:c>
      <x:c r="D8" s="207" t="str">
        <x:v>Resolver la evidencia faltante; elegir la fuente/herramienta más adecuada, no una cadena fija.</x:v>
      </x:c>
      <x:c r="E8" s="207" t="str">
        <x:v>01_HERRAMIENTAS + 20_PRERREQUISITOS_EVIDENCIA + 07_DEPENDENCIAS</x:v>
      </x:c>
      <x:c r="F8" s="207" t="str">
        <x:v>Prerrequisitos OK</x:v>
      </x:c>
      <x:c r="G8" s="207" t="str">
        <x:v>Primero comprobar la evidencia necesaria. Una herramienta antecedente solo se exige si no existe evidencia equivalente suficiente.</x:v>
      </x:c>
      <x:c r="H8" s="207" t="str">
        <x:v>Propuesta — validar CEDIA</x:v>
      </x:c>
    </x:row>
    <x:row r="9">
      <x:c r="A9" s="207" t="n">
        <x:v>5</x:v>
      </x:c>
      <x:c r="B9" s="207" t="str">
        <x:v>¿Existe un bloqueo condicional activo?</x:v>
      </x:c>
      <x:c r="C9" s="207" t="str">
        <x:v>Recomendar primero resolver bloqueo</x:v>
      </x:c>
      <x:c r="D9" s="207" t="str">
        <x:v>Continuar</x:v>
      </x:c>
      <x:c r="E9" s="207" t="str">
        <x:v>07_DEPENDENCIAS</x:v>
      </x:c>
      <x:c r="F9" s="207" t="str">
        <x:v>Gate resuelto</x:v>
      </x:c>
      <x:c r="G9" s="207" t="str">
        <x:v>Bloqueo no equivale a prohibición universal.</x:v>
      </x:c>
      <x:c r="H9" s="207" t="str">
        <x:v>Propuesta — validar CEDIA</x:v>
      </x:c>
    </x:row>
    <x:row r="10">
      <x:c r="A10" s="207" t="n">
        <x:v>6</x:v>
      </x:c>
      <x:c r="B10" s="207" t="str">
        <x:v>¿Hay herramientas alternativas para la misma necesidad?</x:v>
      </x:c>
      <x:c r="C10" s="207" t="str">
        <x:v>Elegir la más específica al objetivo/evidencia</x:v>
      </x:c>
      <x:c r="D10" s="207" t="str">
        <x:v>Continuar</x:v>
      </x:c>
      <x:c r="E10" s="207" t="str">
        <x:v>07_DEPENDENCIAS</x:v>
      </x:c>
      <x:c r="F10" s="207" t="str">
        <x:v>Una recomendación principal + alternativas</x:v>
      </x:c>
      <x:c r="G10" s="207" t="str">
        <x:v>No obligar a ejecutar todas.</x:v>
      </x:c>
      <x:c r="H10" s="207" t="str">
        <x:v>Propuesta — validar CEDIA</x:v>
      </x:c>
    </x:row>
    <x:row r="11">
      <x:c r="A11" s="207" t="n">
        <x:v>7</x:v>
      </x:c>
      <x:c r="B11" s="207" t="str">
        <x:v>¿TRL/CRL y Cadena de Valor sugieren que la herramienta es pertinente ahora?</x:v>
      </x:c>
      <x:c r="C11" s="207" t="str">
        <x:v>Aumentar pertinencia/desempatar</x:v>
      </x:c>
      <x:c r="D11" s="207" t="str">
        <x:v>Mantener si la brecha es real; advertir uso temprano/tardío</x:v>
      </x:c>
      <x:c r="E11" s="207" t="str">
        <x:v>03, 11, 12, 13 y 17</x:v>
      </x:c>
      <x:c r="F11" s="207" t="str">
        <x:v>Contexto de madurez</x:v>
      </x:c>
      <x:c r="G11" s="207" t="str">
        <x:v>Nunca convertir la ventana externa en filtro rígido.</x:v>
      </x:c>
      <x:c r="H11" s="207" t="str">
        <x:v>Propuesta — validar CEDIA</x:v>
      </x:c>
    </x:row>
    <x:row r="12">
      <x:c r="A12" s="207" t="n">
        <x:v>8</x:v>
      </x:c>
      <x:c r="B12" s="207" t="str">
        <x:v>Asignar prioridad</x:v>
      </x:c>
      <x:c r="C12" s="207" t="str">
        <x:v>P1 si bloquea objetivo; P2 brecha alta; P3 mejora; P4 opcional</x:v>
      </x:c>
      <x:c r="D12" s="207" t="str">
        <x:v>—</x:v>
      </x:c>
      <x:c r="E12" s="207" t="str">
        <x:v>05_REGLAS_RUTA</x:v>
      </x:c>
      <x:c r="F12" s="207" t="str">
        <x:v>Prioridad final</x:v>
      </x:c>
      <x:c r="G12" s="207" t="str">
        <x:v>La prioridad puede cambiar por objetivo y dependencias.</x:v>
      </x:c>
      <x:c r="H12" s="207" t="str">
        <x:v>Propuesta — validar CEDIA</x:v>
      </x:c>
    </x:row>
    <x:row r="13">
      <x:c r="A13" s="207" t="n">
        <x:v>9</x:v>
      </x:c>
      <x:c r="B13" s="207" t="str">
        <x:v>Recomendar</x:v>
      </x:c>
      <x:c r="C13" s="207" t="str">
        <x:v>Mostrar herramienta, por qué, prerrequisitos y evidencia esperada</x:v>
      </x:c>
      <x:c r="D13" s="207" t="str">
        <x:v>—</x:v>
      </x:c>
      <x:c r="E13" s="207" t="str">
        <x:v>05_REGLAS_RUTA</x:v>
      </x:c>
      <x:c r="F13" s="207" t="str">
        <x:v>Siguiente mejor acción</x:v>
      </x:c>
      <x:c r="G13" s="207" t="str">
        <x:v>Máximo una principal y hasta dos complementarias.</x:v>
      </x:c>
      <x:c r="H13" s="207" t="str">
        <x:v>Propuesta — validar CEDIA</x:v>
      </x:c>
    </x:row>
    <x:row r="14">
      <x:c r="A14" s="207" t="n">
        <x:v>10</x:v>
      </x:c>
      <x:c r="B14" s="207" t="str">
        <x:v>Al completar la herramienta</x:v>
      </x:c>
      <x:c r="C14" s="207" t="str">
        <x:v>Registrar evidencia y reevaluar brecha/objetivo</x:v>
      </x:c>
      <x:c r="D14" s="207" t="str">
        <x:v>—</x:v>
      </x:c>
      <x:c r="E14" s="207" t="str">
        <x:v>04_EVIDENCIAS + expediente del proyecto</x:v>
      </x:c>
      <x:c r="F14" s="207" t="str">
        <x:v>Nueva decisión</x:v>
      </x:c>
      <x:c r="G14" s="207" t="str">
        <x:v>La ruta se recalcula, no avanza por una lista fija.</x:v>
      </x:c>
      <x:c r="H14" s="207" t="str">
        <x:v>Propuesta — validar CEDIA</x:v>
      </x:c>
    </x:row>
    <x:row r="17">
      <x:c r="A17" s="280" t="str">
        <x:v>PSEUDOCÓDIGO GLOBAL</x:v>
      </x:c>
      <x:c r="B17" s="280" t="str">
        <x:v>PSEUDOCÓDIGO GLOBAL</x:v>
      </x:c>
      <x:c r="C17" s="280" t="str">
        <x:v>PSEUDOCÓDIGO GLOBAL</x:v>
      </x:c>
      <x:c r="D17" s="280" t="str">
        <x:v>PSEUDOCÓDIGO GLOBAL</x:v>
      </x:c>
      <x:c r="E17" s="280" t="str">
        <x:v>PSEUDOCÓDIGO GLOBAL</x:v>
      </x:c>
      <x:c r="F17" s="280" t="str">
        <x:v>PSEUDOCÓDIGO GLOBAL</x:v>
      </x:c>
      <x:c r="G17" s="280" t="str">
        <x:v>PSEUDOCÓDIGO GLOBAL</x:v>
      </x:c>
      <x:c r="H17" s="280" t="str">
        <x:v>PSEUDOCÓDIGO GLOBAL</x:v>
      </x:c>
    </x:row>
    <x:row r="18">
      <x:c r="A18"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B18"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C18"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D18"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E18"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F18"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G18"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H18"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row>
    <x:row r="19">
      <x:c r="A19"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B19"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C19"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D19"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E19"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F19"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G19"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H19"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row>
    <x:row r="20">
      <x:c r="A20"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B20"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C20"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D20"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E20"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F20"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G20"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H20"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row>
    <x:row r="21">
      <x:c r="A21"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B21"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C21"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D21"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E21"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F21"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G21"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H21"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row>
    <x:row r="22">
      <x:c r="A22"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B22"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C22"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D22"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E22"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F22"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G22"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H22"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row>
    <x:row r="23">
      <x:c r="A23"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B23"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C23"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D23"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E23"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F23"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G23"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H23"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row>
    <x:row r="24">
      <x:c r="A24"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B24"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C24"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D24"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E24"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F24"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G24"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c r="H24" s="284" t="str">
        <x:v>1. calcular_TRL_CRL_segun_tipo_proyecto()
2. detectar_brechas()
3. para cada herramienta candidata:
   - comprobar 20_PRERREQUISITOS_EVIDENCIA
   - aceptar evidencia equivalente aunque no venga de otra herramienta CEDIA
   - descartar si no aplica al tipo/objetivo
   - descartar si evidencia válida de salida ya existe y no hay disparador de iteración
   - si falta evidencia de entrada, recomendar la fuente/herramienta que mejor la produzca
   - si hay bloqueo condicional activo, resolverlo antes
4. mantener candidatas que resuelven una brecha activa
5. priorizar por impacto en el objetivo y severidad de la brecha
6. usar TRL/CRL/Cadena de Valor como contexto y desempate, nunca como ruta fija
7. devolver 1 recomendación principal + hasta 2 complementarias
8. registrar la evidencia generada y recalcular toda la ruta</x:v>
      </x:c>
    </x:row>
  </x:sheetData>
  <x:mergeCells>
    <x:mergeCell ref="A1:H1"/>
    <x:mergeCell ref="A2:H2"/>
    <x:mergeCell ref="A17:H17"/>
    <x:mergeCell ref="A18:H24"/>
  </x:mergeCells>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18" hidden="0" customWidth="1"/>
    <x:col min="3" max="3" width="14" hidden="0" customWidth="1"/>
    <x:col min="4" max="4" width="48" hidden="0" customWidth="1"/>
    <x:col min="5" max="5" width="42" hidden="0" customWidth="1"/>
    <x:col min="6" max="6" width="38" hidden="0" customWidth="1"/>
  </x:cols>
  <x:sheetData>
    <x:row r="1">
      <x:c r="A1" s="249" t="str">
        <x:v>19 — CONTROL DE CALIDAD DE LAS REGLAS</x:v>
      </x:c>
      <x:c r="B1" s="249" t="str">
        <x:v>19 — CONTROL DE CALIDAD DE LAS REGLAS</x:v>
      </x:c>
      <x:c r="C1" s="249" t="str">
        <x:v>19 — CONTROL DE CALIDAD DE LAS REGLAS</x:v>
      </x:c>
      <x:c r="D1" s="249" t="str">
        <x:v>19 — CONTROL DE CALIDAD DE LAS REGLAS</x:v>
      </x:c>
      <x:c r="E1" s="249" t="str">
        <x:v>19 — CONTROL DE CALIDAD DE LAS REGLAS</x:v>
      </x:c>
      <x:c r="F1" s="249" t="str">
        <x:v>19 — CONTROL DE CALIDAD DE LAS REGLAS</x:v>
      </x:c>
    </x:row>
    <x:row r="3">
      <x:c r="A3" s="278" t="str">
        <x:v>CONTROL</x:v>
      </x:c>
      <x:c r="B3" s="278" t="str">
        <x:v>RESULTADO</x:v>
      </x:c>
      <x:c r="C3" s="278" t="str">
        <x:v>ESTADO</x:v>
      </x:c>
      <x:c r="D3" s="278" t="str">
        <x:v>QUÉ SE REVISÓ</x:v>
      </x:c>
      <x:c r="E3" s="278" t="str">
        <x:v>RIESGO RESTANTE</x:v>
      </x:c>
      <x:c r="F3" s="278" t="str">
        <x:v>SIGUIENTE ACCIÓN</x:v>
      </x:c>
    </x:row>
    <x:row r="4">
      <x:c r="A4" s="207" t="str">
        <x:v>Cobertura de herramientas</x:v>
      </x:c>
      <x:c r="B4" s="207" t="n">
        <x:v>34</x:v>
      </x:c>
      <x:c r="C4" s="207" t="str">
        <x:v>Cumple</x:v>
      </x:c>
      <x:c r="D4" s="207" t="str">
        <x:v>Las 34 herramientas del portafolio propuesto tienen una regla primaria de activación.</x:v>
      </x:c>
      <x:c r="E4" s="207" t="str">
        <x:v>8 son propuestas externas y requieren validación institucional.</x:v>
      </x:c>
      <x:c r="F4" s="207" t="str">
        <x:v>Validar incorporación formal con CEDIA antes de automatizar.</x:v>
      </x:c>
    </x:row>
    <x:row r="5">
      <x:c r="A5" s="207" t="str">
        <x:v>Reglas iterativas</x:v>
      </x:c>
      <x:c r="B5" s="207" t="n">
        <x:v>10</x:v>
      </x:c>
      <x:c r="C5" s="207" t="str">
        <x:v>Cumple</x:v>
      </x:c>
      <x:c r="D5" s="207" t="str">
        <x:v>Se añadieron reglas de actualización para herramientas que pueden quedar obsoletas por nueva evidencia.</x:v>
      </x:c>
      <x:c r="E5" s="207" t="str">
        <x:v>Puede requerirse añadir otras iterativas después del piloto.</x:v>
      </x:c>
      <x:c r="F5" s="207" t="str">
        <x:v>Observar comportamiento en casos de prueba.</x:v>
      </x:c>
    </x:row>
    <x:row r="6">
      <x:c r="A6" s="207" t="str">
        <x:v>Dependencias direccionales con ciclos</x:v>
      </x:c>
      <x:c r="B6" s="207" t="n">
        <x:v>0</x:v>
      </x:c>
      <x:c r="C6" s="207" t="str">
        <x:v>Cumple</x:v>
      </x:c>
      <x:c r="D6" s="207" t="str">
        <x:v>Se revisaron relaciones «Antes de» y «Bloquea a»; no se detectaron ciclos.</x:v>
      </x:c>
      <x:c r="E6" s="207" t="str">
        <x:v>Complementariedades no son secuencias y no se tratan como ciclos.</x:v>
      </x:c>
      <x:c r="F6" s="207" t="str">
        <x:v>Mantener control al editar 07_DEPENDENCIAS.</x:v>
      </x:c>
    </x:row>
    <x:row r="7">
      <x:c r="A7" s="207" t="str">
        <x:v>TRL/CRL como bloqueo rígido</x:v>
      </x:c>
      <x:c r="B7" s="207" t="n">
        <x:v>0</x:v>
      </x:c>
      <x:c r="C7" s="207" t="str">
        <x:v>Cumple</x:v>
      </x:c>
      <x:c r="D7" s="207" t="str">
        <x:v>TRL_MIN/MAX y CRL_MIN/MAX permanecen vacíos porque no existe regla oficial herramienta=nivel.</x:v>
      </x:c>
      <x:c r="E7" s="207" t="str">
        <x:v>Falta validación CEDIA de relaciones de madurez.</x:v>
      </x:c>
      <x:c r="F7" s="207" t="str">
        <x:v>Cruzar con casos reales antes de fijar límites.</x:v>
      </x:c>
    </x:row>
    <x:row r="8">
      <x:c r="A8" s="207" t="str">
        <x:v>Uso de referencia externa</x:v>
      </x:c>
      <x:c r="B8" s="207" t="str">
        <x:v>Contextual</x:v>
      </x:c>
      <x:c r="C8" s="207" t="str">
        <x:v>Cumple</x:v>
      </x:c>
      <x:c r="D8" s="207" t="str">
        <x:v>17_MAPEO_TRL_CRL_REF solo aparece como ventana orientativa.</x:v>
      </x:c>
      <x:c r="E8" s="207" t="str">
        <x:v>Una futura implementación podría usarla erróneamente como filtro.</x:v>
      </x:c>
      <x:c r="F8" s="207" t="str">
        <x:v>Mantener advertencia en código/app.</x:v>
      </x:c>
    </x:row>
    <x:row r="9">
      <x:c r="A9" s="207" t="str">
        <x:v>Evidencia equivalente</x:v>
      </x:c>
      <x:c r="B9" s="207" t="str">
        <x:v>Incluida</x:v>
      </x:c>
      <x:c r="C9" s="207" t="str">
        <x:v>Cumple</x:v>
      </x:c>
      <x:c r="D9" s="207" t="str">
        <x:v>Las reglas excluyen repetición cuando ya existe evidencia válida o equivalente.</x:v>
      </x:c>
      <x:c r="E9" s="207" t="str">
        <x:v>Se debe definir cómo se calificará calidad de evidencia en la app.</x:v>
      </x:c>
      <x:c r="F9" s="207" t="str">
        <x:v>Crear rúbrica de calidad en siguiente fase.</x:v>
      </x:c>
    </x:row>
    <x:row r="10">
      <x:c r="A10" s="207" t="str">
        <x:v>Tipo de proyecto</x:v>
      </x:c>
      <x:c r="B10" s="207" t="str">
        <x:v>Incluido</x:v>
      </x:c>
      <x:c r="C10" s="207" t="str">
        <x:v>Cumple</x:v>
      </x:c>
      <x:c r="D10" s="207" t="str">
        <x:v>Servucción se condiciona a componente de servicio; requisitos se adaptan por tipo; resto se activa principalmente por brecha.</x:v>
      </x:c>
      <x:c r="E10" s="207" t="str">
        <x:v>Puede requerirse especialización adicional para farmacéuticos/software.</x:v>
      </x:c>
      <x:c r="F10" s="207" t="str">
        <x:v>Validar con especialistas CEDIA.</x:v>
      </x:c>
    </x:row>
    <x:row r="11">
      <x:c r="A11" s="207" t="str">
        <x:v>Objetivo del usuario</x:v>
      </x:c>
      <x:c r="B11" s="207" t="str">
        <x:v>Incluido</x:v>
      </x:c>
      <x:c r="C11" s="207" t="str">
        <x:v>Cumple</x:v>
      </x:c>
      <x:c r="D11" s="207" t="str">
        <x:v>Cada regla registra el objetivo al que responde y permite escalar prioridad si bloquea la meta actual.</x:v>
      </x:c>
      <x:c r="E11" s="207" t="str">
        <x:v>Aún falta capturar explícitamente el objetivo en la interfaz.</x:v>
      </x:c>
      <x:c r="F11" s="207" t="str">
        <x:v>Añadir pregunta de objetivo en diagnóstico/prototipo.</x:v>
      </x:c>
    </x:row>
    <x:row r="12">
      <x:c r="A12" s="207" t="str">
        <x:v>Prerrequisitos de evidencia</x:v>
      </x:c>
      <x:c r="B12" s="207" t="n">
        <x:v>34</x:v>
      </x:c>
      <x:c r="C12" s="207" t="str">
        <x:v>Cumple</x:v>
      </x:c>
      <x:c r="D12" s="207" t="str">
        <x:v>Las 34 herramientas tienen una entrada/evidencia mínima explícita en 20_PRERREQUISITOS_EVIDENCIA.</x:v>
      </x:c>
      <x:c r="E12" s="207" t="str">
        <x:v>La calidad de evidencia equivalente deberá probarse en casos reales.</x:v>
      </x:c>
      <x:c r="F12" s="207" t="str">
        <x:v>Usar 20 como capa previa a 07_DEPENDENCIAS.</x:v>
      </x:c>
    </x:row>
    <x:row r="13">
      <x:c r="A13" s="207" t="str">
        <x:v>Dependencia rígida herramienta→herramienta</x:v>
      </x:c>
      <x:c r="B13" s="207" t="str">
        <x:v>Reducida</x:v>
      </x:c>
      <x:c r="C13" s="207" t="str">
        <x:v>Cumple</x:v>
      </x:c>
      <x:c r="D13" s="207" t="str">
        <x:v>Se formalizó que una herramienta antecedente puede omitirse si existe evidencia equivalente válida.</x:v>
      </x:c>
      <x:c r="E13" s="207" t="str">
        <x:v>La app debe evaluar calidad y vigencia, no solo existencia.</x:v>
      </x:c>
      <x:c r="F13" s="207" t="str">
        <x:v>Incluir calidad de evidencia en casos de prueba.</x:v>
      </x:c>
    </x:row>
    <x:row r="14">
      <x:c r="A14" s="207" t="str">
        <x:v>Relaciones conflictivas del archivo adicional</x:v>
      </x:c>
      <x:c r="B14" s="207" t="str">
        <x:v>Depuradas</x:v>
      </x:c>
      <x:c r="C14" s="207" t="str">
        <x:v>Cumple</x:v>
      </x:c>
      <x:c r="D14" s="207" t="str">
        <x:v>Se corrigieron dependencias incompatibles con los documentos CEDIA o demasiado fuertes.</x:v>
      </x:c>
      <x:c r="E14" s="207" t="str">
        <x:v>Las decisiones siguen siendo metodológicas y requieren validación institucional.</x:v>
      </x:c>
      <x:c r="F14" s="207" t="str">
        <x:v>Revisar con CEDIA antes de automatizar.</x:v>
      </x:c>
    </x:row>
    <x:row r="15">
      <x:c r="A15" s="207" t="str">
        <x:v>Motor actualizado</x:v>
      </x:c>
      <x:c r="B15" s="207" t="str">
        <x:v>Sí</x:v>
      </x:c>
      <x:c r="C15" s="207" t="str">
        <x:v>Cumple</x:v>
      </x:c>
      <x:c r="D15" s="207" t="str">
        <x:v>18_MOTOR_DECISION ahora consulta primero prerrequisitos de evidencia.</x:v>
      </x:c>
      <x:c r="E15" s="207" t="str">
        <x:v>Falta probar comportamiento con proyectos heterogéneos.</x:v>
      </x:c>
      <x:c r="F15" s="207" t="str">
        <x:v>Pasar a 09_CASOS_PRUEBA.</x:v>
      </x:c>
    </x:row>
    <x:row r="16">
      <x:c r="A16" s="207" t="str">
        <x:v>Simulador automático</x:v>
      </x:c>
      <x:c r="B16" s="207" t="str">
        <x:v>Construido</x:v>
      </x:c>
      <x:c r="C16" s="207" t="str">
        <x:v>Cumple</x:v>
      </x:c>
      <x:c r="D16" s="207" t="str">
        <x:v>09_CASOS_PRUEBA genera ruta, resultado y estado cuando se seleccionan brecha y evidencia.</x:v>
      </x:c>
      <x:c r="E16" s="207" t="str">
        <x:v>No interpreta semánticamente la descripción del proyecto; la brecha se selecciona manualmente.</x:v>
      </x:c>
      <x:c r="F16" s="207" t="str">
        <x:v>Probar con 5 casos heterogéneos.</x:v>
      </x:c>
    </x:row>
    <x:row r="17">
      <x:c r="A17" s="207" t="str">
        <x:v>Separación prueba vs. ajuste</x:v>
      </x:c>
      <x:c r="B17" s="207" t="str">
        <x:v>Incluida</x:v>
      </x:c>
      <x:c r="C17" s="207" t="str">
        <x:v>Cumple</x:v>
      </x:c>
      <x:c r="D17" s="207" t="str">
        <x:v>Ruta esperada es manual; ruta generada es automática. Esto evita acomodar la prueba después de ver el resultado.</x:v>
      </x:c>
      <x:c r="E17" s="207" t="str">
        <x:v>El evaluador debe escribir K antes de revisar L.</x:v>
      </x:c>
      <x:c r="F17" s="207" t="str">
        <x:v>Usar COINCIDE y documentar fallas.</x:v>
      </x:c>
    </x:row>
    <x:row r="18">
      <x:c r="A18" s="416" t="str">
        <x:v>Nuevas herramientas benchmark</x:v>
      </x:c>
      <x:c r="B18" s="416" t="n">
        <x:v>8</x:v>
      </x:c>
      <x:c r="C18" s="416" t="str">
        <x:v>Cumple</x:v>
      </x:c>
      <x:c r="D18" s="416" t="str">
        <x:v>Se integraron 3 de validación, 1 de maduración, 3 de transferencia/PI y 1 de adopción.</x:v>
      </x:c>
      <x:c r="E18" s="416" t="str">
        <x:v>No pertenecen aún al inventario oficial CEDIA.</x:v>
      </x:c>
      <x:c r="F18" s="416" t="str">
        <x:v>Presentarlas como propuesta sustentada, no como servicio oficial.</x:v>
      </x:c>
    </x:row>
    <x:row r="19">
      <x:c r="A19" s="416" t="str">
        <x:v>Fuentes externas nuevas</x:v>
      </x:c>
      <x:c r="B19" s="416" t="n">
        <x:v>7</x:v>
      </x:c>
      <x:c r="C19" s="416" t="str">
        <x:v>Cumple</x:v>
      </x:c>
      <x:c r="D19" s="416" t="str">
        <x:v>Strategyzer, U.S. DOE y WIPO sustentan las 8 incorporaciones.</x:v>
      </x:c>
      <x:c r="E19" s="416" t="str">
        <x:v>Una fuente puede sustentar más de una herramienta.</x:v>
      </x:c>
      <x:c r="F19" s="416" t="str">
        <x:v>Mantener URLs y fecha de consulta en 14_FUENTES_TRAZABILIDAD.</x:v>
      </x:c>
    </x:row>
    <x:row r="20">
      <x:c r="A20" s="416" t="str">
        <x:v>Casos de prueba nuevas herramientas</x:v>
      </x:c>
      <x:c r="B20" s="416" t="n">
        <x:v>8</x:v>
      </x:c>
      <x:c r="C20" s="416" t="str">
        <x:v>Cumple</x:v>
      </x:c>
      <x:c r="D20" s="416" t="str">
        <x:v>09_CASOS_PRUEBA incluye un caso preparado para cada incorporación.</x:v>
      </x:c>
      <x:c r="E20" s="416" t="str">
        <x:v>El simulador sigue siendo selector de brecha, no IA semántica.</x:v>
      </x:c>
      <x:c r="F20" s="416" t="str">
        <x:v>Ejecutar y documentar discrepancias antes de congelar el motor.</x:v>
      </x:c>
    </x:row>
  </x:sheetData>
  <x:mergeCells>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16" hidden="0" customWidth="1"/>
    <x:col min="3" max="3" width="30" hidden="0" customWidth="1"/>
    <x:col min="4" max="4" width="48" hidden="0" customWidth="1"/>
    <x:col min="5" max="5" width="16" hidden="0" customWidth="1"/>
    <x:col min="6" max="6" width="52" hidden="0" customWidth="1"/>
    <x:col min="7" max="7" width="44" hidden="0" customWidth="1"/>
    <x:col min="8" max="8" width="50" hidden="0" customWidth="1"/>
    <x:col min="9" max="9" width="38" hidden="0" customWidth="1"/>
    <x:col min="10" max="10" width="20" hidden="0" customWidth="1"/>
    <x:col min="11" max="11" width="44" hidden="0" customWidth="1"/>
    <x:col min="13" max="13" width="28" hidden="0" customWidth="1"/>
    <x:col min="14" max="14" width="18" hidden="0" customWidth="1"/>
    <x:col min="15" max="15" width="48" hidden="0" customWidth="1"/>
  </x:cols>
  <x:sheetData>
    <x:row r="1">
      <x:c r="A1" s="293" t="str">
        <x:v>20 — PRERREQUISITOS DE EVIDENCIA POR HERRAMIENTA</x:v>
      </x:c>
      <x:c r="B1" s="293" t="str">
        <x:v>20 — PRERREQUISITOS DE EVIDENCIA POR HERRAMIENTA</x:v>
      </x:c>
      <x:c r="C1" s="293" t="str">
        <x:v>20 — PRERREQUISITOS DE EVIDENCIA POR HERRAMIENTA</x:v>
      </x:c>
      <x:c r="D1" s="293" t="str">
        <x:v>20 — PRERREQUISITOS DE EVIDENCIA POR HERRAMIENTA</x:v>
      </x:c>
      <x:c r="E1" s="293" t="str">
        <x:v>20 — PRERREQUISITOS DE EVIDENCIA POR HERRAMIENTA</x:v>
      </x:c>
      <x:c r="F1" s="293" t="str">
        <x:v>20 — PRERREQUISITOS DE EVIDENCIA POR HERRAMIENTA</x:v>
      </x:c>
      <x:c r="G1" s="293" t="str">
        <x:v>20 — PRERREQUISITOS DE EVIDENCIA POR HERRAMIENTA</x:v>
      </x:c>
      <x:c r="H1" s="293" t="str">
        <x:v>20 — PRERREQUISITOS DE EVIDENCIA POR HERRAMIENTA</x:v>
      </x:c>
      <x:c r="I1" s="293" t="str">
        <x:v>20 — PRERREQUISITOS DE EVIDENCIA POR HERRAMIENTA</x:v>
      </x:c>
      <x:c r="J1" s="293" t="str">
        <x:v>20 — PRERREQUISITOS DE EVIDENCIA POR HERRAMIENTA</x:v>
      </x:c>
      <x:c r="K1" s="293" t="str">
        <x:v>20 — PRERREQUISITOS DE EVIDENCIA POR HERRAMIENTA</x:v>
      </x:c>
    </x:row>
    <x:row r="2" ht="52" customHeight="1">
      <x:c r="A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B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C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D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E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F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G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H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I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J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c r="K2" s="297" t="str">
        <x:v>Capa flexible que evita convertir la Ruta CEDIA en una cadena rígida de herramientas. Una herramienta se habilita cuando existe la EVIDENCIA necesaria, sin importar si esa evidencia fue producida por otra herramienta CEDIA, investigación externa, entrevistas, datos del proyecto u otra fuente equivalente. Las correcciones depuran el archivo 07_DEPENDENCIAS.xlsx y priorizan los documentos CEDIA ya integrados.</x:v>
      </x:c>
    </x:row>
    <x:row r="4" ht="38" customHeight="1">
      <x:c r="A4" s="309" t="str">
        <x:v>ID_PRERREQUISITO</x:v>
      </x:c>
      <x:c r="B4" s="310" t="str">
        <x:v>ID_HERRAMIENTA</x:v>
      </x:c>
      <x:c r="C4" s="310" t="str">
        <x:v>HERRAMIENTA</x:v>
      </x:c>
      <x:c r="D4" s="310" t="str">
        <x:v>EVIDENCIA_O_INSUMO_NECESARIO</x:v>
      </x:c>
      <x:c r="E4" s="310" t="str">
        <x:v>OBLIGATORIEDAD</x:v>
      </x:c>
      <x:c r="F4" s="310" t="str">
        <x:v>FUENTES_EQUIVALENTES_POSIBLES</x:v>
      </x:c>
      <x:c r="G4" s="310" t="str">
        <x:v>SI_FALTA_EVIDENCIA</x:v>
      </x:c>
      <x:c r="H4" s="310" t="str">
        <x:v>REGLA_METODOLOGICA</x:v>
      </x:c>
      <x:c r="I4" s="310" t="str">
        <x:v>FUENTE_BASE</x:v>
      </x:c>
      <x:c r="J4" s="310" t="str">
        <x:v>DECISION_INTEGRACION</x:v>
      </x:c>
      <x:c r="K4" s="311" t="str">
        <x:v>NOTAS_CORRECCION</x:v>
      </x:c>
      <x:c r="M4" s="317" t="str">
        <x:v>RESUMEN</x:v>
      </x:c>
      <x:c r="N4" s="317" t="str">
        <x:v>VALOR</x:v>
      </x:c>
      <x:c r="O4" s="317" t="str">
        <x:v>LECTURA</x:v>
      </x:c>
    </x:row>
    <x:row r="5">
      <x:c r="A5" s="136" t="str">
        <x:v>PRE-001</x:v>
      </x:c>
      <x:c r="B5" s="136" t="str">
        <x:v>IDE-001</x:v>
      </x:c>
      <x:c r="C5" s="136" t="str">
        <x:v>Árbol de Problemas</x:v>
      </x:c>
      <x:c r="D5" s="136" t="str">
        <x:v>Indicio o descripción inicial del problema que se desea analizar.</x:v>
      </x:c>
      <x:c r="E5" s="136" t="str">
        <x:v>Recomendada</x:v>
      </x:c>
      <x:c r="F5" s="136" t="str">
        <x:v>Observación de campo; queja; dato preliminar; Planteamiento del Problema; investigación previa.</x:v>
      </x:c>
      <x:c r="G5" s="136" t="str">
        <x:v>Si ni siquiera existe una situación problemática identificable, primero registrar el problema inicial.</x:v>
      </x:c>
      <x:c r="H5" s="136" t="str">
        <x:v>No exige una herramienta previa específica. La entrada puede provenir de evidencia externa al sistema.</x:v>
      </x:c>
      <x:c r="I5" s="136" t="str">
        <x:v>Documento CEDIA + depuración de 07_DEPENDENCIAS.xlsx</x:v>
      </x:c>
      <x:c r="J5" s="136" t="str">
        <x:v>Corregido</x:v>
      </x:c>
      <x:c r="K5" s="136" t="str">
        <x:v>Se evita imponer Planteamiento del Problema como paso obligatorio.</x:v>
      </x:c>
      <x:c r="M5" s="207" t="str">
        <x:v>Herramientas cubiertas</x:v>
      </x:c>
      <x:c r="N5" s="207" t="n">
        <x:v>34</x:v>
      </x:c>
      <x:c r="O5" s="207" t="str">
        <x:v>Las 34 herramientas tienen un prerrequisito de evidencia explícito.</x:v>
      </x:c>
    </x:row>
    <x:row r="6">
      <x:c r="A6" s="136" t="str">
        <x:v>PRE-002</x:v>
      </x:c>
      <x:c r="B6" s="136" t="str">
        <x:v>IDE-002</x:v>
      </x:c>
      <x:c r="C6" s="136" t="str">
        <x:v>Brainstorming</x:v>
      </x:c>
      <x:c r="D6" s="136" t="str">
        <x:v>Problema, tema o pregunta detonante suficientemente clara.</x:v>
      </x:c>
      <x:c r="E6" s="136" t="str">
        <x:v>Recomendada</x:v>
      </x:c>
      <x:c r="F6" s="136" t="str">
        <x:v>How Might We; Planteamiento del Problema; Árbol de Problemas; reto ya definido por el equipo.</x:v>
      </x:c>
      <x:c r="G6" s="136" t="str">
        <x:v>Pedir al usuario que formule el reto antes de iniciar la generación de ideas.</x:v>
      </x:c>
      <x:c r="H6" s="136" t="str">
        <x:v>La herramienta puede ser flexible, pero sin un foco mínimo las ideas pierden utilidad.</x:v>
      </x:c>
      <x:c r="I6" s="136" t="str">
        <x:v>Documento CEDIA + depuración de 07_DEPENDENCIAS.xlsx</x:v>
      </x:c>
      <x:c r="J6" s="136" t="str">
        <x:v>Corregido</x:v>
      </x:c>
      <x:c r="K6" s="136" t="str">
        <x:v>No se asume que Brainstorming funciona sin ningún insumo.</x:v>
      </x:c>
      <x:c r="M6" s="207" t="str">
        <x:v>Prerrequisitos obligatorios</x:v>
      </x:c>
      <x:c r="N6" s="207" t="n">
        <x:v>22</x:v>
      </x:c>
      <x:c r="O6" s="207" t="str">
        <x:v>Sin esta evidencia la herramienta no debería producir un resultado confiable.</x:v>
      </x:c>
    </x:row>
    <x:row r="7">
      <x:c r="A7" s="136" t="str">
        <x:v>PRE-003</x:v>
      </x:c>
      <x:c r="B7" s="136" t="str">
        <x:v>IDE-003</x:v>
      </x:c>
      <x:c r="C7" s="136" t="str">
        <x:v>Brief de investigación</x:v>
      </x:c>
      <x:c r="D7" s="136" t="str">
        <x:v>Problema, decisión o incertidumbre a investigar y objetivo preliminar.</x:v>
      </x:c>
      <x:c r="E7" s="136" t="str">
        <x:v>Recomendada</x:v>
      </x:c>
      <x:c r="F7" s="136" t="str">
        <x:v>Planteamiento del Problema; Árbol de Problemas; necesidad de información registrada; decisión pendiente.</x:v>
      </x:c>
      <x:c r="G7" s="136" t="str">
        <x:v>Ayudar a delimitar qué se necesita aprender y por qué antes de construir el brief.</x:v>
      </x:c>
      <x:c r="H7" s="136" t="str">
        <x:v>Un brief puede refinar el objetivo, pero necesita un punto de partida identificable.</x:v>
      </x:c>
      <x:c r="I7" s="136" t="str">
        <x:v>Documento CEDIA + depuración de 07_DEPENDENCIAS.xlsx</x:v>
      </x:c>
      <x:c r="J7" s="136" t="str">
        <x:v>Aceptado con ajuste</x:v>
      </x:c>
      <x:c r="K7" s="136" t="str">
        <x:v>Se formula como evidencia/decisión, no como herramienta obligatoria.</x:v>
      </x:c>
      <x:c r="M7" s="207" t="str">
        <x:v>Prerrequisitos recomendados</x:v>
      </x:c>
      <x:c r="N7" s="207" t="n">
        <x:v>12</x:v>
      </x:c>
      <x:c r="O7" s="207" t="str">
        <x:v>Mejoran calidad, pero pueden satisfacerse con evidencia equivalente.</x:v>
      </x:c>
    </x:row>
    <x:row r="8">
      <x:c r="A8" s="136" t="str">
        <x:v>PRE-004</x:v>
      </x:c>
      <x:c r="B8" s="136" t="str">
        <x:v>IDE-004</x:v>
      </x:c>
      <x:c r="C8" s="136" t="str">
        <x:v>Componentes de Preguntas Poderosas</x:v>
      </x:c>
      <x:c r="D8" s="136" t="str">
        <x:v>Objetivo de aprendizaje, tema o situación sobre la que se necesita obtener información.</x:v>
      </x:c>
      <x:c r="E8" s="136" t="str">
        <x:v>Recomendada</x:v>
      </x:c>
      <x:c r="F8" s="136" t="str">
        <x:v>Brief de investigación; Planteamiento del Problema; objetivo de entrevista; hipótesis o duda registrada.</x:v>
      </x:c>
      <x:c r="G8" s="136" t="str">
        <x:v>Pedir primero qué necesita aprender el usuario.</x:v>
      </x:c>
      <x:c r="H8" s="136" t="str">
        <x:v>Las preguntas deben responder a un objetivo; una herramienta previa concreta no es indispensable.</x:v>
      </x:c>
      <x:c r="I8" s="136" t="str">
        <x:v>Documento CEDIA + depuración de 07_DEPENDENCIAS.xlsx</x:v>
      </x:c>
      <x:c r="J8" s="136" t="str">
        <x:v>Aceptado con ajuste</x:v>
      </x:c>
      <x:c r="K8" s="136" t="str">
        <x:v>Se evita exigir Brief.</x:v>
      </x:c>
      <x:c r="M8" s="207" t="str">
        <x:v>Correcciones aplicadas</x:v>
      </x:c>
      <x:c r="N8" s="207" t="n">
        <x:v>13</x:v>
      </x:c>
      <x:c r="O8" s="207" t="str">
        <x:v>Relaciones del archivo adicional que se depuraron o flexibilizaron.</x:v>
      </x:c>
    </x:row>
    <x:row r="9">
      <x:c r="A9" s="136" t="str">
        <x:v>PRE-005</x:v>
      </x:c>
      <x:c r="B9" s="136" t="str">
        <x:v>IDE-005</x:v>
      </x:c>
      <x:c r="C9" s="136" t="str">
        <x:v>Diagrama de Ishikawa</x:v>
      </x:c>
      <x:c r="D9" s="136" t="str">
        <x:v>Problema o efecto claramente definido y conocimiento preliminar de factores causales.</x:v>
      </x:c>
      <x:c r="E9" s="136" t="str">
        <x:v>Obligatoria</x:v>
      </x:c>
      <x:c r="F9" s="136" t="str">
        <x:v>Árbol de Problemas; incidencia/fallo observado; datos de proceso; análisis previo.</x:v>
      </x:c>
      <x:c r="G9" s="136" t="str">
        <x:v>No habilitar el diagrama hasta que exista un efecto/problema concreto que analizar.</x:v>
      </x:c>
      <x:c r="H9" s="136" t="str">
        <x:v>Ishikawa clasifica causas potenciales de un efecto definido; no crea el problema desde cero.</x:v>
      </x:c>
      <x:c r="I9" s="136" t="str">
        <x:v>Documento CEDIA + depuración de 07_DEPENDENCIAS.xlsx</x:v>
      </x:c>
      <x:c r="J9" s="136" t="str">
        <x:v>Aceptado</x:v>
      </x:c>
      <x:c r="K9" s="136" t="str">
        <x:v>La obligatoriedad recae en la evidencia, no en Árbol de Problemas.</x:v>
      </x:c>
      <x:c r="M9" s="207" t="str">
        <x:v>Principio</x:v>
      </x:c>
      <x:c r="N9" s="207" t="str">
        <x:v>Evidencia &gt; herramienta previa</x:v>
      </x:c>
      <x:c r="O9" s="207" t="str">
        <x:v>La app no obliga una secuencia si el usuario ya tiene evidencia suficiente.</x:v>
      </x:c>
    </x:row>
    <x:row r="10">
      <x:c r="A10" s="136" t="str">
        <x:v>PRE-006</x:v>
      </x:c>
      <x:c r="B10" s="136" t="str">
        <x:v>IDE-006</x:v>
      </x:c>
      <x:c r="C10" s="136" t="str">
        <x:v>How Might We</x:v>
      </x:c>
      <x:c r="D10" s="136" t="str">
        <x:v>Problema o necesidad delimitada + insight/aprendizaje relevante.</x:v>
      </x:c>
      <x:c r="E10" s="136" t="str">
        <x:v>Obligatoria</x:v>
      </x:c>
      <x:c r="F10" s="136" t="str">
        <x:v>Mapa de Empatía; entrevistas; Árbol de Problemas; Ishikawa; Buyer Persona; investigación de campo; Planteamiento del Problema + evidencia adicional.</x:v>
      </x:c>
      <x:c r="G10" s="136" t="str">
        <x:v>Si falta insight, recomendar investigación/comprensión antes de redactar HMW.</x:v>
      </x:c>
      <x:c r="H10" s="136" t="str">
        <x:v>El método debe transformar un aprendizaje real en una pregunta de oportunidad, no generar una frase genérica.</x:v>
      </x:c>
      <x:c r="I10" s="136" t="str">
        <x:v>Documento CEDIA + validación externa ya integrada</x:v>
      </x:c>
      <x:c r="J10" s="136" t="str">
        <x:v>Aceptado</x:v>
      </x:c>
      <x:c r="K10" s="136" t="str">
        <x:v>Se mantiene la idea central del archivo adicional.</x:v>
      </x:c>
    </x:row>
    <x:row r="11">
      <x:c r="A11" s="136" t="str">
        <x:v>PRE-007</x:v>
      </x:c>
      <x:c r="B11" s="136" t="str">
        <x:v>IDE-007</x:v>
      </x:c>
      <x:c r="C11" s="136" t="str">
        <x:v>Lotus Blossom</x:v>
      </x:c>
      <x:c r="D11" s="136" t="str">
        <x:v>Idea, concepto, reto o pregunta central que pueda expandirse.</x:v>
      </x:c>
      <x:c r="E11" s="136" t="str">
        <x:v>Obligatoria</x:v>
      </x:c>
      <x:c r="F11" s="136" t="str">
        <x:v>How Might We; Brainstorming; Planteamiento del Problema; concepto ya definido por el equipo.</x:v>
      </x:c>
      <x:c r="G11" s="136" t="str">
        <x:v>Pedir definir la semilla central antes de abrir la matriz.</x:v>
      </x:c>
      <x:c r="H11" s="136" t="str">
        <x:v>La matriz necesita un núcleo central; no exige una herramienta fuente concreta.</x:v>
      </x:c>
      <x:c r="I11" s="136" t="str">
        <x:v>Documento CEDIA + depuración de 07_DEPENDENCIAS.xlsx</x:v>
      </x:c>
      <x:c r="J11" s="136" t="str">
        <x:v>Aceptado</x:v>
      </x:c>
      <x:c r="K11" s="136" t="str">
        <x:v>Se admite reto/pregunta, no solo 'idea'.</x:v>
      </x:c>
    </x:row>
    <x:row r="12">
      <x:c r="A12" s="136" t="str">
        <x:v>PRE-008</x:v>
      </x:c>
      <x:c r="B12" s="136" t="str">
        <x:v>IDE-008</x:v>
      </x:c>
      <x:c r="C12" s="136" t="str">
        <x:v>Planteamiento del Problema</x:v>
      </x:c>
      <x:c r="D12" s="136" t="str">
        <x:v>Tema o problemática inicial + conocimiento preliminar de quién está afectado y en qué contexto.</x:v>
      </x:c>
      <x:c r="E12" s="136" t="str">
        <x:v>Recomendada</x:v>
      </x:c>
      <x:c r="F12" s="136" t="str">
        <x:v>Observación; entrevistas; Árbol de Problemas; Ishikawa; Future Compass; Brief/investigación previa.</x:v>
      </x:c>
      <x:c r="G12" s="136" t="str">
        <x:v>Si no existe contexto mínimo, pedir antecedentes antes de formalizar el planteamiento.</x:v>
      </x:c>
      <x:c r="H12" s="136" t="str">
        <x:v>Puede ser una herramienta temprana; no necesita obligatoriamente un Árbol de Problemas anterior.</x:v>
      </x:c>
      <x:c r="I12" s="136" t="str">
        <x:v>Documento CEDIA + depuración de 07_DEPENDENCIAS.xlsx</x:v>
      </x:c>
      <x:c r="J12" s="136" t="str">
        <x:v>Corregido</x:v>
      </x:c>
      <x:c r="K12" s="136" t="str">
        <x:v>Se rechaza la secuencia rígida Árbol → Planteamiento.</x:v>
      </x:c>
    </x:row>
    <x:row r="13">
      <x:c r="A13" s="136" t="str">
        <x:v>PRE-009</x:v>
      </x:c>
      <x:c r="B13" s="136" t="str">
        <x:v>MKT-001</x:v>
      </x:c>
      <x:c r="C13" s="136" t="str">
        <x:v>Buyer Persona</x:v>
      </x:c>
      <x:c r="D13" s="136" t="str">
        <x:v>Segmento definido + datos/hallazgos reales sobre características, objetivos, retos, objeciones y comportamiento.</x:v>
      </x:c>
      <x:c r="E13" s="136" t="str">
        <x:v>Obligatoria</x:v>
      </x:c>
      <x:c r="F13" s="136" t="str">
        <x:v>Mapa de Empatía; entrevistas; encuestas; analítica; investigación de mercado; Job To Be Done como complemento.</x:v>
      </x:c>
      <x:c r="G13" s="136" t="str">
        <x:v>No crear una persona 'validada'; primero obtener evidencia del segmento.</x:v>
      </x:c>
      <x:c r="H13" s="136" t="str">
        <x:v>Una Buyer Persona basada solo en supuestos debe etiquetarse como hipótesis, no como evidencia suficiente.</x:v>
      </x:c>
      <x:c r="I13" s="136" t="str">
        <x:v>Documento CEDIA + validación externa ya integrada</x:v>
      </x:c>
      <x:c r="J13" s="136" t="str">
        <x:v>Aceptado</x:v>
      </x:c>
      <x:c r="K13" s="136" t="str">
        <x:v>Mapa de Empatía es fuente posible, no requisito único.</x:v>
      </x:c>
    </x:row>
    <x:row r="14">
      <x:c r="A14" s="136" t="str">
        <x:v>PRE-010</x:v>
      </x:c>
      <x:c r="B14" s="136" t="str">
        <x:v>MKT-002</x:v>
      </x:c>
      <x:c r="C14" s="136" t="str">
        <x:v>Círculo de Oro</x:v>
      </x:c>
      <x:c r="D14" s="136" t="str">
        <x:v>Información suficiente sobre qué hace la iniciativa, cómo aporta/diferencia y por qué existe.</x:v>
      </x:c>
      <x:c r="E14" s="136" t="str">
        <x:v>Recomendada</x:v>
      </x:c>
      <x:c r="F14" s="136" t="str">
        <x:v>Reflexión interna del equipo; planteamiento del problema; propuesta preliminar; propósito institucional.</x:v>
      </x:c>
      <x:c r="G14" s="136" t="str">
        <x:v>Solicitar esas tres definiciones básicas antes de completar el lienzo.</x:v>
      </x:c>
      <x:c r="H14" s="136" t="str">
        <x:v>Es una herramienta de propósito/narrativa; no requiere validación de mercado previa.</x:v>
      </x:c>
      <x:c r="I14" s="136" t="str">
        <x:v>Documento CEDIA + depuración de 07_DEPENDENCIAS.xlsx</x:v>
      </x:c>
      <x:c r="J14" s="136" t="str">
        <x:v>Aceptado con ajuste</x:v>
      </x:c>
      <x:c r="K14" s="136" t="str">
        <x:v>Se mantiene como ejercicio de reflexión, no como dependencia rígida.</x:v>
      </x:c>
    </x:row>
    <x:row r="15">
      <x:c r="A15" s="136" t="str">
        <x:v>PRE-011</x:v>
      </x:c>
      <x:c r="B15" s="136" t="str">
        <x:v>MKT-003</x:v>
      </x:c>
      <x:c r="C15" s="136" t="str">
        <x:v>FODA</x:v>
      </x:c>
      <x:c r="D15" s="136" t="str">
        <x:v>Información interna del proyecto/organización + información externa del entorno/mercado.</x:v>
      </x:c>
      <x:c r="E15" s="136" t="str">
        <x:v>Obligatoria</x:v>
      </x:c>
      <x:c r="F15" s="136" t="str">
        <x:v>Datos internos; entrevistas de equipo; Mapa de Tendencias; fuentes de mercado; análisis competitivo; requisitos/estado técnico.</x:v>
      </x:c>
      <x:c r="G15" s="136" t="str">
        <x:v>No permitir clasificar factores sin al menos indicar su fuente o evidencia.</x:v>
      </x:c>
      <x:c r="H15" s="136" t="str">
        <x:v>El FODA necesita insumos de ambos ámbitos; ninguna herramienta específica es obligatoria.</x:v>
      </x:c>
      <x:c r="I15" s="136" t="str">
        <x:v>Documento CEDIA + validación externa ya integrada</x:v>
      </x:c>
      <x:c r="J15" s="136" t="str">
        <x:v>Corregido</x:v>
      </x:c>
      <x:c r="K15" s="136" t="str">
        <x:v>Se fortalece la exigencia de evidencia y se evita dependencia rígida de Tendencias.</x:v>
      </x:c>
    </x:row>
    <x:row r="16">
      <x:c r="A16" s="136" t="str">
        <x:v>PRE-012</x:v>
      </x:c>
      <x:c r="B16" s="136" t="str">
        <x:v>MKT-004</x:v>
      </x:c>
      <x:c r="C16" s="136" t="str">
        <x:v>Mapa de Posicionamiento</x:v>
      </x:c>
      <x:c r="D16" s="136" t="str">
        <x:v>Competidores comparables + atributos relevantes para el cliente + evidencia de percepción o mercado.</x:v>
      </x:c>
      <x:c r="E16" s="136" t="str">
        <x:v>Obligatoria</x:v>
      </x:c>
      <x:c r="F16" s="136" t="str">
        <x:v>Buyer Persona; Lienzo de Propuesta de Valor; entrevistas; estudios de mercado; FODA como complemento.</x:v>
      </x:c>
      <x:c r="G16" s="136" t="str">
        <x:v>Si faltan competidores o atributos sustentados, investigar antes de construir el mapa.</x:v>
      </x:c>
      <x:c r="H16" s="136" t="str">
        <x:v>El posicionamiento debe reflejar percepción/criterios del mercado, no solo opinión interna.</x:v>
      </x:c>
      <x:c r="I16" s="136" t="str">
        <x:v>Documento CEDIA + validación externa ya integrada</x:v>
      </x:c>
      <x:c r="J16" s="136" t="str">
        <x:v>Corregido</x:v>
      </x:c>
      <x:c r="K16" s="136" t="str">
        <x:v>FODA no bloquea el Mapa; es solo una fuente complementaria.</x:v>
      </x:c>
    </x:row>
    <x:row r="17">
      <x:c r="A17" s="136" t="str">
        <x:v>PRE-013</x:v>
      </x:c>
      <x:c r="B17" s="136" t="str">
        <x:v>MKT-005</x:v>
      </x:c>
      <x:c r="C17" s="136" t="str">
        <x:v>Pitch Canvas</x:v>
      </x:c>
      <x:c r="D17" s="136" t="str">
        <x:v>Objetivo de presentación + datos reales disponibles sobre problema, solución, mercado, diferenciación, modelo, tracción/evidencia y equipo según el tipo de pitch.</x:v>
      </x:c>
      <x:c r="E17" s="136" t="str">
        <x:v>Obligatoria</x:v>
      </x:c>
      <x:c r="F17" s="136" t="str">
        <x:v>Business Model Canvas; Mapa de Posicionamiento; Lienzo de Propuesta de Valor; Círculo de Oro; evidencia del expediente; datos directos del proyecto.</x:v>
      </x:c>
      <x:c r="G17" s="136" t="str">
        <x:v>No completar con datos inventados. Si faltan piezas críticas para el público objetivo, resolver primero esas brechas.</x:v>
      </x:c>
      <x:c r="H17" s="136" t="str">
        <x:v>Un BMC ayuda mucho, pero no es universalmente obligatorio para todo tipo de pitch; la exigencia depende del objetivo y audiencia.</x:v>
      </x:c>
      <x:c r="I17" s="136" t="str">
        <x:v>Documento CEDIA + depuración de 07_DEPENDENCIAS.xlsx</x:v>
      </x:c>
      <x:c r="J17" s="136" t="str">
        <x:v>Corregido</x:v>
      </x:c>
      <x:c r="K17" s="136" t="str">
        <x:v>Se rechaza 'BMC obligatorio antes de cualquier pitch'.</x:v>
      </x:c>
    </x:row>
    <x:row r="18">
      <x:c r="A18" s="136" t="str">
        <x:v>PRE-014</x:v>
      </x:c>
      <x:c r="B18" s="136" t="str">
        <x:v>NEG-001</x:v>
      </x:c>
      <x:c r="C18" s="136" t="str">
        <x:v>Business Model Canvas</x:v>
      </x:c>
      <x:c r="D18" s="136" t="str">
        <x:v>Información mínima sobre segmento/cliente y propuesta de valor; el resto de bloques puede comenzar como hipótesis explícita.</x:v>
      </x:c>
      <x:c r="E18" s="136" t="str">
        <x:v>Obligatoria</x:v>
      </x:c>
      <x:c r="F18" s="136" t="str">
        <x:v>Lienzo de Propuesta de Valor; Buyer Persona; Job To Be Done; entrevistas; evidencia del proyecto.</x:v>
      </x:c>
      <x:c r="G18" s="136" t="str">
        <x:v>Si ni cliente ni valor están definidos, trabajar esas brechas antes de considerar el BMC útil.</x:v>
      </x:c>
      <x:c r="H18" s="136" t="str">
        <x:v>El BMC puede iniciarse temprano como hipótesis; no exige propuesta de valor ya validada con clientes para existir.</x:v>
      </x:c>
      <x:c r="I18" s="136" t="str">
        <x:v>Documento CEDIA + depuración de 07_DEPENDENCIAS.xlsx</x:v>
      </x:c>
      <x:c r="J18" s="136" t="str">
        <x:v>Corregido</x:v>
      </x:c>
      <x:c r="K18" s="136" t="str">
        <x:v>Se rechaza exigir 'propuesta de valor validada' como puerta de entrada universal.</x:v>
      </x:c>
    </x:row>
    <x:row r="19">
      <x:c r="A19" s="136" t="str">
        <x:v>PRE-015</x:v>
      </x:c>
      <x:c r="B19" s="136" t="str">
        <x:v>NEG-002</x:v>
      </x:c>
      <x:c r="C19" s="136" t="str">
        <x:v>Lienzo de Propuesta de Valor</x:v>
      </x:c>
      <x:c r="D19" s="136" t="str">
        <x:v>Segmento específico + jobs, pains y gains suficientemente comprendidos + oferta preliminar.</x:v>
      </x:c>
      <x:c r="E19" s="136" t="str">
        <x:v>Obligatoria</x:v>
      </x:c>
      <x:c r="F19" s="136" t="str">
        <x:v>Job To Be Done; Mapa de Empatía; Buyer Persona; entrevistas/encuestas; investigación equivalente.</x:v>
      </x:c>
      <x:c r="G19" s="136" t="str">
        <x:v>Si falta comprensión del cliente, recomendar primero investigación/JTBD/Empatía según la brecha.</x:v>
      </x:c>
      <x:c r="H19" s="136" t="str">
        <x:v>El lienzo enfrenta perfil de cliente y mapa de valor; no puede verificar fit si el perfil es puramente supuesto.</x:v>
      </x:c>
      <x:c r="I19" s="136" t="str">
        <x:v>Documento CEDIA + depuración de 07_DEPENDENCIAS.xlsx</x:v>
      </x:c>
      <x:c r="J19" s="136" t="str">
        <x:v>Aceptado</x:v>
      </x:c>
      <x:c r="K19" s="136" t="str">
        <x:v>La evidencia puede venir de una combinación de fuentes.</x:v>
      </x:c>
    </x:row>
    <x:row r="20">
      <x:c r="A20" s="136" t="str">
        <x:v>PRE-016</x:v>
      </x:c>
      <x:c r="B20" s="136" t="str">
        <x:v>PRO-001</x:v>
      </x:c>
      <x:c r="C20" s="136" t="str">
        <x:v>Job To Be Done</x:v>
      </x:c>
      <x:c r="D20" s="136" t="str">
        <x:v>Información cualitativa sobre usuario, contexto, motivaciones, barreras, ganancias y necesidad/progreso buscado.</x:v>
      </x:c>
      <x:c r="E20" s="136" t="str">
        <x:v>Recomendada</x:v>
      </x:c>
      <x:c r="F20" s="136" t="str">
        <x:v>Entrevistas; Mapa de Empatía; Buyer Persona; observación; investigación de campo.</x:v>
      </x:c>
      <x:c r="G20" s="136" t="str">
        <x:v>Si solo existen características del producto, investigar al usuario antes de declarar jobs.</x:v>
      </x:c>
      <x:c r="H20" s="136" t="str">
        <x:v>JTBD puede ser una herramienta de descubrimiento; no exige completar previamente otra plantilla.</x:v>
      </x:c>
      <x:c r="I20" s="136" t="str">
        <x:v>Documento CEDIA + validación externa ya integrada</x:v>
      </x:c>
      <x:c r="J20" s="136" t="str">
        <x:v>Aceptado con ajuste</x:v>
      </x:c>
      <x:c r="K20" s="136" t="str">
        <x:v>Buyer Persona/Empatía son fuentes posibles, no pasos obligatorios.</x:v>
      </x:c>
    </x:row>
    <x:row r="21">
      <x:c r="A21" s="136" t="str">
        <x:v>PRE-017</x:v>
      </x:c>
      <x:c r="B21" s="136" t="str">
        <x:v>PRO-002</x:v>
      </x:c>
      <x:c r="C21" s="136" t="str">
        <x:v>Mapa de Empatía</x:v>
      </x:c>
      <x:c r="D21" s="136" t="str">
        <x:v>Segmento/usuario identificado + contacto, observación o evidencia cualitativa suficiente para no llenarlo solo con supuestos.</x:v>
      </x:c>
      <x:c r="E21" s="136" t="str">
        <x:v>Recomendada</x:v>
      </x:c>
      <x:c r="F21" s="136" t="str">
        <x:v>Entrevistas; observación; investigación; Buyer Persona preliminar solo como hipótesis a contrastar.</x:v>
      </x:c>
      <x:c r="G21" s="136" t="str">
        <x:v>Si no existe evidencia del usuario, planificar investigación o etiquetar el mapa como hipótesis.</x:v>
      </x:c>
      <x:c r="H21" s="136" t="str">
        <x:v>La calidad depende de evidencia de usuario; no necesita Buyer Persona previa.</x:v>
      </x:c>
      <x:c r="I21" s="136" t="str">
        <x:v>Documento CEDIA + validación externa ya integrada</x:v>
      </x:c>
      <x:c r="J21" s="136" t="str">
        <x:v>Aceptado con ajuste</x:v>
      </x:c>
      <x:c r="K21" s="136" t="str">
        <x:v>Se prioriza investigación real sobre plantillas previas.</x:v>
      </x:c>
    </x:row>
    <x:row r="22">
      <x:c r="A22" s="136" t="str">
        <x:v>PRE-018</x:v>
      </x:c>
      <x:c r="B22" s="136" t="str">
        <x:v>PRO-003</x:v>
      </x:c>
      <x:c r="C22" s="136" t="str">
        <x:v>¿Qué debe hacer mi solución?</x:v>
      </x:c>
      <x:c r="D22" s="136" t="str">
        <x:v>Trabajo o necesidad del usuario suficientemente identificado.</x:v>
      </x:c>
      <x:c r="E22" s="136" t="str">
        <x:v>Obligatoria</x:v>
      </x:c>
      <x:c r="F22" s="136" t="str">
        <x:v>Job To Be Done preferente; Mapa de Empatía; Buyer Persona; entrevistas; Lienzo de Propuesta de Valor u otra evidencia equivalente.</x:v>
      </x:c>
      <x:c r="G22" s="136" t="str">
        <x:v>Si no se conoce el trabajo/necesidad, comprender al usuario antes de definir atributos.</x:v>
      </x:c>
      <x:c r="H22" s="136" t="str">
        <x:v>Las funciones esperadas no deben surgir de preferencias internas del equipo.</x:v>
      </x:c>
      <x:c r="I22" s="136" t="str">
        <x:v>Documento CEDIA + depuración de 07_DEPENDENCIAS.xlsx</x:v>
      </x:c>
      <x:c r="J22" s="136" t="str">
        <x:v>Aceptado</x:v>
      </x:c>
      <x:c r="K22" s="136" t="str">
        <x:v>JTBD es preferente, no obligatorio si existe evidencia equivalente.</x:v>
      </x:c>
    </x:row>
    <x:row r="23">
      <x:c r="A23" s="136" t="str">
        <x:v>PRE-019</x:v>
      </x:c>
      <x:c r="B23" s="136" t="str">
        <x:v>PRO-004</x:v>
      </x:c>
      <x:c r="C23" s="136" t="str">
        <x:v>Requisitos de Solución</x:v>
      </x:c>
      <x:c r="D23" s="136" t="str">
        <x:v>Necesidades + funciones/atributos esperados de la solución + contexto/restricciones de uso.</x:v>
      </x:c>
      <x:c r="E23" s="136" t="str">
        <x:v>Obligatoria</x:v>
      </x:c>
      <x:c r="F23" s="136" t="str">
        <x:v>¿Qué debe hacer mi solución? preferente; investigación de usuario; especificaciones existentes; normativa; evidencia técnica.</x:v>
      </x:c>
      <x:c r="G23" s="136" t="str">
        <x:v>No profundizar requisitos si todavía no se entiende qué debe lograr la solución; resolver primero una debilidad crítica de Tres Lupas si está activa.</x:v>
      </x:c>
      <x:c r="H23" s="136" t="str">
        <x:v>Los requisitos formalizan necesidades/funciones. Tres Lupas no sustituye esa evidencia.</x:v>
      </x:c>
      <x:c r="I23" s="136" t="str">
        <x:v>Documento CEDIA + depuración de 07_DEPENDENCIAS.xlsx</x:v>
      </x:c>
      <x:c r="J23" s="136" t="str">
        <x:v>Corregido</x:v>
      </x:c>
      <x:c r="K23" s="136" t="str">
        <x:v>Se rechaza Tres Lupas como fuente alternativa equivalente a funciones/requisitos.</x:v>
      </x:c>
    </x:row>
    <x:row r="24">
      <x:c r="A24" s="136" t="str">
        <x:v>PRE-020</x:v>
      </x:c>
      <x:c r="B24" s="136" t="str">
        <x:v>PRO-005</x:v>
      </x:c>
      <x:c r="C24" s="136" t="str">
        <x:v>Storyboard</x:v>
      </x:c>
      <x:c r="D24" s="136" t="str">
        <x:v>Usuario/segmento + escenario de uso + concepto de solución/interacción suficientemente definidos.</x:v>
      </x:c>
      <x:c r="E24" s="136" t="str">
        <x:v>Obligatoria</x:v>
      </x:c>
      <x:c r="F24" s="136" t="str">
        <x:v>Mapa de Empatía; Buyer Persona; JTBD; ¿Qué debe hacer mi solución?; investigación equivalente.</x:v>
      </x:c>
      <x:c r="G24" s="136" t="str">
        <x:v>Si falta usuario, escenario o concepto mínimo, definirlos antes de dibujar la experiencia.</x:v>
      </x:c>
      <x:c r="H24" s="136" t="str">
        <x:v>Storyboard representa una hipótesis de experiencia, no la valida por sí mismo.</x:v>
      </x:c>
      <x:c r="I24" s="136" t="str">
        <x:v>Documento CEDIA + validación externa ya integrada</x:v>
      </x:c>
      <x:c r="J24" s="136" t="str">
        <x:v>Aceptado con ajuste</x:v>
      </x:c>
      <x:c r="K24" s="136" t="str">
        <x:v>Se añade concepto de solución, no solo perfil de usuario.</x:v>
      </x:c>
    </x:row>
    <x:row r="25">
      <x:c r="A25" s="136" t="str">
        <x:v>PRE-021</x:v>
      </x:c>
      <x:c r="B25" s="136" t="str">
        <x:v>PRO-006</x:v>
      </x:c>
      <x:c r="C25" s="136" t="str">
        <x:v>Tres Lupas</x:v>
      </x:c>
      <x:c r="D25" s="136" t="str">
        <x:v>Idea/concepto candidato + evidencia mínima para evaluar deseabilidad, factibilidad y viabilidad.</x:v>
      </x:c>
      <x:c r="E25" s="136" t="str">
        <x:v>Obligatoria</x:v>
      </x:c>
      <x:c r="F25" s="136" t="str">
        <x:v>Brainstorming/Lotus/Trend Canvas como origen de idea; entrevistas/cliente para deseabilidad; evidencia técnica para factibilidad; costos/modelo/FODA para viabilidad.</x:v>
      </x:c>
      <x:c r="G25" s="136" t="str">
        <x:v>Si una dimensión no puede evaluarse, marcarla como brecha y buscar evidencia antes de dar GO.</x:v>
      </x:c>
      <x:c r="H25" s="136" t="str">
        <x:v>La herramienta es un checkpoint de tres dimensiones; no exige Requisitos de Solución ya terminados.</x:v>
      </x:c>
      <x:c r="I25" s="136" t="str">
        <x:v>Documento CEDIA + depuración de 07_DEPENDENCIAS.xlsx</x:v>
      </x:c>
      <x:c r="J25" s="136" t="str">
        <x:v>Corregido</x:v>
      </x:c>
      <x:c r="K25" s="136" t="str">
        <x:v>Se rechaza la combinación JTBD + Requisitos + FODA como requisito fijo.</x:v>
      </x:c>
    </x:row>
    <x:row r="26">
      <x:c r="A26" s="136" t="str">
        <x:v>PRE-022</x:v>
      </x:c>
      <x:c r="B26" s="136" t="str">
        <x:v>SER-001</x:v>
      </x:c>
      <x:c r="C26" s="136" t="str">
        <x:v>Servucción</x:v>
      </x:c>
      <x:c r="D26" s="136" t="str">
        <x:v>Proyecto con componente de servicio + servicio base/escenario definido + comprensión mínima del cliente y sus expectativas.</x:v>
      </x:c>
      <x:c r="E26" s="136" t="str">
        <x:v>Obligatoria</x:v>
      </x:c>
      <x:c r="F26" s="136" t="str">
        <x:v>Mapa de Empatía; Buyer Persona; Storyboard; Lienzo de Propuesta de Valor; entrevistas; investigación de servicio.</x:v>
      </x:c>
      <x:c r="G26" s="136" t="str">
        <x:v>Si no existe servicio/escenario o conocimiento mínimo del cliente, definirlo antes de estructurar la prestación.</x:v>
      </x:c>
      <x:c r="H26" s="136" t="str">
        <x:v>La evidencia del cliente es obligatoria, pero no una plantilla concreta. Mapa de Empatía/Buyer Persona no deben bloquear si existe evidencia equivalente.</x:v>
      </x:c>
      <x:c r="I26" s="136" t="str">
        <x:v>Documento CEDIA + depuración de 07_DEPENDENCIAS.xlsx</x:v>
      </x:c>
      <x:c r="J26" s="136" t="str">
        <x:v>Corregido</x:v>
      </x:c>
      <x:c r="K26" s="136" t="str">
        <x:v>Se rechaza el bloqueo rígido 'Mapa de Empatía/Buyer Persona → Servucción'.</x:v>
      </x:c>
    </x:row>
    <x:row r="27">
      <x:c r="A27" s="136" t="str">
        <x:v>PRE-023</x:v>
      </x:c>
      <x:c r="B27" s="136" t="str">
        <x:v>TEN-001</x:v>
      </x:c>
      <x:c r="C27" s="136" t="str">
        <x:v>Componentes de Tendencias</x:v>
      </x:c>
      <x:c r="D27" s="136" t="str">
        <x:v>Área/propuesta de interés + fuentes verificables sobre tendencias relevantes.</x:v>
      </x:c>
      <x:c r="E27" s="136" t="str">
        <x:v>Recomendada</x:v>
      </x:c>
      <x:c r="F27" s="136" t="str">
        <x:v>Mapa de Tendencias; estudios sectoriales; vigilancia tecnológica; fuentes externas; Brief/Planteamiento para delimitar ámbito.</x:v>
      </x:c>
      <x:c r="G27" s="136" t="str">
        <x:v>Si no hay fuentes de tendencias, realizar búsqueda/escaneo del entorno antes de inferir oportunidades.</x:v>
      </x:c>
      <x:c r="H27" s="136" t="str">
        <x:v>La herramienta puede explorar, pero debe distinguir tendencia sustentada de intuición.</x:v>
      </x:c>
      <x:c r="I27" s="136" t="str">
        <x:v>Documento CEDIA + validación externa ya integrada</x:v>
      </x:c>
      <x:c r="J27" s="136" t="str">
        <x:v>Corregido</x:v>
      </x:c>
      <x:c r="K27" s="136" t="str">
        <x:v>Se añade exigencia de fuentes; no basta con delimitar un área.</x:v>
      </x:c>
    </x:row>
    <x:row r="28">
      <x:c r="A28" s="136" t="str">
        <x:v>PRE-024</x:v>
      </x:c>
      <x:c r="B28" s="136" t="str">
        <x:v>TEN-002</x:v>
      </x:c>
      <x:c r="C28" s="136" t="str">
        <x:v>Future Compass</x:v>
      </x:c>
      <x:c r="D28" s="136" t="str">
        <x:v>Problema o situación observada ya identificada + información inicial sobre causas, efectos, actores o contexto.</x:v>
      </x:c>
      <x:c r="E28" s="136" t="str">
        <x:v>Obligatoria</x:v>
      </x:c>
      <x:c r="F28" s="136" t="str">
        <x:v>Planteamiento del Problema; Árbol de Problemas; entrevistas; observación; datos contextuales.</x:v>
      </x:c>
      <x:c r="G28" s="136" t="str">
        <x:v>Si no existe un problema identificable, delimitarlo primero.</x:v>
      </x:c>
      <x:c r="H28" s="136" t="str">
        <x:v>El PDF de CEDIA define Future Compass alrededor del problema, causas, efectos, actores, contexto y testimonios; no requiere tendencias preliminares.</x:v>
      </x:c>
      <x:c r="I28" s="136" t="str">
        <x:v>Documento CEDIA</x:v>
      </x:c>
      <x:c r="J28" s="136" t="str">
        <x:v>Corregido</x:v>
      </x:c>
      <x:c r="K28" s="136" t="str">
        <x:v>Se rechaza 'tendencias preliminares identificadas' como prerrequisito.</x:v>
      </x:c>
    </x:row>
    <x:row r="29">
      <x:c r="A29" s="136" t="str">
        <x:v>PRE-025</x:v>
      </x:c>
      <x:c r="B29" s="136" t="str">
        <x:v>TEN-003</x:v>
      </x:c>
      <x:c r="C29" s="136" t="str">
        <x:v>Mapa de Tendencias</x:v>
      </x:c>
      <x:c r="D29" s="136" t="str">
        <x:v>Sector/área de interés + señales o tendencias sustentadas en varias fuentes.</x:v>
      </x:c>
      <x:c r="E29" s="136" t="str">
        <x:v>Obligatoria</x:v>
      </x:c>
      <x:c r="F29" s="136" t="str">
        <x:v>Componentes de Tendencias; horizon scanning; vigilancia; estudios sectoriales; fuentes externas verificables.</x:v>
      </x:c>
      <x:c r="G29" s="136" t="str">
        <x:v>Si solo hay una señal aislada o una fuente, ampliar la búsqueda antes de priorizar impactos/convergencias.</x:v>
      </x:c>
      <x:c r="H29" s="136" t="str">
        <x:v>El mapa necesita material de tendencias, pero no Future Compass como paso previo.</x:v>
      </x:c>
      <x:c r="I29" s="136" t="str">
        <x:v>Documento CEDIA + validación externa ya integrada</x:v>
      </x:c>
      <x:c r="J29" s="136" t="str">
        <x:v>Corregido</x:v>
      </x:c>
      <x:c r="K29" s="136" t="str">
        <x:v>Se rechaza circularidad Future Compass ↔ Mapa de Tendencias.</x:v>
      </x:c>
    </x:row>
    <x:row r="30">
      <x:c r="A30" s="314" t="str">
        <x:v>PRE-026</x:v>
      </x:c>
      <x:c r="B30" s="314" t="str">
        <x:v>TEN-004</x:v>
      </x:c>
      <x:c r="C30" s="314" t="str">
        <x:v>Trend Canvas</x:v>
      </x:c>
      <x:c r="D30" s="314" t="str">
        <x:v>Tendencia seleccionada y suficientemente investigada + evidencia sobre contexto/driver y ejemplos de aplicación.</x:v>
      </x:c>
      <x:c r="E30" s="314" t="str">
        <x:v>Obligatoria</x:v>
      </x:c>
      <x:c r="F30" s="314" t="str">
        <x:v>Mapa de Tendencias; Componentes de Tendencias; estudios de mercado; vigilancia; otras fuentes externas verificables.</x:v>
      </x:c>
      <x:c r="G30" s="314" t="str">
        <x:v>No pasar a Aplicación si la tendencia aún no tiene sustento.</x:v>
      </x:c>
      <x:c r="H30" s="314" t="str">
        <x:v>Trend Canvas analiza una tendencia y luego la traduce a oportunidad/segmento/concepto; una fuente previa puede ser cualquier evidencia válida.</x:v>
      </x:c>
      <x:c r="I30" s="314" t="str">
        <x:v>Documento CEDIA + depuración de 07_DEPENDENCIAS.xlsx</x:v>
      </x:c>
      <x:c r="J30" s="314" t="str">
        <x:v>Aceptado con ajuste</x:v>
      </x:c>
      <x:c r="K30" s="314" t="str">
        <x:v>Future Compass no se considera fuente equivalente por defecto.</x:v>
      </x:c>
    </x:row>
    <x:row r="31">
      <x:c r="A31" s="416" t="str">
        <x:v>PRE-027</x:v>
      </x:c>
      <x:c r="B31" s="416" t="str">
        <x:v>VAL-001</x:v>
      </x:c>
      <x:c r="C31" s="416" t="str">
        <x:v>Mapa de Supuestos e Hipótesis Críticas</x:v>
      </x:c>
      <x:c r="D31" s="416" t="str">
        <x:v>Idea, propuesta, modelo o decisión suficientemente definida para extraer supuestos.</x:v>
      </x:c>
      <x:c r="E31" s="416" t="str">
        <x:v>Recomendada</x:v>
      </x:c>
      <x:c r="F31" s="416" t="str">
        <x:v>Business Model Canvas; Lienzo de Propuesta de Valor; Tres Lupas; requisitos; entrevistas; evidencia externa.</x:v>
      </x:c>
      <x:c r="G31" s="416" t="str">
        <x:v>Si no existe una idea/decisión definida, primero delimitar el problema y la solución/hipótesis inicial.</x:v>
      </x:c>
      <x:c r="H31" s="416" t="str">
        <x:v>No exige una herramienta previa; la evidencia puede provenir de cualquier fuente válida.</x:v>
      </x:c>
      <x:c r="I31" s="416" t="str">
        <x:v>Strategyzer — Assumptions Mapping</x:v>
      </x:c>
      <x:c r="J31" s="416" t="str">
        <x:v>Propuesta sustentada — validar CEDIA</x:v>
      </x:c>
      <x:c r="K31" s="416" t="str">
        <x:v>No convertir BMC/VPC/Tres Lupas en pasos obligatorios.</x:v>
      </x:c>
      <x:c r="L31" s="416"/>
      <x:c r="M31" s="416"/>
      <x:c r="N31" s="416"/>
      <x:c r="O31" s="416"/>
    </x:row>
    <x:row r="32">
      <x:c r="A32" s="416" t="str">
        <x:v>PRE-028</x:v>
      </x:c>
      <x:c r="B32" s="416" t="str">
        <x:v>VAL-002</x:v>
      </x:c>
      <x:c r="C32" s="416" t="str">
        <x:v>Tarjeta de Experimento (Test Card)</x:v>
      </x:c>
      <x:c r="D32" s="416" t="str">
        <x:v>Una hipótesis prioritaria, testable y suficientemente precisa.</x:v>
      </x:c>
      <x:c r="E32" s="416" t="str">
        <x:v>Obligatoria</x:v>
      </x:c>
      <x:c r="F32" s="416" t="str">
        <x:v>Mapa de Supuestos; BMC/VPC con hipótesis explícita; requisito técnico; hipótesis de mercado documentada.</x:v>
      </x:c>
      <x:c r="G32" s="416" t="str">
        <x:v>Formular/priorizar la hipótesis antes de diseñar el experimento.</x:v>
      </x:c>
      <x:c r="H32" s="416" t="str">
        <x:v>Sin hipótesis no existe prueba interpretable; método, métrica y umbral se definen antes de ejecutar.</x:v>
      </x:c>
      <x:c r="I32" s="416" t="str">
        <x:v>Strategyzer — Test Card</x:v>
      </x:c>
      <x:c r="J32" s="416" t="str">
        <x:v>Propuesta sustentada — validar CEDIA</x:v>
      </x:c>
      <x:c r="K32" s="416" t="str">
        <x:v>La hipótesis puede provenir de herramientas CEDIA o evidencia externa.</x:v>
      </x:c>
      <x:c r="L32" s="416"/>
      <x:c r="M32" s="416"/>
      <x:c r="N32" s="416"/>
      <x:c r="O32" s="416"/>
    </x:row>
    <x:row r="33">
      <x:c r="A33" s="416" t="str">
        <x:v>PRE-029</x:v>
      </x:c>
      <x:c r="B33" s="416" t="str">
        <x:v>VAL-003</x:v>
      </x:c>
      <x:c r="C33" s="416" t="str">
        <x:v>Tarjeta de Aprendizaje (Learning Card)</x:v>
      </x:c>
      <x:c r="D33" s="416" t="str">
        <x:v>Experimento ejecutado y datos/observaciones disponibles, idealmente con umbral definido previamente.</x:v>
      </x:c>
      <x:c r="E33" s="416" t="str">
        <x:v>Obligatoria</x:v>
      </x:c>
      <x:c r="F33" s="416" t="str">
        <x:v>Test Card ejecutada; prueba técnica; entrevista estructurada; piloto; ensayo; experimento de mercado.</x:v>
      </x:c>
      <x:c r="G33" s="416" t="str">
        <x:v>Si no hay resultados, ejecutar/terminar la prueba o registrar evidencia insuficiente.</x:v>
      </x:c>
      <x:c r="H33" s="416" t="str">
        <x:v>La Learning Card interpreta evidencia existente; no fabrica datos.</x:v>
      </x:c>
      <x:c r="I33" s="416" t="str">
        <x:v>Strategyzer — Learning Card</x:v>
      </x:c>
      <x:c r="J33" s="416" t="str">
        <x:v>Propuesta sustentada — validar CEDIA</x:v>
      </x:c>
      <x:c r="K33" s="416" t="str">
        <x:v>La prueba no tiene que venir necesariamente de Test Card, pero debe ser trazable.</x:v>
      </x:c>
      <x:c r="L33" s="416"/>
      <x:c r="M33" s="416"/>
      <x:c r="N33" s="416"/>
      <x:c r="O33" s="416"/>
    </x:row>
    <x:row r="34">
      <x:c r="A34" s="416" t="str">
        <x:v>PRE-030</x:v>
      </x:c>
      <x:c r="B34" s="416" t="str">
        <x:v>MAD-001</x:v>
      </x:c>
      <x:c r="C34" s="416" t="str">
        <x:v>Plan de Maduración Tecnológica</x:v>
      </x:c>
      <x:c r="D34" s="416" t="str">
        <x:v>TRL actual sustentado, TRL objetivo y brechas/elementos tecnológicos críticos identificables.</x:v>
      </x:c>
      <x:c r="E34" s="416" t="str">
        <x:v>Obligatoria</x:v>
      </x:c>
      <x:c r="F34" s="416" t="str">
        <x:v>Calculadora TRL CEDIA refinada; TRA; evaluación técnica externa; informe de pruebas.</x:v>
      </x:c>
      <x:c r="G34" s="416" t="str">
        <x:v>Si el TRL actual no está sustentado, evaluar madurez antes de planificar el salto.</x:v>
      </x:c>
      <x:c r="H34" s="416" t="str">
        <x:v>El plan responde a una brecha de madurez identificada; no reemplaza la evaluación TRL.</x:v>
      </x:c>
      <x:c r="I34" s="416" t="str">
        <x:v>U.S. DOE — Technology Maturation Plan</x:v>
      </x:c>
      <x:c r="J34" s="416" t="str">
        <x:v>Propuesta sustentada — validar CEDIA</x:v>
      </x:c>
      <x:c r="K34" s="416" t="str">
        <x:v>Adaptar nivel de detalle al tipo de proyecto.</x:v>
      </x:c>
      <x:c r="L34" s="416"/>
      <x:c r="M34" s="416"/>
      <x:c r="N34" s="416"/>
      <x:c r="O34" s="416"/>
    </x:row>
    <x:row r="35">
      <x:c r="A35" s="416" t="str">
        <x:v>PRE-031</x:v>
      </x:c>
      <x:c r="B35" s="416" t="str">
        <x:v>TRA-001</x:v>
      </x:c>
      <x:c r="C35" s="416" t="str">
        <x:v>Libertad de Operación (Freedom to Operate)</x:v>
      </x:c>
      <x:c r="D35" s="416" t="str">
        <x:v>Producto/proceso y uso previsto suficientemente definidos, más mercado/jurisdicción objetivo.</x:v>
      </x:c>
      <x:c r="E35" s="416" t="str">
        <x:v>Obligatoria</x:v>
      </x:c>
      <x:c r="F35" s="416" t="str">
        <x:v>Requisitos de solución; descripción técnica; prototipo; patente/búsqueda previa; información del mercado objetivo.</x:v>
      </x:c>
      <x:c r="G35" s="416" t="str">
        <x:v>Delimitar primero solución, uso y jurisdicción; si el riesgo es material, derivar a especialista PI.</x:v>
      </x:c>
      <x:c r="H35" s="416" t="str">
        <x:v>La herramienta es cribado y no opinión legal; calidad depende de alcance técnico y jurisdicción.</x:v>
      </x:c>
      <x:c r="I35" s="416" t="str">
        <x:v>WIPO — Freedom to Operate</x:v>
      </x:c>
      <x:c r="J35" s="416" t="str">
        <x:v>Propuesta sustentada — validar CEDIA</x:v>
      </x:c>
      <x:c r="K35" s="416" t="str">
        <x:v>Incluir aviso jurídico visible.</x:v>
      </x:c>
      <x:c r="L35" s="416"/>
      <x:c r="M35" s="416"/>
      <x:c r="N35" s="416"/>
      <x:c r="O35" s="416"/>
    </x:row>
    <x:row r="36">
      <x:c r="A36" s="416" t="str">
        <x:v>PRE-032</x:v>
      </x:c>
      <x:c r="B36" s="416" t="str">
        <x:v>TRA-002</x:v>
      </x:c>
      <x:c r="C36" s="416" t="str">
        <x:v>Mapa de Cadena de Valor y Actores</x:v>
      </x:c>
      <x:c r="D36" s="416" t="str">
        <x:v>Solución/aplicación definida y conocimiento mínimo de cómo se desarrollará/entregará.</x:v>
      </x:c>
      <x:c r="E36" s="416" t="str">
        <x:v>Recomendada</x:v>
      </x:c>
      <x:c r="F36" s="416" t="str">
        <x:v>Business Model Canvas; propuesta de valor; requisitos; entrevistas con industria; mapas de actores; acuerdos existentes.</x:v>
      </x:c>
      <x:c r="G36" s="416" t="str">
        <x:v>Si la solución aún es demasiado abstracta, definir primero aplicación/valor y actividades básicas.</x:v>
      </x:c>
      <x:c r="H36" s="416" t="str">
        <x:v>Puede iniciarse con información parcial y refinarse; no requiere BMC obligatorio.</x:v>
      </x:c>
      <x:c r="I36" s="416" t="str">
        <x:v>WIPO — Value Chain</x:v>
      </x:c>
      <x:c r="J36" s="416" t="str">
        <x:v>Propuesta sustentada — validar CEDIA</x:v>
      </x:c>
      <x:c r="K36" s="416" t="str">
        <x:v>Integrar con hoja 13 para evitar duplicación.</x:v>
      </x:c>
      <x:c r="L36" s="416"/>
      <x:c r="M36" s="416"/>
      <x:c r="N36" s="416"/>
      <x:c r="O36" s="416"/>
    </x:row>
    <x:row r="37">
      <x:c r="A37" s="416" t="str">
        <x:v>PRE-033</x:v>
      </x:c>
      <x:c r="B37" s="416" t="str">
        <x:v>TRA-003</x:v>
      </x:c>
      <x:c r="C37" s="416" t="str">
        <x:v>Ficha de Divulgación de Invención</x:v>
      </x:c>
      <x:c r="D37" s="416" t="str">
        <x:v>Resultado técnico/inventivo suficientemente concreto, inventores identificables y evidencia mínima del resultado.</x:v>
      </x:c>
      <x:c r="E37" s="416" t="str">
        <x:v>Obligatoria</x:v>
      </x:c>
      <x:c r="F37" s="416" t="str">
        <x:v>Informes de investigación; prototipo; resultados experimentales; cuaderno de laboratorio; contratos/proyectos.</x:v>
      </x:c>
      <x:c r="G37" s="416" t="str">
        <x:v>Si solo existe una idea general, documentar/madurar el resultado antes de remitirlo a transferencia.</x:v>
      </x:c>
      <x:c r="H37" s="416" t="str">
        <x:v>La divulgación inicia evaluación institucional; no exige tener patente ni FTO resueltos.</x:v>
      </x:c>
      <x:c r="I37" s="416" t="str">
        <x:v>WIPO — Technology Transfer</x:v>
      </x:c>
      <x:c r="J37" s="416" t="str">
        <x:v>Propuesta sustentada — validar CEDIA</x:v>
      </x:c>
      <x:c r="K37" s="416" t="str">
        <x:v>La plantilla concreta es adaptación propuesta.</x:v>
      </x:c>
      <x:c r="L37" s="416"/>
      <x:c r="M37" s="416"/>
      <x:c r="N37" s="416"/>
      <x:c r="O37" s="416"/>
    </x:row>
    <x:row r="38">
      <x:c r="A38" s="416" t="str">
        <x:v>PRE-034</x:v>
      </x:c>
      <x:c r="B38" s="416" t="str">
        <x:v>ADO-001</x:v>
      </x:c>
      <x:c r="C38" s="416" t="str">
        <x:v>Mapa de Riesgos de Adopción / Comercialización</x:v>
      </x:c>
      <x:c r="D38" s="416" t="str">
        <x:v>Aplicación/mercado objetivo definidos y evidencia mínima sobre valor, actores, recursos y contexto.</x:v>
      </x:c>
      <x:c r="E38" s="416" t="str">
        <x:v>Recomendada</x:v>
      </x:c>
      <x:c r="F38" s="416" t="str">
        <x:v>CRL; BMC; VPC; entrevistas; cadena de valor; FTO; regulación; datos de mercado.</x:v>
      </x:c>
      <x:c r="G38" s="416" t="str">
        <x:v>Si todavía no existe aplicación/mercado, primero delimitar caso de uso y segmento objetivo.</x:v>
      </x:c>
      <x:c r="H38" s="416" t="str">
        <x:v>ARL complementa TRL; en Ruta CEDIA se usa inicialmente como mapa de riesgos, no como segundo puntaje oficial.</x:v>
      </x:c>
      <x:c r="I38" s="416" t="str">
        <x:v>U.S. DOE — ARL Framework</x:v>
      </x:c>
      <x:c r="J38" s="416" t="str">
        <x:v>Propuesta sustentada — validar CEDIA</x:v>
      </x:c>
      <x:c r="K38" s="416" t="str">
        <x:v>No mezclar automáticamente con CRL hasta validación.</x:v>
      </x:c>
      <x:c r="L38" s="416"/>
      <x:c r="M38" s="416"/>
      <x:c r="N38" s="416"/>
      <x:c r="O38" s="416"/>
    </x:row>
  </x:sheetData>
  <x:mergeCells>
    <x:mergeCell ref="A1:K1"/>
    <x:mergeCell ref="A2:K2"/>
  </x:mergeCells>
  <x:conditionalFormatting sqref="E5:E30">
    <x:cfRule type="expression" dxfId="5" priority="1">
      <x:formula>E5="Obligatoria"</x:formula>
    </x:cfRule>
    <x:cfRule type="expression" dxfId="6" priority="2">
      <x:formula>E5="Recomendada"</x:formula>
    </x:cfRule>
    <x:cfRule type="expression" dxfId="7" priority="3">
      <x:formula>E5="Opcional"</x:formula>
    </x:cfRule>
  </x:conditionalFormatting>
  <x:conditionalFormatting sqref="J5:J30">
    <x:cfRule type="expression" dxfId="8" priority="4">
      <x:formula>J5="Corregido"</x:formula>
    </x:cfRule>
  </x:conditionalFormatting>
  <x:dataValidations count="2">
    <x:dataValidation type="list" sqref="E5:E100">
      <x:formula1>"Obligatoria,Recomendada,Opcional"</x:formula1>
    </x:dataValidation>
    <x:dataValidation type="list" sqref="J5:J100">
      <x:formula1>"Aceptado,Aceptado con ajuste,Corregido,Rechazado"</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7" max="17" width="45" hidden="0" customWidth="1"/>
    <x:col min="1" max="1" width="55" hidden="0" customWidth="1"/>
    <x:col min="2" max="2" width="15" hidden="0" customWidth="1"/>
    <x:col min="3" max="3" width="45" hidden="0" customWidth="1"/>
    <x:col min="4" max="4" width="16" hidden="0" customWidth="1"/>
    <x:col min="5" max="5" width="30" hidden="0" customWidth="1"/>
    <x:col min="6" max="6" width="38" hidden="0" customWidth="1"/>
    <x:col min="7" max="7" width="12" hidden="0" customWidth="1"/>
    <x:col min="8" max="8" width="15" hidden="0" customWidth="1"/>
    <x:col min="9" max="9" width="42" hidden="0" customWidth="1"/>
    <x:col min="10" max="10" width="52" hidden="0" customWidth="1"/>
    <x:col min="11" max="11" width="52" hidden="0" customWidth="1"/>
    <x:col min="12" max="12" width="14" hidden="0" customWidth="1"/>
    <x:col min="13" max="13" width="52" hidden="0" customWidth="1"/>
    <x:col min="14" max="14" width="42" hidden="0" customWidth="1"/>
    <x:col min="15" max="15" width="48" hidden="0" customWidth="1"/>
  </x:cols>
  <x:sheetData>
    <x:row r="1">
      <x:c r="A1" s="325" t="str">
        <x:v>21 — TABLA AUXILIAR DEL SIMULADOR (NO EDITAR)</x:v>
      </x:c>
      <x:c r="B1" s="325" t="str">
        <x:v>21 — TABLA AUXILIAR DEL SIMULADOR (NO EDITAR)</x:v>
      </x:c>
      <x:c r="C1" s="325" t="str">
        <x:v>21 — TABLA AUXILIAR DEL SIMULADOR (NO EDITAR)</x:v>
      </x:c>
      <x:c r="D1" s="325" t="str">
        <x:v>21 — TABLA AUXILIAR DEL SIMULADOR (NO EDITAR)</x:v>
      </x:c>
      <x:c r="E1" s="325" t="str">
        <x:v>21 — TABLA AUXILIAR DEL SIMULADOR (NO EDITAR)</x:v>
      </x:c>
      <x:c r="F1" s="325" t="str">
        <x:v>21 — TABLA AUXILIAR DEL SIMULADOR (NO EDITAR)</x:v>
      </x:c>
      <x:c r="G1" s="325" t="str">
        <x:v>21 — TABLA AUXILIAR DEL SIMULADOR (NO EDITAR)</x:v>
      </x:c>
      <x:c r="H1" s="325" t="str">
        <x:v>21 — TABLA AUXILIAR DEL SIMULADOR (NO EDITAR)</x:v>
      </x:c>
      <x:c r="I1" s="325" t="str">
        <x:v>21 — TABLA AUXILIAR DEL SIMULADOR (NO EDITAR)</x:v>
      </x:c>
      <x:c r="J1" s="325" t="str">
        <x:v>21 — TABLA AUXILIAR DEL SIMULADOR (NO EDITAR)</x:v>
      </x:c>
      <x:c r="K1" s="325" t="str">
        <x:v>21 — TABLA AUXILIAR DEL SIMULADOR (NO EDITAR)</x:v>
      </x:c>
      <x:c r="L1" s="325" t="str">
        <x:v>21 — TABLA AUXILIAR DEL SIMULADOR (NO EDITAR)</x:v>
      </x:c>
      <x:c r="M1" s="325" t="str">
        <x:v>21 — TABLA AUXILIAR DEL SIMULADOR (NO EDITAR)</x:v>
      </x:c>
      <x:c r="N1" s="325" t="str">
        <x:v>21 — TABLA AUXILIAR DEL SIMULADOR (NO EDITAR)</x:v>
      </x:c>
      <x:c r="O1" s="325" t="str">
        <x:v>21 — TABLA AUXILIAR DEL SIMULADOR (NO EDITAR)</x:v>
      </x:c>
      <x:c r="Q1" t="str">
        <x:v>RUTA_ESPERADA_SELECTOR</x:v>
      </x:c>
    </x:row>
    <x:row r="2">
      <x:c r="A2" s="328" t="str">
        <x:v>Esta hoja alimenta los desplegables y fórmulas de 09_CASOS_PRUEBA. La recomendación se activa por una brecha principal y el estado de la evidencia asociada.</x:v>
      </x:c>
      <x:c r="B2" s="328" t="str">
        <x:v>Esta hoja alimenta los desplegables y fórmulas de 09_CASOS_PRUEBA. La recomendación se activa por una brecha principal y el estado de la evidencia asociada.</x:v>
      </x:c>
      <x:c r="C2" s="328" t="str">
        <x:v>Esta hoja alimenta los desplegables y fórmulas de 09_CASOS_PRUEBA. La recomendación se activa por una brecha principal y el estado de la evidencia asociada.</x:v>
      </x:c>
      <x:c r="D2" s="328" t="str">
        <x:v>Esta hoja alimenta los desplegables y fórmulas de 09_CASOS_PRUEBA. La recomendación se activa por una brecha principal y el estado de la evidencia asociada.</x:v>
      </x:c>
      <x:c r="E2" s="328" t="str">
        <x:v>Esta hoja alimenta los desplegables y fórmulas de 09_CASOS_PRUEBA. La recomendación se activa por una brecha principal y el estado de la evidencia asociada.</x:v>
      </x:c>
      <x:c r="F2" s="328" t="str">
        <x:v>Esta hoja alimenta los desplegables y fórmulas de 09_CASOS_PRUEBA. La recomendación se activa por una brecha principal y el estado de la evidencia asociada.</x:v>
      </x:c>
      <x:c r="G2" s="328" t="str">
        <x:v>Esta hoja alimenta los desplegables y fórmulas de 09_CASOS_PRUEBA. La recomendación se activa por una brecha principal y el estado de la evidencia asociada.</x:v>
      </x:c>
      <x:c r="H2" s="328" t="str">
        <x:v>Esta hoja alimenta los desplegables y fórmulas de 09_CASOS_PRUEBA. La recomendación se activa por una brecha principal y el estado de la evidencia asociada.</x:v>
      </x:c>
      <x:c r="I2" s="328" t="str">
        <x:v>Esta hoja alimenta los desplegables y fórmulas de 09_CASOS_PRUEBA. La recomendación se activa por una brecha principal y el estado de la evidencia asociada.</x:v>
      </x:c>
      <x:c r="J2" s="328" t="str">
        <x:v>Esta hoja alimenta los desplegables y fórmulas de 09_CASOS_PRUEBA. La recomendación se activa por una brecha principal y el estado de la evidencia asociada.</x:v>
      </x:c>
      <x:c r="K2" s="328" t="str">
        <x:v>Esta hoja alimenta los desplegables y fórmulas de 09_CASOS_PRUEBA. La recomendación se activa por una brecha principal y el estado de la evidencia asociada.</x:v>
      </x:c>
      <x:c r="L2" s="328" t="str">
        <x:v>Esta hoja alimenta los desplegables y fórmulas de 09_CASOS_PRUEBA. La recomendación se activa por una brecha principal y el estado de la evidencia asociada.</x:v>
      </x:c>
      <x:c r="M2" s="328" t="str">
        <x:v>Esta hoja alimenta los desplegables y fórmulas de 09_CASOS_PRUEBA. La recomendación se activa por una brecha principal y el estado de la evidencia asociada.</x:v>
      </x:c>
      <x:c r="N2" s="328" t="str">
        <x:v>Esta hoja alimenta los desplegables y fórmulas de 09_CASOS_PRUEBA. La recomendación se activa por una brecha principal y el estado de la evidencia asociada.</x:v>
      </x:c>
      <x:c r="O2" s="328" t="str">
        <x:v>Esta hoja alimenta los desplegables y fórmulas de 09_CASOS_PRUEBA. La recomendación se activa por una brecha principal y el estado de la evidencia asociada.</x:v>
      </x:c>
      <x:c r="Q2" t="str">
        <x:v>IDE-001 — Árbol de Problemas</x:v>
      </x:c>
    </x:row>
    <x:row r="3">
      <x:c r="Q3" t="str">
        <x:v>IDE-002 — Brainstorming</x:v>
      </x:c>
    </x:row>
    <x:row r="4">
      <x:c r="A4" s="331" t="str">
        <x:v>BRECHA_SELECTOR</x:v>
      </x:c>
      <x:c r="B4" s="331" t="str">
        <x:v>ID_BRECHA</x:v>
      </x:c>
      <x:c r="C4" s="331" t="str">
        <x:v>NOMBRE_BRECHA</x:v>
      </x:c>
      <x:c r="D4" s="331" t="str">
        <x:v>ID_HERRAMIENTA</x:v>
      </x:c>
      <x:c r="E4" s="331" t="str">
        <x:v>HERRAMIENTA</x:v>
      </x:c>
      <x:c r="F4" s="331" t="str">
        <x:v>RUTA_DISPLAY</x:v>
      </x:c>
      <x:c r="G4" s="331" t="str">
        <x:v>PRIORIDAD</x:v>
      </x:c>
      <x:c r="H4" s="331" t="str">
        <x:v>ID_EVIDENCIA</x:v>
      </x:c>
      <x:c r="I4" s="331" t="str">
        <x:v>EVIDENCIA_ESPERADA</x:v>
      </x:c>
      <x:c r="J4" s="331" t="str">
        <x:v>PRERREQUISITO_EVIDENCIA</x:v>
      </x:c>
      <x:c r="K4" s="331" t="str">
        <x:v>SIGUIENTE_EVALUACION</x:v>
      </x:c>
      <x:c r="L4" s="331" t="str">
        <x:v>ES_ITERATIVA</x:v>
      </x:c>
      <x:c r="M4" s="331" t="str">
        <x:v>JUSTIFICACION</x:v>
      </x:c>
      <x:c r="N4" s="331" t="str">
        <x:v>CONDICION_TIPO_PROYECTO</x:v>
      </x:c>
      <x:c r="O4" s="331" t="str">
        <x:v>CRITERIO_SALIDA</x:v>
      </x:c>
      <x:c r="Q4" t="str">
        <x:v>IDE-003 — Brief de investigación</x:v>
      </x:c>
    </x:row>
    <x:row r="5">
      <x:c r="A5" s="334" t="str">
        <x:v>B-PRO-001 — Problema central, causas y efectos no estructurados</x:v>
      </x:c>
      <x:c r="B5" s="334" t="str">
        <x:v>B-PRO-001</x:v>
      </x:c>
      <x:c r="C5" s="334" t="str">
        <x:v>Problema central, causas y efectos no estructurados</x:v>
      </x:c>
      <x:c r="D5" s="334" t="str">
        <x:v>IDE-001</x:v>
      </x:c>
      <x:c r="E5" s="334" t="str">
        <x:v>Árbol de Problemas</x:v>
      </x:c>
      <x:c r="F5" s="334" t="str">
        <x:v>IDE-001 — Árbol de Problemas</x:v>
      </x:c>
      <x:c r="G5" s="334" t="str">
        <x:v>P3</x:v>
      </x:c>
      <x:c r="H5" s="334" t="str">
        <x:v>EV-001</x:v>
      </x:c>
      <x:c r="I5" s="334" t="str">
        <x:v>Árbol de Problemas.</x:v>
      </x:c>
      <x:c r="J5" s="334" t="str">
        <x:v>Indicio o descripción inicial del problema que se desea analizar.</x:v>
      </x:c>
      <x:c r="K5" s="334" t="str">
        <x:v>Reevaluar la brecha de comprensión causal. Si las causas necesitan mayor clasificación/profundidad, considerar Diagrama de Ishikawa; si ya hay claridad, avanzar según la siguiente brecha.</x:v>
      </x:c>
      <x:c r="L5" s="334" t="str">
        <x:v>No</x:v>
      </x:c>
      <x:c r="M5" s="334" t="str">
        <x:v>Se recomienda Árbol de Problemas porque la brecha detectada es «Problema central, causas y efectos no estructurados» y la herramienta está diseñada para investigar y analizar los elementos que influyen en una problemática, identificando y organizando causas y consecuencias. Su resultado esperado es: Árbol estructurado con problema central, causas y efectos relacionados.</x:v>
      </x:c>
      <x:c r="N5" s="334" t="str">
        <x:v>Cualquiera; la herramienta se activa por brecha/evidencia y no por una categoría tecnológica exclusiva.</x:v>
      </x:c>
      <x:c r="O5" s="334" t="str">
        <x:v>Existe una única problemática central claramente definida y se han organizado causas y efectos relacionados.</x:v>
      </x:c>
      <x:c r="Q5" t="str">
        <x:v>IDE-004 — Componentes de Preguntas Poderosas</x:v>
      </x:c>
    </x:row>
    <x:row r="6">
      <x:c r="A6" s="334" t="str">
        <x:v>B-IDE-001 — Falta de alternativas de solución</x:v>
      </x:c>
      <x:c r="B6" s="334" t="str">
        <x:v>B-IDE-001</x:v>
      </x:c>
      <x:c r="C6" s="334" t="str">
        <x:v>Falta de alternativas de solución</x:v>
      </x:c>
      <x:c r="D6" s="334" t="str">
        <x:v>IDE-002</x:v>
      </x:c>
      <x:c r="E6" s="334" t="str">
        <x:v>Brainstorming</x:v>
      </x:c>
      <x:c r="F6" s="334" t="str">
        <x:v>IDE-002 — Brainstorming</x:v>
      </x:c>
      <x:c r="G6" s="334" t="str">
        <x:v>P3</x:v>
      </x:c>
      <x:c r="H6" s="334" t="str">
        <x:v>EV-002</x:v>
      </x:c>
      <x:c r="I6" s="334" t="str">
        <x:v>Registro de ideas generadas y selección/priorización posterior.</x:v>
      </x:c>
      <x:c r="J6" s="334" t="str">
        <x:v>Problema, tema o pregunta detonante suficientemente clara.</x:v>
      </x:c>
      <x:c r="K6" s="334" t="str">
        <x:v>Comprobar si ya existe una idea candidata. Si sí, evaluar potencial con Tres Lupas u otra validación pertinente; si se requiere expansión estructurada, Lotus Blossom es alternativa.</x:v>
      </x:c>
      <x:c r="L6" s="334" t="str">
        <x:v>No</x:v>
      </x:c>
      <x:c r="M6" s="334" t="str">
        <x:v>Se recomienda Brainstorming porque la brecha detectada es «Falta de alternativas de solución» y la herramienta está diseñada para generar ideas de manera sencilla aprovechando el pensamiento colectivo. Su resultado esperado es: Conjunto amplio de ideas para análisis y selección posterior.</x:v>
      </x:c>
      <x:c r="N6" s="334" t="str">
        <x:v>Cualquiera; la herramienta se activa por brecha/evidencia y no por una categoría tecnológica exclusiva.</x:v>
      </x:c>
      <x:c r="O6" s="334" t="str">
        <x:v>Se ha generado un conjunto suficiente de ideas y existe una selección de las más relevantes para continuar.</x:v>
      </x:c>
      <x:c r="Q6" t="str">
        <x:v>IDE-005 — Diagrama de Ishikawa</x:v>
      </x:c>
    </x:row>
    <x:row r="7">
      <x:c r="A7" s="334" t="str">
        <x:v>B-INV-001 — Investigación inicial no estructurada</x:v>
      </x:c>
      <x:c r="B7" s="334" t="str">
        <x:v>B-INV-001</x:v>
      </x:c>
      <x:c r="C7" s="334" t="str">
        <x:v>Investigación inicial no estructurada</x:v>
      </x:c>
      <x:c r="D7" s="334" t="str">
        <x:v>IDE-003</x:v>
      </x:c>
      <x:c r="E7" s="334" t="str">
        <x:v>Brief de investigación</x:v>
      </x:c>
      <x:c r="F7" s="334" t="str">
        <x:v>IDE-003 — Brief de investigación</x:v>
      </x:c>
      <x:c r="G7" s="334" t="str">
        <x:v>P2</x:v>
      </x:c>
      <x:c r="H7" s="334" t="str">
        <x:v>EV-003</x:v>
      </x:c>
      <x:c r="I7" s="334" t="str">
        <x:v>Brief de Investigación.</x:v>
      </x:c>
      <x:c r="J7" s="334" t="str">
        <x:v>Problema, decisión o incertidumbre a investigar y objetivo preliminar.</x:v>
      </x:c>
      <x:c r="K7" s="334" t="str">
        <x:v>Revisar la calidad de las preguntas. Si son débiles o sesgadas, recomendar Componentes de Preguntas Poderosas; después ejecutar la investigación fuera de esta herramienta.</x:v>
      </x:c>
      <x:c r="L7" s="334" t="str">
        <x:v>No</x:v>
      </x:c>
      <x:c r="M7" s="334" t="str">
        <x:v>Se recomienda Brief de investigación porque la brecha detectada es «Investigación inicial no estructurada» y la herramienta está diseñada para recopilar datos clave para la organización mediante un plan de investigación estructurado. Su resultado esperado es: Brief de investigación con objetivos, preguntas, público, hipótesis, análisis esperado y metodología.</x:v>
      </x:c>
      <x:c r="N7" s="334" t="str">
        <x:v>Cualquiera; la herramienta se activa por brecha/evidencia y no por una categoría tecnológica exclusiva.</x:v>
      </x:c>
      <x:c r="O7" s="334" t="str">
        <x:v>El brief contiene antecedentes, objetivo, información buscada, público, hipótesis, plan de análisis y metodología.</x:v>
      </x:c>
      <x:c r="Q7" t="str">
        <x:v>IDE-006 — How Might We</x:v>
      </x:c>
    </x:row>
    <x:row r="8">
      <x:c r="A8" s="334" t="str">
        <x:v>B-INV-002 — Preguntas que no generan información suficiente</x:v>
      </x:c>
      <x:c r="B8" s="334" t="str">
        <x:v>B-INV-002</x:v>
      </x:c>
      <x:c r="C8" s="334" t="str">
        <x:v>Preguntas que no generan información suficiente</x:v>
      </x:c>
      <x:c r="D8" s="334" t="str">
        <x:v>IDE-004</x:v>
      </x:c>
      <x:c r="E8" s="334" t="str">
        <x:v>Componentes de Preguntas Poderosas</x:v>
      </x:c>
      <x:c r="F8" s="334" t="str">
        <x:v>IDE-004 — Componentes de Preguntas Poderosas</x:v>
      </x:c>
      <x:c r="G8" s="334" t="str">
        <x:v>P3</x:v>
      </x:c>
      <x:c r="H8" s="334" t="str">
        <x:v>EV-004</x:v>
      </x:c>
      <x:c r="I8" s="334" t="str">
        <x:v>Matriz de Componentes de Preguntas Poderosas.</x:v>
      </x:c>
      <x:c r="J8" s="334" t="str">
        <x:v>Objetivo de aprendizaje, tema o situación sobre la que se necesita obtener información.</x:v>
      </x:c>
      <x:c r="K8" s="334" t="str">
        <x:v>Volver al Brief o ejecutar la investigación. Registrar qué pregunta responde a qué objetivo de aprendizaje.</x:v>
      </x:c>
      <x:c r="L8" s="334" t="str">
        <x:v>No</x:v>
      </x:c>
      <x:c r="M8" s="334" t="str">
        <x:v>Se recomienda Componentes de Preguntas Poderosas porque la brecha detectada es «Preguntas que no generan información suficiente» y la herramienta está diseñada para diseñar preguntas efectivas para captar información valiosa de los usuarios. Su resultado esperado es: Conjunto de preguntas más claras, progresivas y orientadas a generar información.</x:v>
      </x:c>
      <x:c r="N8" s="334" t="str">
        <x:v>Cualquiera; la herramienta se activa por brecha/evidencia y no por una categoría tecnológica exclusiva.</x:v>
      </x:c>
      <x:c r="O8" s="334" t="str">
        <x:v>Las preguntas incluyen interrogante, extensión adecuada y revisión de supuestos/proyecciones.</x:v>
      </x:c>
      <x:c r="Q8" t="str">
        <x:v>IDE-007 — Lotus Blossom</x:v>
      </x:c>
    </x:row>
    <x:row r="9">
      <x:c r="A9" s="334" t="str">
        <x:v>B-PRO-002 — Causas del problema no analizadas sistemáticamente</x:v>
      </x:c>
      <x:c r="B9" s="334" t="str">
        <x:v>B-PRO-002</x:v>
      </x:c>
      <x:c r="C9" s="334" t="str">
        <x:v>Causas del problema no analizadas sistemáticamente</x:v>
      </x:c>
      <x:c r="D9" s="334" t="str">
        <x:v>IDE-005</x:v>
      </x:c>
      <x:c r="E9" s="334" t="str">
        <x:v>Diagrama de Ishikawa</x:v>
      </x:c>
      <x:c r="F9" s="334" t="str">
        <x:v>IDE-005 — Diagrama de Ishikawa</x:v>
      </x:c>
      <x:c r="G9" s="334" t="str">
        <x:v>P2</x:v>
      </x:c>
      <x:c r="H9" s="334" t="str">
        <x:v>EV-005</x:v>
      </x:c>
      <x:c r="I9" s="334" t="str">
        <x:v>Diagrama de Ishikawa.</x:v>
      </x:c>
      <x:c r="J9" s="334" t="str">
        <x:v>Problema o efecto claramente definido y conocimiento preliminar de factores causales.</x:v>
      </x:c>
      <x:c r="K9" s="334" t="str">
        <x:v>Contrastar las causas prioritarias con datos/pruebas. Si se confirma la necesidad de investigar, estructurar un Brief de investigación.</x:v>
      </x:c>
      <x:c r="L9" s="334" t="str">
        <x:v>No</x:v>
      </x:c>
      <x:c r="M9" s="334" t="str">
        <x:v>Se recomienda Diagrama de Ishikawa porque la brecha detectada es «Causas del problema no analizadas sistemáticamente» y la herramienta está diseñada para identificar las causas de un problema. Su resultado esperado es: Diagrama de Ishikawa con problema, categorías de causas, causas principales y secundarias.</x:v>
      </x:c>
      <x:c r="N9" s="334" t="str">
        <x:v>Cualquiera; la herramienta se activa por brecha/evidencia y no por una categoría tecnológica exclusiva.</x:v>
      </x:c>
      <x:c r="O9" s="334" t="str">
        <x:v>El problema está definido y las causas relevantes se encuentran organizadas en categorías y niveles de causalidad.</x:v>
      </x:c>
      <x:c r="Q9" t="str">
        <x:v>IDE-008 — Planteamiento del Problema</x:v>
      </x:c>
    </x:row>
    <x:row r="10">
      <x:c r="A10" s="334" t="str">
        <x:v>B-IDE-002 — Insights no convertidos en preguntas de oportunidad</x:v>
      </x:c>
      <x:c r="B10" s="334" t="str">
        <x:v>B-IDE-002</x:v>
      </x:c>
      <x:c r="C10" s="334" t="str">
        <x:v>Insights no convertidos en preguntas de oportunidad</x:v>
      </x:c>
      <x:c r="D10" s="334" t="str">
        <x:v>IDE-006</x:v>
      </x:c>
      <x:c r="E10" s="334" t="str">
        <x:v>How Might We</x:v>
      </x:c>
      <x:c r="F10" s="334" t="str">
        <x:v>IDE-006 — How Might We</x:v>
      </x:c>
      <x:c r="G10" s="334" t="str">
        <x:v>P3</x:v>
      </x:c>
      <x:c r="H10" s="334" t="str">
        <x:v>EV-006</x:v>
      </x:c>
      <x:c r="I10" s="334" t="str">
        <x:v>Matriz de insights y preguntas «¿Cómo podríamos…?».</x:v>
      </x:c>
      <x:c r="J10" s="334" t="str">
        <x:v>Problema o necesidad delimitada + insight/aprendizaje relevante.</x:v>
      </x:c>
      <x:c r="K10" s="334" t="str">
        <x:v>Generar alternativas con Brainstorming o Lotus Blossom, según se prefiera exploración libre o estructurada.</x:v>
      </x:c>
      <x:c r="L10" s="334" t="str">
        <x:v>No</x:v>
      </x:c>
      <x:c r="M10" s="334" t="str">
        <x:v>Se recomienda How Might We porque la brecha detectada es «Insights no convertidos en preguntas de oportunidad» y la herramienta está diseñada para resolver un problema de manera innovadora a partir de insights detectados. Su resultado esperado es: Preguntas de oportunidad tipo «¿Cómo podríamos…?» derivadas de insights.</x:v>
      </x:c>
      <x:c r="N10" s="334" t="str">
        <x:v>Cualquiera; la herramienta se activa por brecha/evidencia y no por una categoría tecnológica exclusiva.</x:v>
      </x:c>
      <x:c r="O10" s="334" t="str">
        <x:v>Cada insight relevante se ha traducido en una pregunta abierta que permite explorar soluciones.</x:v>
      </x:c>
      <x:c r="Q10" t="str">
        <x:v>MKT-001 — Buyer Persona</x:v>
      </x:c>
    </x:row>
    <x:row r="11">
      <x:c r="A11" s="334" t="str">
        <x:v>B-IDE-003 — Concepto o reto insuficientemente expandido</x:v>
      </x:c>
      <x:c r="B11" s="334" t="str">
        <x:v>B-IDE-003</x:v>
      </x:c>
      <x:c r="C11" s="334" t="str">
        <x:v>Concepto o reto insuficientemente expandido</x:v>
      </x:c>
      <x:c r="D11" s="334" t="str">
        <x:v>IDE-007</x:v>
      </x:c>
      <x:c r="E11" s="334" t="str">
        <x:v>Lotus Blossom</x:v>
      </x:c>
      <x:c r="F11" s="334" t="str">
        <x:v>IDE-007 — Lotus Blossom</x:v>
      </x:c>
      <x:c r="G11" s="334" t="str">
        <x:v>P3</x:v>
      </x:c>
      <x:c r="H11" s="334" t="str">
        <x:v>EV-007</x:v>
      </x:c>
      <x:c r="I11" s="334" t="str">
        <x:v>Matriz Lotus Blossom y priorizada.</x:v>
      </x:c>
      <x:c r="J11" s="334" t="str">
        <x:v>Idea, concepto, reto o pregunta central que pueda expandirse.</x:v>
      </x:c>
      <x:c r="K11" s="334" t="str">
        <x:v>Priorizar ideas y, para candidatas relevantes, evaluar potencial con Tres Lupas.</x:v>
      </x:c>
      <x:c r="L11" s="334" t="str">
        <x:v>No</x:v>
      </x:c>
      <x:c r="M11" s="334" t="str">
        <x:v>Se recomienda Lotus Blossom porque la brecha detectada es «Concepto o reto insuficientemente expandido» y la herramienta está diseñada para visualizar relaciones entre un concepto central y subconceptos asociados para expandir y analizar ideas. Su resultado esperado es: Mapa expandido de ideas/subconceptos con priorización de los más relevantes.</x:v>
      </x:c>
      <x:c r="N11" s="334" t="str">
        <x:v>Cualquiera; la herramienta se activa por brecha/evidencia y no por una categoría tecnológica exclusiva.</x:v>
      </x:c>
      <x:c r="O11" s="334" t="str">
        <x:v>El concepto central fue expandido en ideas relacionadas y se realizó una priorización final.</x:v>
      </x:c>
      <x:c r="Q11" t="str">
        <x:v>MKT-002 — Círculo de Oro</x:v>
      </x:c>
    </x:row>
    <x:row r="12">
      <x:c r="A12" s="334" t="str">
        <x:v>B-PRO-003 — Problema, beneficiario y contexto insuficientemente definidos</x:v>
      </x:c>
      <x:c r="B12" s="334" t="str">
        <x:v>B-PRO-003</x:v>
      </x:c>
      <x:c r="C12" s="334" t="str">
        <x:v>Problema, beneficiario y contexto insuficientemente definidos</x:v>
      </x:c>
      <x:c r="D12" s="334" t="str">
        <x:v>IDE-008</x:v>
      </x:c>
      <x:c r="E12" s="334" t="str">
        <x:v>Planteamiento del Problema</x:v>
      </x:c>
      <x:c r="F12" s="334" t="str">
        <x:v>IDE-008 — Planteamiento del Problema</x:v>
      </x:c>
      <x:c r="G12" s="334" t="str">
        <x:v>P2</x:v>
      </x:c>
      <x:c r="H12" s="334" t="str">
        <x:v>EV-008</x:v>
      </x:c>
      <x:c r="I12" s="334" t="str">
        <x:v>Lienzo de Planteamiento del Problema.</x:v>
      </x:c>
      <x:c r="J12" s="334" t="str">
        <x:v>Tema o problemática inicial + conocimiento preliminar de quién está afectado y en qué contexto.</x:v>
      </x:c>
      <x:c r="K12" s="334" t="str">
        <x:v>Si se necesita causa–efecto, Árbol de Problemas; si ya existen insights, How Might We; si se necesita investigación, Brief.</x:v>
      </x:c>
      <x:c r="L12" s="334" t="str">
        <x:v>No</x:v>
      </x:c>
      <x:c r="M12" s="334" t="str">
        <x:v>Se recomienda Planteamiento del Problema porque la brecha detectada es «Problema, beneficiario y contexto insuficientemente definidos» y la herramienta está diseñada para entender a detalle la problemática que se desea mitigar. Su resultado esperado es: Planteamiento estructurado del problema, beneficiarios, contexto, beneficio deseado e impacto esperado.</x:v>
      </x:c>
      <x:c r="N12" s="334" t="str">
        <x:v>Cualquiera; la herramienta se activa por brecha/evidencia y no por una categoría tecnológica exclusiva.</x:v>
      </x:c>
      <x:c r="O12" s="334" t="str">
        <x:v>Los seis elementos están definidos de forma coherente y sin anticipar una solución específica en el beneficio deseado.</x:v>
      </x:c>
      <x:c r="Q12" t="str">
        <x:v>MKT-003 — FODA</x:v>
      </x:c>
    </x:row>
    <x:row r="13">
      <x:c r="A13" s="334" t="str">
        <x:v>B-MER-001 — Cliente ideal insuficientemente caracterizado</x:v>
      </x:c>
      <x:c r="B13" s="334" t="str">
        <x:v>B-MER-001</x:v>
      </x:c>
      <x:c r="C13" s="334" t="str">
        <x:v>Cliente ideal insuficientemente caracterizado</x:v>
      </x:c>
      <x:c r="D13" s="334" t="str">
        <x:v>MKT-001</x:v>
      </x:c>
      <x:c r="E13" s="334" t="str">
        <x:v>Buyer Persona</x:v>
      </x:c>
      <x:c r="F13" s="334" t="str">
        <x:v>MKT-001 — Buyer Persona</x:v>
      </x:c>
      <x:c r="G13" s="334" t="str">
        <x:v>P2</x:v>
      </x:c>
      <x:c r="H13" s="334" t="str">
        <x:v>EV-009</x:v>
      </x:c>
      <x:c r="I13" s="334" t="str">
        <x:v>Ficha de Buyer Persona.</x:v>
      </x:c>
      <x:c r="J13" s="334" t="str">
        <x:v>Segmento definido + datos/hallazgos reales sobre características, objetivos, retos, objeciones y comportamiento.</x:v>
      </x:c>
      <x:c r="K13" s="334" t="str">
        <x:v>Si falta entender jobs, considerar Job To Be Done; si se trabaja valor, Lienzo de Propuesta de Valor; si se trabaja competencia, Mapa de Posicionamiento.</x:v>
      </x:c>
      <x:c r="L13" s="334" t="str">
        <x:v>Sí</x:v>
      </x:c>
      <x:c r="M13" s="334" t="str">
        <x:v>Se recomienda Buyer Persona porque la brecha detectada es «Cliente ideal insuficientemente caracterizado» y la herramienta está diseñada para definir con precisión las características del cliente ideal para cada producto. Su resultado esperado es: Perfil de Buyer Persona completo para un segmento específico.</x:v>
      </x:c>
      <x:c r="N13" s="334" t="str">
        <x:v>Cualquiera; la herramienta se activa por brecha/evidencia y no por una categoría tecnológica exclusiva.</x:v>
      </x:c>
      <x:c r="O13" s="334" t="str">
        <x:v>El perfil contiene los elementos definidos por la herramienta y representa un segmento específico con necesidades particulares.</x:v>
      </x:c>
      <x:c r="Q13" t="str">
        <x:v>MKT-004 — Mapa de Posicionamiento</x:v>
      </x:c>
    </x:row>
    <x:row r="14">
      <x:c r="A14" s="334" t="str">
        <x:v>B-COM-001 — Propósito y diferenciación no articulados</x:v>
      </x:c>
      <x:c r="B14" s="334" t="str">
        <x:v>B-COM-001</x:v>
      </x:c>
      <x:c r="C14" s="334" t="str">
        <x:v>Propósito y diferenciación no articulados</x:v>
      </x:c>
      <x:c r="D14" s="334" t="str">
        <x:v>MKT-002</x:v>
      </x:c>
      <x:c r="E14" s="334" t="str">
        <x:v>Círculo de Oro</x:v>
      </x:c>
      <x:c r="F14" s="334" t="str">
        <x:v>MKT-002 — Círculo de Oro</x:v>
      </x:c>
      <x:c r="G14" s="334" t="str">
        <x:v>P3</x:v>
      </x:c>
      <x:c r="H14" s="334" t="str">
        <x:v>EV-010</x:v>
      </x:c>
      <x:c r="I14" s="334" t="str">
        <x:v>Lienzo de Círculo de Oro.</x:v>
      </x:c>
      <x:c r="J14" s="334" t="str">
        <x:v>Información suficiente sobre qué hace la iniciativa, cómo aporta/diferencia y por qué existe.</x:v>
      </x:c>
      <x:c r="K14" s="334" t="str">
        <x:v>Usar la narrativa como insumo de comunicación. Si el objetivo es presentar el proyecto y ya existe evidencia suficiente, puede alimentar Pitch Canvas.</x:v>
      </x:c>
      <x:c r="L14" s="334" t="str">
        <x:v>No</x:v>
      </x:c>
      <x:c r="M14" s="334" t="str">
        <x:v>Se recomienda Círculo de Oro porque la brecha detectada es «Propósito y diferenciación no articulados» y la herramienta está diseñada para definir el propósito de una organización, dirección, área o departamento. Su resultado esperado es: Círculo de Oro y declaración de propósito.</x:v>
      </x:c>
      <x:c r="N14" s="334" t="str">
        <x:v>Cualquiera; la herramienta se activa por brecha/evidencia y no por una categoría tecnológica exclusiva.</x:v>
      </x:c>
      <x:c r="O14" s="334" t="str">
        <x:v>Qué, cómo y por qué están definidos y permiten formular una declaración de propósito coherente.</x:v>
      </x:c>
      <x:c r="Q14" t="str">
        <x:v>MKT-005 — Pitch Canvas</x:v>
      </x:c>
    </x:row>
    <x:row r="15">
      <x:c r="A15" s="334" t="str">
        <x:v>B-EST-001 — Situación interna y externa no estructurada</x:v>
      </x:c>
      <x:c r="B15" s="334" t="str">
        <x:v>B-EST-001</x:v>
      </x:c>
      <x:c r="C15" s="334" t="str">
        <x:v>Situación interna y externa no estructurada</x:v>
      </x:c>
      <x:c r="D15" s="334" t="str">
        <x:v>MKT-003</x:v>
      </x:c>
      <x:c r="E15" s="334" t="str">
        <x:v>FODA</x:v>
      </x:c>
      <x:c r="F15" s="334" t="str">
        <x:v>MKT-003 — FODA</x:v>
      </x:c>
      <x:c r="G15" s="334" t="str">
        <x:v>P3</x:v>
      </x:c>
      <x:c r="H15" s="334" t="str">
        <x:v>EV-011</x:v>
      </x:c>
      <x:c r="I15" s="334" t="str">
        <x:v>Matriz FODA.</x:v>
      </x:c>
      <x:c r="J15" s="334" t="str">
        <x:v>Información interna del proyecto/organización + información externa del entorno/mercado.</x:v>
      </x:c>
      <x:c r="K15" s="334" t="str">
        <x:v>Traducir hallazgos en decisiones. Puede complementar Business Model Canvas y apoyar priorización de oportunidades/amenazas.</x:v>
      </x:c>
      <x:c r="L15" s="334" t="str">
        <x:v>Sí</x:v>
      </x:c>
      <x:c r="M15" s="334" t="str">
        <x:v>Se recomienda FODA porque la brecha detectada es «Situación interna y externa no estructurada» y la herramienta está diseñada para definir la situación de un negocio mediante análisis interno y externo. Su resultado esperado es: Matriz FODA con factores internos y externos.</x:v>
      </x:c>
      <x:c r="N15" s="334" t="str">
        <x:v>Cualquiera; la herramienta se activa por brecha/evidencia y no por una categoría tecnológica exclusiva.</x:v>
      </x:c>
      <x:c r="O15" s="334" t="str">
        <x:v>Se han identificado y diferenciado factores internos (F/D) y externos (O/A) relevantes para el negocio.</x:v>
      </x:c>
      <x:c r="Q15" t="str">
        <x:v>PRO-001 — Job To Be Done</x:v>
      </x:c>
    </x:row>
    <x:row r="16">
      <x:c r="A16" s="334" t="str">
        <x:v>B-POS-001 — Competencia y posicionamiento relativo poco claros</x:v>
      </x:c>
      <x:c r="B16" s="334" t="str">
        <x:v>B-POS-001</x:v>
      </x:c>
      <x:c r="C16" s="334" t="str">
        <x:v>Competencia y posicionamiento relativo poco claros</x:v>
      </x:c>
      <x:c r="D16" s="334" t="str">
        <x:v>MKT-004</x:v>
      </x:c>
      <x:c r="E16" s="334" t="str">
        <x:v>Mapa de Posicionamiento</x:v>
      </x:c>
      <x:c r="F16" s="334" t="str">
        <x:v>MKT-004 — Mapa de Posicionamiento</x:v>
      </x:c>
      <x:c r="G16" s="334" t="str">
        <x:v>P2</x:v>
      </x:c>
      <x:c r="H16" s="334" t="str">
        <x:v>EV-012</x:v>
      </x:c>
      <x:c r="I16" s="334" t="str">
        <x:v>Mapa de Posicionamiento con ejes y actores ubicados.</x:v>
      </x:c>
      <x:c r="J16" s="334" t="str">
        <x:v>Competidores comparables + atributos relevantes para el cliente + evidencia de percepción o mercado.</x:v>
      </x:c>
      <x:c r="K16" s="334" t="str">
        <x:v>Revisar diferenciación de la propuesta y, si el objetivo es comunicarla, utilizar el resultado en Pitch Canvas.</x:v>
      </x:c>
      <x:c r="L16" s="334" t="str">
        <x:v>Sí</x:v>
      </x:c>
      <x:c r="M16" s="334" t="str">
        <x:v>Se recomienda Mapa de Posicionamiento porque la brecha detectada es «Competencia y posicionamiento relativo poco claros» y la herramienta está diseñada para reconocer a la competencia. Su resultado esperado es: Mapa de posicionamiento de competidores y oferta propia.</x:v>
      </x:c>
      <x:c r="N16" s="334" t="str">
        <x:v>Cualquiera; la herramienta se activa por brecha/evidencia y no por una categoría tecnológica exclusiva.</x:v>
      </x:c>
      <x:c r="O16" s="334" t="str">
        <x:v>Los ejes representan atributos relevantes y la posición de competidores y marca propia está justificada con información de mercado/percepción.</x:v>
      </x:c>
      <x:c r="Q16" t="str">
        <x:v>PRO-002 — Mapa de Empatía</x:v>
      </x:c>
    </x:row>
    <x:row r="17">
      <x:c r="A17" s="334" t="str">
        <x:v>B-COM-002 — Presentación integral del proyecto incompleta</x:v>
      </x:c>
      <x:c r="B17" s="334" t="str">
        <x:v>B-COM-002</x:v>
      </x:c>
      <x:c r="C17" s="334" t="str">
        <x:v>Presentación integral del proyecto incompleta</x:v>
      </x:c>
      <x:c r="D17" s="334" t="str">
        <x:v>MKT-005</x:v>
      </x:c>
      <x:c r="E17" s="334" t="str">
        <x:v>Pitch Canvas</x:v>
      </x:c>
      <x:c r="F17" s="334" t="str">
        <x:v>MKT-005 — Pitch Canvas</x:v>
      </x:c>
      <x:c r="G17" s="334" t="str">
        <x:v>P3</x:v>
      </x:c>
      <x:c r="H17" s="334" t="str">
        <x:v>EV-013</x:v>
      </x:c>
      <x:c r="I17" s="334" t="str">
        <x:v>Pitch Canvas.</x:v>
      </x:c>
      <x:c r="J17" s="334" t="str">
        <x:v>Objetivo de presentación + datos reales disponibles sobre problema, solución, mercado, diferenciación, modelo, tracción/evidencia y equipo según el tipo de pitch.</x:v>
      </x:c>
      <x:c r="K17" s="334" t="str">
        <x:v>Registrar objeciones y vacíos detectados por la audiencia; convertirlos en nuevas brechas y actualizar herramientas fuente cuando corresponda.</x:v>
      </x:c>
      <x:c r="L17" s="334" t="str">
        <x:v>No</x:v>
      </x:c>
      <x:c r="M17" s="334" t="str">
        <x:v>Se recomienda Pitch Canvas porque la brecha detectada es «Presentación integral del proyecto incompleta» y la herramienta está diseñada para facilitar la creación de una presentación que abarque los aspectos fundamentales de un proyecto. Su resultado esperado es: Pitch estructurado del proyecto.</x:v>
      </x:c>
      <x:c r="N17" s="334" t="str">
        <x:v>Cualquiera; la herramienta se activa por brecha/evidencia y no por una categoría tecnológica exclusiva.</x:v>
      </x:c>
      <x:c r="O17" s="334" t="str">
        <x:v>Los 11 bloques están cubiertos y permiten comunicar el proyecto de forma clara y concisa.</x:v>
      </x:c>
      <x:c r="Q17" t="str">
        <x:v>PRO-003 — ¿Qué debe hacer mi solución?</x:v>
      </x:c>
    </x:row>
    <x:row r="18">
      <x:c r="A18" s="334" t="str">
        <x:v>B-USR-001 — Trabajos y necesidades prioritarias del cliente no definidos</x:v>
      </x:c>
      <x:c r="B18" s="334" t="str">
        <x:v>B-USR-001</x:v>
      </x:c>
      <x:c r="C18" s="334" t="str">
        <x:v>Trabajos y necesidades prioritarias del cliente no definidos</x:v>
      </x:c>
      <x:c r="D18" s="334" t="str">
        <x:v>PRO-001</x:v>
      </x:c>
      <x:c r="E18" s="334" t="str">
        <x:v>Job To Be Done</x:v>
      </x:c>
      <x:c r="F18" s="334" t="str">
        <x:v>PRO-001 — Job To Be Done</x:v>
      </x:c>
      <x:c r="G18" s="334" t="str">
        <x:v>P2</x:v>
      </x:c>
      <x:c r="H18" s="334" t="str">
        <x:v>EV-014</x:v>
      </x:c>
      <x:c r="I18" s="334" t="str">
        <x:v>Lienzo Job To Be Done.</x:v>
      </x:c>
      <x:c r="J18" s="334" t="str">
        <x:v>Información cualitativa sobre usuario, contexto, motivaciones, barreras, ganancias y necesidad/progreso buscado.</x:v>
      </x:c>
      <x:c r="K18" s="334" t="str">
        <x:v>Traducir jobs a atributos mediante ¿Qué debe hacer mi solución? o incorporarlos al Lienzo de Propuesta de Valor.</x:v>
      </x:c>
      <x:c r="L18" s="334" t="str">
        <x:v>Sí</x:v>
      </x:c>
      <x:c r="M18" s="334" t="str">
        <x:v>Se recomienda Job To Be Done porque la brecha detectada es «Trabajos y necesidades prioritarias del cliente no definidos» y la herramienta está diseñada para definir necesidades prioritarias de clientes. Su resultado esperado es: Jobs priorizados, perfil «Soy/Necesito/Para» y boceto preliminar de solución.</x:v>
      </x:c>
      <x:c r="N18" s="334" t="str">
        <x:v>Cualquiera; la herramienta se activa por brecha/evidencia y no por una categoría tecnológica exclusiva.</x:v>
      </x:c>
      <x:c r="O18" s="334" t="str">
        <x:v>Los trabajos están clasificados y priorizados y existe una formulación clara de usuario-necesidad-job.</x:v>
      </x:c>
      <x:c r="Q18" t="str">
        <x:v>PRO-004 — Requisitos de Solución</x:v>
      </x:c>
    </x:row>
    <x:row r="19">
      <x:c r="A19" s="334" t="str">
        <x:v>B-USR-002 — Motivaciones y frustraciones del cliente no comprendidas</x:v>
      </x:c>
      <x:c r="B19" s="334" t="str">
        <x:v>B-USR-002</x:v>
      </x:c>
      <x:c r="C19" s="334" t="str">
        <x:v>Motivaciones y frustraciones del cliente no comprendidas</x:v>
      </x:c>
      <x:c r="D19" s="334" t="str">
        <x:v>PRO-002</x:v>
      </x:c>
      <x:c r="E19" s="334" t="str">
        <x:v>Mapa de Empatía</x:v>
      </x:c>
      <x:c r="F19" s="334" t="str">
        <x:v>PRO-002 — Mapa de Empatía</x:v>
      </x:c>
      <x:c r="G19" s="334" t="str">
        <x:v>P2</x:v>
      </x:c>
      <x:c r="H19" s="334" t="str">
        <x:v>EV-015</x:v>
      </x:c>
      <x:c r="I19" s="334" t="str">
        <x:v>Mapa de Empatía.</x:v>
      </x:c>
      <x:c r="J19" s="334" t="str">
        <x:v>Segmento/usuario identificado + contacto, observación o evidencia cualitativa suficiente para no llenarlo solo con supuestos.</x:v>
      </x:c>
      <x:c r="K19" s="334" t="str">
        <x:v>Según la brecha restante, formalizar Buyer Persona, profundizar Jobs to Be Done o alimentar Propuesta de Valor.</x:v>
      </x:c>
      <x:c r="L19" s="334" t="str">
        <x:v>Sí</x:v>
      </x:c>
      <x:c r="M19" s="334" t="str">
        <x:v>Se recomienda Mapa de Empatía porque la brecha detectada es «Motivaciones y frustraciones del cliente no comprendidas» y la herramienta está diseñada para conocer las motivaciones y frustraciones de los clientes para diseñar nuevos o mejores productos. Su resultado esperado es: Mapa de Empatía del segmento objetivo.</x:v>
      </x:c>
      <x:c r="N19" s="334" t="str">
        <x:v>Cualquiera; la herramienta se activa por brecha/evidencia y no por una categoría tecnológica exclusiva.</x:v>
      </x:c>
      <x:c r="O19" s="334" t="str">
        <x:v>Los seis bloques están documentados y permiten describir motivaciones, barreras, entorno y comportamientos del cliente.</x:v>
      </x:c>
      <x:c r="Q19" t="str">
        <x:v>PRO-005 — Storyboard</x:v>
      </x:c>
    </x:row>
    <x:row r="20">
      <x:c r="A20" s="334" t="str">
        <x:v>B-SOL-001 — Atributos de solución no alineados con necesidades</x:v>
      </x:c>
      <x:c r="B20" s="334" t="str">
        <x:v>B-SOL-001</x:v>
      </x:c>
      <x:c r="C20" s="334" t="str">
        <x:v>Atributos de solución no alineados con necesidades</x:v>
      </x:c>
      <x:c r="D20" s="334" t="str">
        <x:v>PRO-003</x:v>
      </x:c>
      <x:c r="E20" s="334" t="str">
        <x:v>¿Qué debe hacer mi solución?</x:v>
      </x:c>
      <x:c r="F20" s="334" t="str">
        <x:v>PRO-003 — ¿Qué debe hacer mi solución?</x:v>
      </x:c>
      <x:c r="G20" s="334" t="str">
        <x:v>P2</x:v>
      </x:c>
      <x:c r="H20" s="334" t="str">
        <x:v>EV-016</x:v>
      </x:c>
      <x:c r="I20" s="334" t="str">
        <x:v>Lienzo «¿Qué debe hacer mi solución?».</x:v>
      </x:c>
      <x:c r="J20" s="334" t="str">
        <x:v>Trabajo o necesidad del usuario suficientemente identificado.</x:v>
      </x:c>
      <x:c r="K20" s="334" t="str">
        <x:v>Convertir atributos priorizados en Requisitos de Solución; si corresponde, representar la interacción mediante Storyboard.</x:v>
      </x:c>
      <x:c r="L20" s="334" t="str">
        <x:v>No</x:v>
      </x:c>
      <x:c r="M20" s="334" t="str">
        <x:v>Se recomienda ¿Qué debe hacer mi solución? porque la brecha detectada es «Atributos de solución no alineados con necesidades» y la herramienta está diseñada para definir los principales atributos del producto o servicio. Su resultado esperado es: Definición estructurada del trabajo, atributos funcionales/emocionales, necesidades y soluciones actuales.</x:v>
      </x:c>
      <x:c r="N20" s="334" t="str">
        <x:v>Cualquiera; la herramienta se activa por brecha/evidencia y no por una categoría tecnológica exclusiva.</x:v>
      </x:c>
      <x:c r="O20" s="334" t="str">
        <x:v>El trabajo a resolver y los atributos de la solución están vinculados con necesidades del cliente y se han considerado alternativas actuales.</x:v>
      </x:c>
      <x:c r="Q20" t="str">
        <x:v>PRO-006 — Tres Lupas</x:v>
      </x:c>
    </x:row>
    <x:row r="21">
      <x:c r="A21" s="334" t="str">
        <x:v>B-SOL-002 — Requisitos de solución insuficientemente especificados</x:v>
      </x:c>
      <x:c r="B21" s="334" t="str">
        <x:v>B-SOL-002</x:v>
      </x:c>
      <x:c r="C21" s="334" t="str">
        <x:v>Requisitos de solución insuficientemente especificados</x:v>
      </x:c>
      <x:c r="D21" s="334" t="str">
        <x:v>PRO-004</x:v>
      </x:c>
      <x:c r="E21" s="334" t="str">
        <x:v>Requisitos de Solución</x:v>
      </x:c>
      <x:c r="F21" s="334" t="str">
        <x:v>PRO-004 — Requisitos de Solución</x:v>
      </x:c>
      <x:c r="G21" s="334" t="str">
        <x:v>P2</x:v>
      </x:c>
      <x:c r="H21" s="334" t="str">
        <x:v>EV-017</x:v>
      </x:c>
      <x:c r="I21" s="334" t="str">
        <x:v>Matriz/listado de Requisitos de Solución.</x:v>
      </x:c>
      <x:c r="J21" s="334" t="str">
        <x:v>Necesidades + funciones/atributos esperados de la solución + contexto/restricciones de uso.</x:v>
      </x:c>
      <x:c r="K21" s="334" t="str">
        <x:v>Usar requisitos para diseñar/construir/probar el prototipo; registrar trazabilidad requisito→necesidad→evidencia y reevaluar tras pruebas.</x:v>
      </x:c>
      <x:c r="L21" s="334" t="str">
        <x:v>No</x:v>
      </x:c>
      <x:c r="M21" s="334" t="str">
        <x:v>Se recomienda Requisitos de Solución porque la brecha detectada es «Requisitos de solución insuficientemente especificados» y la herramienta está diseñada para definir elementos que mejoren el producto o servicio mediante requisitos de funcionalidad, constructividad y expresividad. Su resultado esperado es: Conjunto estructurado de requisitos funcionales, tecnológicos y expresivos.</x:v>
      </x:c>
      <x:c r="N21" s="334" t="str">
        <x:v>Cualquiera; adaptar requisitos al tipo de desarrollo (Tecnología/Producto, Software, Farmacéutico, Servicio u otro).</x:v>
      </x:c>
      <x:c r="O21" s="334" t="str">
        <x:v>Las tres categorías de requisitos han sido definidas con criterios suficientes para orientar diseño y mejora.</x:v>
      </x:c>
      <x:c r="Q21" t="str">
        <x:v>NEG-001 — Business Model Canvas</x:v>
      </x:c>
    </x:row>
    <x:row r="22">
      <x:c r="A22" s="334" t="str">
        <x:v>B-PROTO-001 — Experiencia de interacción no visualizada</x:v>
      </x:c>
      <x:c r="B22" s="334" t="str">
        <x:v>B-PROTO-001</x:v>
      </x:c>
      <x:c r="C22" s="334" t="str">
        <x:v>Experiencia de interacción no visualizada</x:v>
      </x:c>
      <x:c r="D22" s="334" t="str">
        <x:v>PRO-005</x:v>
      </x:c>
      <x:c r="E22" s="334" t="str">
        <x:v>Storyboard</x:v>
      </x:c>
      <x:c r="F22" s="334" t="str">
        <x:v>PRO-005 — Storyboard</x:v>
      </x:c>
      <x:c r="G22" s="334" t="str">
        <x:v>P3</x:v>
      </x:c>
      <x:c r="H22" s="334" t="str">
        <x:v>EV-018</x:v>
      </x:c>
      <x:c r="I22" s="334" t="str">
        <x:v>Storyboard con viñetas, descripciones y observaciones.</x:v>
      </x:c>
      <x:c r="J22" s="334" t="str">
        <x:v>Usuario/segmento + escenario de uso + concepto de solución/interacción suficientemente definidos.</x:v>
      </x:c>
      <x:c r="K22" s="334" t="str">
        <x:v>Contrastar la secuencia con usuarios/prototipos; si es servicio, utilizar hallazgos en Servucción; si aparecen requisitos nuevos, actualizar Requisitos de Solución.</x:v>
      </x:c>
      <x:c r="L22" s="334" t="str">
        <x:v>No</x:v>
      </x:c>
      <x:c r="M22" s="334" t="str">
        <x:v>Se recomienda Storyboard porque la brecha detectada es «Experiencia de interacción no visualizada» y la herramienta está diseñada para transmitir una idea de manera visual. Su resultado esperado es: Storyboard de ocho frames de la experiencia/interacción del usuario.</x:v>
      </x:c>
      <x:c r="N22" s="334" t="str">
        <x:v>Cualquiera; la herramienta se activa por brecha/evidencia y no por una categoría tecnológica exclusiva.</x:v>
      </x:c>
      <x:c r="O22" s="334" t="str">
        <x:v>La secuencia representa de forma comprensible la interacción y registra puntos de fricción, insights o mejoras potenciales.</x:v>
      </x:c>
      <x:c r="Q22" t="str">
        <x:v>NEG-002 — Lienzo de Propuesta de Valor</x:v>
      </x:c>
    </x:row>
    <x:row r="23">
      <x:c r="A23" s="334" t="str">
        <x:v>B-VIA-001 — Deseabilidad, factibilidad y viabilidad no evaluadas conjuntamente</x:v>
      </x:c>
      <x:c r="B23" s="334" t="str">
        <x:v>B-VIA-001</x:v>
      </x:c>
      <x:c r="C23" s="334" t="str">
        <x:v>Deseabilidad, factibilidad y viabilidad no evaluadas conjuntamente</x:v>
      </x:c>
      <x:c r="D23" s="334" t="str">
        <x:v>PRO-006</x:v>
      </x:c>
      <x:c r="E23" s="334" t="str">
        <x:v>Tres Lupas</x:v>
      </x:c>
      <x:c r="F23" s="334" t="str">
        <x:v>PRO-006 — Tres Lupas</x:v>
      </x:c>
      <x:c r="G23" s="334" t="str">
        <x:v>P2</x:v>
      </x:c>
      <x:c r="H23" s="334" t="str">
        <x:v>EV-019</x:v>
      </x:c>
      <x:c r="I23" s="334" t="str">
        <x:v>Lienzo Tres Lupas con análisis de las tres perspectivas.</x:v>
      </x:c>
      <x:c r="J23" s="334" t="str">
        <x:v>Idea/concepto candidato + evidencia mínima para evaluar deseabilidad, factibilidad y viabilidad.</x:v>
      </x:c>
      <x:c r="K23" s="334" t="str">
        <x:v>Si una dimensión es débil, abrir una brecha específica y resolverla antes de continuar el desarrollo. Si las tres son suficientes, permitir avanzar hacia definición/requisitos/prototipado según necesidad.</x:v>
      </x:c>
      <x:c r="L23" s="334" t="str">
        <x:v>No</x:v>
      </x:c>
      <x:c r="M23" s="334" t="str">
        <x:v>Se recomienda Tres Lupas porque la brecha detectada es «Deseabilidad, factibilidad y viabilidad no evaluadas conjuntamente» y la herramienta está diseñada para validar el potencial de una idea. Su resultado esperado es: Evaluación integrada de deseabilidad, factibilidad técnica y viabilidad económica.</x:v>
      </x:c>
      <x:c r="N23" s="334" t="str">
        <x:v>Cualquiera; la herramienta se activa por brecha/evidencia y no por una categoría tecnológica exclusiva.</x:v>
      </x:c>
      <x:c r="O23" s="334" t="str">
        <x:v>Las tres perspectivas están analizadas y se ha identificado si existe algún componente que deba fortalecerse antes de continuar.</x:v>
      </x:c>
      <x:c r="Q23" t="str">
        <x:v>SER-001 — Servucción</x:v>
      </x:c>
    </x:row>
    <x:row r="24">
      <x:c r="A24" s="334" t="str">
        <x:v>B-NEG-001 — Modelo de negocio no estructurado integralmente</x:v>
      </x:c>
      <x:c r="B24" s="334" t="str">
        <x:v>B-NEG-001</x:v>
      </x:c>
      <x:c r="C24" s="334" t="str">
        <x:v>Modelo de negocio no estructurado integralmente</x:v>
      </x:c>
      <x:c r="D24" s="334" t="str">
        <x:v>NEG-001</x:v>
      </x:c>
      <x:c r="E24" s="334" t="str">
        <x:v>Business Model Canvas</x:v>
      </x:c>
      <x:c r="F24" s="334" t="str">
        <x:v>NEG-001 — Business Model Canvas</x:v>
      </x:c>
      <x:c r="G24" s="334" t="str">
        <x:v>P2</x:v>
      </x:c>
      <x:c r="H24" s="334" t="str">
        <x:v>EV-020</x:v>
      </x:c>
      <x:c r="I24" s="334" t="str">
        <x:v>Business Model Canvas.</x:v>
      </x:c>
      <x:c r="J24" s="334" t="str">
        <x:v>Información mínima sobre segmento/cliente y propuesta de valor; el resto de bloques puede comenzar como hipótesis explícita.</x:v>
      </x:c>
      <x:c r="K24" s="334" t="str">
        <x:v>Identificar los bloques más débiles y convertirlos en brechas específicas; priorizar validación de cliente, ingresos, canales, socios o costos según corresponda.</x:v>
      </x:c>
      <x:c r="L24" s="334" t="str">
        <x:v>Sí</x:v>
      </x:c>
      <x:c r="M24" s="334" t="str">
        <x:v>Se recomienda Business Model Canvas porque la brecha detectada es «Modelo de negocio no estructurado integralmente» y la herramienta está diseñada para agilizar el modelo de negocio de una organización. Su resultado esperado es: Business Model Canvas integrado con los nueve bloques del modelo de negocio.</x:v>
      </x:c>
      <x:c r="N24" s="334" t="str">
        <x:v>Cualquier tipo de proyecto cuando el objetivo incluya diseñar, revisar o escalar su modelo de negocio.</x:v>
      </x:c>
      <x:c r="O24" s="334" t="str">
        <x:v>Los nueve bloques están definidos y existe coherencia básica entre segmento, propuesta de valor, forma de entrega, operación, ingresos y costos.</x:v>
      </x:c>
      <x:c r="Q24" t="str">
        <x:v>TEN-001 — Componentes de Tendencias</x:v>
      </x:c>
    </x:row>
    <x:row r="25">
      <x:c r="A25" s="334" t="str">
        <x:v>B-VAL-001 — Propuesta de valor no alineada con el perfil del cliente</x:v>
      </x:c>
      <x:c r="B25" s="334" t="str">
        <x:v>B-VAL-001</x:v>
      </x:c>
      <x:c r="C25" s="334" t="str">
        <x:v>Propuesta de valor no alineada con el perfil del cliente</x:v>
      </x:c>
      <x:c r="D25" s="334" t="str">
        <x:v>NEG-002</x:v>
      </x:c>
      <x:c r="E25" s="334" t="str">
        <x:v>Lienzo de Propuesta de Valor</x:v>
      </x:c>
      <x:c r="F25" s="334" t="str">
        <x:v>NEG-002 — Lienzo de Propuesta de Valor</x:v>
      </x:c>
      <x:c r="G25" s="334" t="str">
        <x:v>P2</x:v>
      </x:c>
      <x:c r="H25" s="334" t="str">
        <x:v>EV-021</x:v>
      </x:c>
      <x:c r="I25" s="334" t="str">
        <x:v>Lienzo de Propuesta de Valor.</x:v>
      </x:c>
      <x:c r="J25" s="334" t="str">
        <x:v>Segmento específico + jobs, pains y gains suficientemente comprendidos + oferta preliminar.</x:v>
      </x:c>
      <x:c r="K25" s="334" t="str">
        <x:v>Definir qué hipótesis del encaje necesitan prueba con clientes. Si el modelo debe ampliarse, llevar los aprendizajes al Business Model Canvas.</x:v>
      </x:c>
      <x:c r="L25" s="334" t="str">
        <x:v>Sí</x:v>
      </x:c>
      <x:c r="M25" s="334" t="str">
        <x:v>Se recomienda Lienzo de Propuesta de Valor porque la brecha detectada es «Propuesta de valor no alineada con el perfil del cliente» y la herramienta está diseñada para validar la propuesta de valor. Su resultado esperado es: Lienzo de Propuesta de Valor con perfil del cliente y mapa de valor relacionados.</x:v>
      </x:c>
      <x:c r="N25" s="334" t="str">
        <x:v>Cualquiera; la herramienta se activa por brecha/evidencia y no por una categoría tecnológica exclusiva.</x:v>
      </x:c>
      <x:c r="O25" s="334" t="str">
        <x:v>Los seis componentes están documentados y la propuesta muestra una relación clara entre lo que el cliente intenta lograr y cómo la oferta alivia frustraciones o crea beneficios.</x:v>
      </x:c>
      <x:c r="Q25" t="str">
        <x:v>TEN-002 — Future Compass</x:v>
      </x:c>
    </x:row>
    <x:row r="26">
      <x:c r="A26" s="334" t="str">
        <x:v>B-SER-001 — Producción y experiencia del servicio no estructuradas</x:v>
      </x:c>
      <x:c r="B26" s="334" t="str">
        <x:v>B-SER-001</x:v>
      </x:c>
      <x:c r="C26" s="334" t="str">
        <x:v>Producción y experiencia del servicio no estructuradas</x:v>
      </x:c>
      <x:c r="D26" s="334" t="str">
        <x:v>SER-001</x:v>
      </x:c>
      <x:c r="E26" s="334" t="str">
        <x:v>Servucción</x:v>
      </x:c>
      <x:c r="F26" s="334" t="str">
        <x:v>SER-001 — Servucción</x:v>
      </x:c>
      <x:c r="G26" s="334" t="str">
        <x:v>P2</x:v>
      </x:c>
      <x:c r="H26" s="334" t="str">
        <x:v>EV-022</x:v>
      </x:c>
      <x:c r="I26" s="334" t="str">
        <x:v>Modelo de Servucción.</x:v>
      </x:c>
      <x:c r="J26" s="334" t="str">
        <x:v>Proyecto con componente de servicio + servicio base/escenario definido + comprensión mínima del cliente y sus expectativas.</x:v>
      </x:c>
      <x:c r="K26" s="334" t="str">
        <x:v>Validar momentos de verdad y sistema de entrega con usuarios/equipo; trasladar cambios relevantes a requisitos, propuesta de valor o modelo de negocio.</x:v>
      </x:c>
      <x:c r="L26" s="334" t="str">
        <x:v>Sí</x:v>
      </x:c>
      <x:c r="M26" s="334" t="str">
        <x:v>Se recomienda Servucción porque la brecha detectada es «Producción y experiencia del servicio no estructuradas» y la herramienta está diseñada para analizar y estructurar de manera precisa el proceso de producción de un servicio, comprendiendo los elementos que interactúan para crear una experiencia completa y satisfactoria. Su resultado esperado es: Modelo estructurado de servucción con oferta de servicios, momentos de verdad y componentes de prestación.</x:v>
      </x:c>
      <x:c r="N26" s="334" t="str">
        <x:v>Servicio o cualquier proyecto que incluya un componente relevante de servicio.</x:v>
      </x:c>
      <x:c r="O26" s="334" t="str">
        <x:v>Se encuentran definidos el modelo molecular, los momentos de verdad y los componentes que intervienen en la producción y experiencia del servicio.</x:v>
      </x:c>
      <x:c r="Q26" t="str">
        <x:v>TEN-003 — Mapa de Tendencias</x:v>
      </x:c>
    </x:row>
    <x:row r="27">
      <x:c r="A27" s="334" t="str">
        <x:v>B-TEN-001 — Convergencia de tendencias y áreas de innovación no identificadas</x:v>
      </x:c>
      <x:c r="B27" s="334" t="str">
        <x:v>B-TEN-001</x:v>
      </x:c>
      <x:c r="C27" s="334" t="str">
        <x:v>Convergencia de tendencias y áreas de innovación no identificadas</x:v>
      </x:c>
      <x:c r="D27" s="334" t="str">
        <x:v>TEN-001</x:v>
      </x:c>
      <x:c r="E27" s="334" t="str">
        <x:v>Componentes de Tendencias</x:v>
      </x:c>
      <x:c r="F27" s="334" t="str">
        <x:v>TEN-001 — Componentes de Tendencias</x:v>
      </x:c>
      <x:c r="G27" s="334" t="str">
        <x:v>P3</x:v>
      </x:c>
      <x:c r="H27" s="334" t="str">
        <x:v>EV-023</x:v>
      </x:c>
      <x:c r="I27" s="334" t="str">
        <x:v>Mapa de intersección de tendencias y patrones.</x:v>
      </x:c>
      <x:c r="J27" s="334" t="str">
        <x:v>Área/propuesta de interés + fuentes verificables sobre tendencias relevantes.</x:v>
      </x:c>
      <x:c r="K27" s="334" t="str">
        <x:v>Priorizar la tendencia/oportunidad más relevante y profundizarla con Trend Canvas o contrastarla con Mapa de Tendencias.</x:v>
      </x:c>
      <x:c r="L27" s="334" t="str">
        <x:v>No</x:v>
      </x:c>
      <x:c r="M27" s="334" t="str">
        <x:v>Se recomienda Componentes de Tendencias porque la brecha detectada es «Convergencia de tendencias y áreas de innovación no identificadas» y la herramienta está diseñada para definir posibles áreas de innovación en una idea, producto o servicio. Su resultado esperado es: Mapa de tres tendencias con patrones comunes y áreas potenciales de innovación.</x:v>
      </x:c>
      <x:c r="N27" s="334" t="str">
        <x:v>Cualquiera; la herramienta se activa por brecha/evidencia y no por una categoría tecnológica exclusiva.</x:v>
      </x:c>
      <x:c r="O27" s="334" t="str">
        <x:v>Se han seleccionado tres tendencias relevantes, descrito sus características y documentado patrones comunes que puedan traducirse en oportunidades de innovación.</x:v>
      </x:c>
      <x:c r="Q27" t="str">
        <x:v>TEN-004 — Trend Canvas</x:v>
      </x:c>
    </x:row>
    <x:row r="28">
      <x:c r="A28" s="334" t="str">
        <x:v>B-ENT-001 — Escenarios y contexto del problema insuficientemente comprendidos</x:v>
      </x:c>
      <x:c r="B28" s="334" t="str">
        <x:v>B-ENT-001</x:v>
      </x:c>
      <x:c r="C28" s="334" t="str">
        <x:v>Escenarios y contexto del problema insuficientemente comprendidos</x:v>
      </x:c>
      <x:c r="D28" s="334" t="str">
        <x:v>TEN-002</x:v>
      </x:c>
      <x:c r="E28" s="334" t="str">
        <x:v>Future Compass</x:v>
      </x:c>
      <x:c r="F28" s="334" t="str">
        <x:v>TEN-002 — Future Compass</x:v>
      </x:c>
      <x:c r="G28" s="334" t="str">
        <x:v>P2</x:v>
      </x:c>
      <x:c r="H28" s="334" t="str">
        <x:v>EV-024</x:v>
      </x:c>
      <x:c r="I28" s="334" t="str">
        <x:v>Future Compass.</x:v>
      </x:c>
      <x:c r="J28" s="334" t="str">
        <x:v>Problema o situación observada ya identificada + información inicial sobre causas, efectos, actores o contexto.</x:v>
      </x:c>
      <x:c r="K28" s="334" t="str">
        <x:v>Sintetizar el problema mediante Planteamiento del Problema o convertir incertidumbres en investigación/preguntas.</x:v>
      </x:c>
      <x:c r="L28" s="334" t="str">
        <x:v>No</x:v>
      </x:c>
      <x:c r="M28" s="334" t="str">
        <x:v>Se recomienda Future Compass porque la brecha detectada es «Escenarios y contexto del problema insuficientemente comprendidos» y la herramienta está diseñada para identificar todos los escenarios de un problema. Su resultado esperado es: Future Compass con definición/reformulación del problema, causas, efectos, contexto, actores y testimonios.</x:v>
      </x:c>
      <x:c r="N28" s="334" t="str">
        <x:v>Cualquiera; la herramienta se activa por brecha/evidencia y no por una categoría tecnológica exclusiva.</x:v>
      </x:c>
      <x:c r="O28" s="334" t="str">
        <x:v>El problema se encuentra documentado desde múltiples perspectivas y se han registrado causas, efectos, contexto, actores y testimonios suficientes para orientar acciones posteriores.</x:v>
      </x:c>
      <x:c r="Q28" t="str">
        <x:v>ACTUALIZAR: MKT-001 — Buyer Persona</x:v>
      </x:c>
    </x:row>
    <x:row r="29">
      <x:c r="A29" s="334" t="str">
        <x:v>B-TEN-002 — Impacto de tendencias y patrones sobre el sector no comprendido</x:v>
      </x:c>
      <x:c r="B29" s="334" t="str">
        <x:v>B-TEN-002</x:v>
      </x:c>
      <x:c r="C29" s="334" t="str">
        <x:v>Impacto de tendencias y patrones sobre el sector no comprendido</x:v>
      </x:c>
      <x:c r="D29" s="334" t="str">
        <x:v>TEN-003</x:v>
      </x:c>
      <x:c r="E29" s="334" t="str">
        <x:v>Mapa de Tendencias</x:v>
      </x:c>
      <x:c r="F29" s="334" t="str">
        <x:v>TEN-003 — Mapa de Tendencias</x:v>
      </x:c>
      <x:c r="G29" s="334" t="str">
        <x:v>P3</x:v>
      </x:c>
      <x:c r="H29" s="334" t="str">
        <x:v>EV-025</x:v>
      </x:c>
      <x:c r="I29" s="334" t="str">
        <x:v>Mapa de Tendencias analizado y documentado.</x:v>
      </x:c>
      <x:c r="J29" s="334" t="str">
        <x:v>Sector/área de interés + señales o tendencias sustentadas en varias fuentes.</x:v>
      </x:c>
      <x:c r="K29" s="334" t="str">
        <x:v>Profundizar una tendencia con Trend Canvas o analizar tres tendencias con Componentes de Tendencias; usar hallazgos externos para FODA cuando corresponda.</x:v>
      </x:c>
      <x:c r="L29" s="334" t="str">
        <x:v>Sí</x:v>
      </x:c>
      <x:c r="M29" s="334" t="str">
        <x:v>Se recomienda Mapa de Tendencias porque la brecha detectada es «Impacto de tendencias y patrones sobre el sector no comprendido» y la herramienta está diseñada para entender cómo las tendencias y patrones se entrelazan e impactan a la organización. Su resultado esperado es: Mapa interpretado de tendencias, patrones y convergencias relevantes para el proyecto u organización.</x:v>
      </x:c>
      <x:c r="N29" s="334" t="str">
        <x:v>Cualquiera; la herramienta se activa por brecha/evidencia y no por una categoría tecnológica exclusiva.</x:v>
      </x:c>
      <x:c r="O29" s="334" t="str">
        <x:v>Se ha definido el sector, seleccionado tendencias relevantes e identificado al menos patrones, convergencias o impactos que puedan orientar decisiones de innovación.</x:v>
      </x:c>
      <x:c r="Q29" t="str">
        <x:v>ACTUALIZAR: MKT-003 — FODA</x:v>
      </x:c>
    </x:row>
    <x:row r="30">
      <x:c r="A30" s="334" t="str">
        <x:v>B-TEN-003 — Tendencia no traducida en una oportunidad de innovación</x:v>
      </x:c>
      <x:c r="B30" s="334" t="str">
        <x:v>B-TEN-003</x:v>
      </x:c>
      <x:c r="C30" s="334" t="str">
        <x:v>Tendencia no traducida en una oportunidad de innovación</x:v>
      </x:c>
      <x:c r="D30" s="334" t="str">
        <x:v>TEN-004</x:v>
      </x:c>
      <x:c r="E30" s="334" t="str">
        <x:v>Trend Canvas</x:v>
      </x:c>
      <x:c r="F30" s="334" t="str">
        <x:v>TEN-004 — Trend Canvas</x:v>
      </x:c>
      <x:c r="G30" s="334" t="str">
        <x:v>P2</x:v>
      </x:c>
      <x:c r="H30" s="334" t="str">
        <x:v>EV-026</x:v>
      </x:c>
      <x:c r="I30" s="334" t="str">
        <x:v>Trend Canvas.</x:v>
      </x:c>
      <x:c r="J30" s="334" t="str">
        <x:v>Tendencia seleccionada y suficientemente investigada + evidencia sobre contexto/driver y ejemplos de aplicación.</x:v>
      </x:c>
      <x:c r="K30" s="334" t="str">
        <x:v>Evaluar el concepto con Tres Lupas y/o trasladar nuevas necesidades al Lienzo de Propuesta de Valor o Business Model Canvas.</x:v>
      </x:c>
      <x:c r="L30" s="334" t="str">
        <x:v>Sí</x:v>
      </x:c>
      <x:c r="M30" s="334" t="str">
        <x:v>Se recomienda Trend Canvas porque la brecha detectada es «Tendencia no traducida en una oportunidad de innovación» y la herramienta está diseñada para desarrollar productos innovadores alineados con tendencias. Su resultado esperado es: Trend Canvas con análisis de la tendencia y concepto inicial de innovación aplicable al proyecto.</x:v>
      </x:c>
      <x:c r="N30" s="334" t="str">
        <x:v>Cualquiera; la herramienta se activa por brecha/evidencia y no por una categoría tecnológica exclusiva.</x:v>
      </x:c>
      <x:c r="O30" s="334" t="str">
        <x:v>La tendencia ha sido analizada y conectada con necesidades, causas, expectativas, referentes, potencial de innovación, segmento objetivo y una conceptualización inicial.</x:v>
      </x:c>
      <x:c r="Q30" t="str">
        <x:v>ACTUALIZAR: MKT-004 — Mapa de Posicionamiento</x:v>
      </x:c>
    </x:row>
    <x:row r="31">
      <x:c r="A31" s="416" t="str">
        <x:v>B-HIP-001 — Supuestos críticos no priorizados</x:v>
      </x:c>
      <x:c r="B31" s="416" t="str">
        <x:v>B-HIP-001</x:v>
      </x:c>
      <x:c r="C31" s="416" t="str">
        <x:v>Supuestos críticos no priorizados</x:v>
      </x:c>
      <x:c r="D31" s="416" t="str">
        <x:v>VAL-001</x:v>
      </x:c>
      <x:c r="E31" s="416" t="str">
        <x:v>Mapa de Supuestos e Hipótesis Críticas</x:v>
      </x:c>
      <x:c r="F31" s="416" t="str">
        <x:v>VAL-001 — Mapa de Supuestos e Hipótesis Críticas</x:v>
      </x:c>
      <x:c r="G31" s="416" t="str">
        <x:v>P2</x:v>
      </x:c>
      <x:c r="H31" s="416" t="str">
        <x:v>EV-027</x:v>
      </x:c>
      <x:c r="I31" s="416" t="str">
        <x:v>Mapa de hipótesis críticas priorizadas</x:v>
      </x:c>
      <x:c r="J31" s="416" t="str">
        <x:v>Idea, propuesta, modelo o decisión suficientemente definida para extraer supuestos.</x:v>
      </x:c>
      <x:c r="K31" s="416" t="str">
        <x:v>Tomar la hipótesis prioritaria y diseñar una Tarjeta de Experimento; si ya existe evidencia fuerte, reevaluar prioridad o cerrar la hipótesis.</x:v>
      </x:c>
      <x:c r="L31" s="416" t="str">
        <x:v>Sí</x:v>
      </x:c>
      <x:c r="M31" s="416" t="str">
        <x:v>Se recomienda Mapa de Supuestos e Hipótesis Críticas porque la brecha es «Supuestos críticos no priorizados» y la herramienta produce mapa priorizado de hipótesis críticas listo para orientar experimentos y búsqueda de evidencia.</x:v>
      </x:c>
      <x:c r="N31" s="416" t="str">
        <x:v>Cualquiera; activar por brecha/evidencia y objetivo.</x:v>
      </x:c>
      <x:c r="O31" s="416" t="str">
        <x:v>Las hipótesis críticas están formuladas de forma testable y existe una prioridad explícita basada en riesgo/importancia y evidencia disponible.</x:v>
      </x:c>
      <x:c r="P31" s="416"/>
      <x:c r="Q31" s="416"/>
    </x:row>
    <x:row r="32">
      <x:c r="A32" s="416" t="str">
        <x:v>B-VAL-002 — Hipótesis crítica sin experimento definido</x:v>
      </x:c>
      <x:c r="B32" s="416" t="str">
        <x:v>B-VAL-002</x:v>
      </x:c>
      <x:c r="C32" s="416" t="str">
        <x:v>Hipótesis crítica sin experimento definido</x:v>
      </x:c>
      <x:c r="D32" s="416" t="str">
        <x:v>VAL-002</x:v>
      </x:c>
      <x:c r="E32" s="416" t="str">
        <x:v>Tarjeta de Experimento (Test Card)</x:v>
      </x:c>
      <x:c r="F32" s="416" t="str">
        <x:v>VAL-002 — Tarjeta de Experimento (Test Card)</x:v>
      </x:c>
      <x:c r="G32" s="416" t="str">
        <x:v>P1</x:v>
      </x:c>
      <x:c r="H32" s="416" t="str">
        <x:v>EV-028</x:v>
      </x:c>
      <x:c r="I32" s="416" t="str">
        <x:v>Tarjeta de Experimento</x:v>
      </x:c>
      <x:c r="J32" s="416" t="str">
        <x:v>Una hipótesis prioritaria, testable y suficientemente precisa.</x:v>
      </x:c>
      <x:c r="K32" s="416" t="str">
        <x:v>Ejecutar la prueba y, cuando existan resultados, completar una Tarjeta de Aprendizaje antes de decidir.</x:v>
      </x:c>
      <x:c r="L32" s="416" t="str">
        <x:v>No</x:v>
      </x:c>
      <x:c r="M32" s="416" t="str">
        <x:v>Se recomienda Tarjeta de Experimento (Test Card) porque la brecha es «Hipótesis crítica sin experimento definido» y la herramienta produce diseño de experimento listo para ejecución con hipótesis, método, métrica y umbral.</x:v>
      </x:c>
      <x:c r="N32" s="416" t="str">
        <x:v>Cualquiera; activar por brecha/evidencia y objetivo.</x:v>
      </x:c>
      <x:c r="O32" s="416" t="str">
        <x:v>La prueba tiene una hipótesis precisa, método ejecutable, métrica observable y umbral definido antes de obtener resultados.</x:v>
      </x:c>
      <x:c r="P32" s="416"/>
      <x:c r="Q32" s="416"/>
    </x:row>
    <x:row r="33">
      <x:c r="A33" s="416" t="str">
        <x:v>B-VAL-003 — Experimentos sin aprendizaje ni decisión trazable</x:v>
      </x:c>
      <x:c r="B33" s="416" t="str">
        <x:v>B-VAL-003</x:v>
      </x:c>
      <x:c r="C33" s="416" t="str">
        <x:v>Experimentos sin aprendizaje ni decisión trazable</x:v>
      </x:c>
      <x:c r="D33" s="416" t="str">
        <x:v>VAL-003</x:v>
      </x:c>
      <x:c r="E33" s="416" t="str">
        <x:v>Tarjeta de Aprendizaje (Learning Card)</x:v>
      </x:c>
      <x:c r="F33" s="416" t="str">
        <x:v>VAL-003 — Tarjeta de Aprendizaje (Learning Card)</x:v>
      </x:c>
      <x:c r="G33" s="416" t="str">
        <x:v>P1</x:v>
      </x:c>
      <x:c r="H33" s="416" t="str">
        <x:v>EV-029</x:v>
      </x:c>
      <x:c r="I33" s="416" t="str">
        <x:v>Tarjeta de Aprendizaje</x:v>
      </x:c>
      <x:c r="J33" s="416" t="str">
        <x:v>Experimento ejecutado y datos/observaciones disponibles, idealmente con umbral definido previamente.</x:v>
      </x:c>
      <x:c r="K33" s="416" t="str">
        <x:v>Actualizar la hipótesis, herramienta o evidencia afectada; decidir perseverar, ajustar/pivotar, detener o diseñar una nueva prueba.</x:v>
      </x:c>
      <x:c r="L33" s="416" t="str">
        <x:v>Sí</x:v>
      </x:c>
      <x:c r="M33" s="416" t="str">
        <x:v>Se recomienda Tarjeta de Aprendizaje (Learning Card) porque la brecha es «Experimentos sin aprendizaje ni decisión trazable» y la herramienta produce aprendizaje documentado y decisión posterior vinculada a la evidencia obtenida.</x:v>
      </x:c>
      <x:c r="N33" s="416" t="str">
        <x:v>Cualquiera; activar por brecha/evidencia y objetivo.</x:v>
      </x:c>
      <x:c r="O33" s="416" t="str">
        <x:v>La evidencia observada está separada de la interpretación y existe una decisión/acción explícita trazable a los resultados.</x:v>
      </x:c>
      <x:c r="P33" s="416"/>
      <x:c r="Q33" s="416"/>
    </x:row>
    <x:row r="34">
      <x:c r="A34" s="416" t="str">
        <x:v>B-MAD-001 — Brecha TRL sin plan de maduración</x:v>
      </x:c>
      <x:c r="B34" s="416" t="str">
        <x:v>B-MAD-001</x:v>
      </x:c>
      <x:c r="C34" s="416" t="str">
        <x:v>Brecha TRL sin plan de maduración</x:v>
      </x:c>
      <x:c r="D34" s="416" t="str">
        <x:v>MAD-001</x:v>
      </x:c>
      <x:c r="E34" s="416" t="str">
        <x:v>Plan de Maduración Tecnológica</x:v>
      </x:c>
      <x:c r="F34" s="416" t="str">
        <x:v>MAD-001 — Plan de Maduración Tecnológica</x:v>
      </x:c>
      <x:c r="G34" s="416" t="str">
        <x:v>P1</x:v>
      </x:c>
      <x:c r="H34" s="416" t="str">
        <x:v>EV-030</x:v>
      </x:c>
      <x:c r="I34" s="416" t="str">
        <x:v>Plan de Maduración Tecnológica</x:v>
      </x:c>
      <x:c r="J34" s="416" t="str">
        <x:v>TRL actual sustentado, TRL objetivo y brechas/elementos tecnológicos críticos identificables.</x:v>
      </x:c>
      <x:c r="K34" s="416" t="str">
        <x:v>Ejecutar actividades de maduración, registrar evidencia y reevaluar el TRL; actualizar el plan si persisten brechas.</x:v>
      </x:c>
      <x:c r="L34" s="416" t="str">
        <x:v>Sí</x:v>
      </x:c>
      <x:c r="M34" s="416" t="str">
        <x:v>Se recomienda Plan de Maduración Tecnológica porque la brecha es «Brecha TRL sin plan de maduración» y la herramienta produce roadmap de maduración con actividades, hitos, métricas, riesgos, evidencia y criterio para avanzar.</x:v>
      </x:c>
      <x:c r="N34" s="416" t="str">
        <x:v>Aplicar a Tecnología / Producto, Software o Farmacéutico cuando exista TRL actual sustentado y un nivel objetivo/decisión que requiera mayor madurez.</x:v>
      </x:c>
      <x:c r="O34" s="416" t="str">
        <x:v>Cada brecha prioritaria tiene una actividad de maduración, evidencia esperada, responsable/hito y criterio que permitirá reevaluar la madurez.</x:v>
      </x:c>
      <x:c r="P34" s="416"/>
      <x:c r="Q34" s="416"/>
    </x:row>
    <x:row r="35">
      <x:c r="A35" s="416" t="str">
        <x:v>B-PI-001 — Libertad de operación no evaluada</x:v>
      </x:c>
      <x:c r="B35" s="416" t="str">
        <x:v>B-PI-001</x:v>
      </x:c>
      <x:c r="C35" s="416" t="str">
        <x:v>Libertad de operación no evaluada</x:v>
      </x:c>
      <x:c r="D35" s="416" t="str">
        <x:v>TRA-001</x:v>
      </x:c>
      <x:c r="E35" s="416" t="str">
        <x:v>Libertad de Operación (Freedom to Operate)</x:v>
      </x:c>
      <x:c r="F35" s="416" t="str">
        <x:v>TRA-001 — Libertad de Operación (Freedom to Operate)</x:v>
      </x:c>
      <x:c r="G35" s="416" t="str">
        <x:v>P1</x:v>
      </x:c>
      <x:c r="H35" s="416" t="str">
        <x:v>EV-031</x:v>
      </x:c>
      <x:c r="I35" s="416" t="str">
        <x:v>Matriz preliminar de Libertad de Operación</x:v>
      </x:c>
      <x:c r="J35" s="416" t="str">
        <x:v>Producto/proceso y uso previsto suficientemente definidos, más mercado/jurisdicción objetivo.</x:v>
      </x:c>
      <x:c r="K35" s="416" t="str">
        <x:v>Si existe riesgo material, derivar a análisis especializado y decidir mitigación; si el riesgo es manejable, continuar preparación de transferencia/comercialización.</x:v>
      </x:c>
      <x:c r="L35" s="416" t="str">
        <x:v>Sí</x:v>
      </x:c>
      <x:c r="M35" s="416" t="str">
        <x:v>Se recomienda Libertad de Operación (Freedom to Operate) porque la brecha es «Libertad de operación no evaluada» y la herramienta produce mapa preliminar de riesgos fto y acciones de mitigación/consulta especializada.</x:v>
      </x:c>
      <x:c r="N35" s="416" t="str">
        <x:v>Cualquiera; activar por brecha/evidencia y objetivo.</x:v>
      </x:c>
      <x:c r="O35" s="416" t="str">
        <x:v>Existe un registro trazable de derechos relevantes, su relación con la explotación prevista y la acción requerida para cada riesgo material.</x:v>
      </x:c>
      <x:c r="P35" s="416"/>
      <x:c r="Q35" s="416"/>
    </x:row>
    <x:row r="36">
      <x:c r="A36" s="416" t="str">
        <x:v>B-ECO-001 — Cadena de valor y actores críticos no mapeados</x:v>
      </x:c>
      <x:c r="B36" s="416" t="str">
        <x:v>B-ECO-001</x:v>
      </x:c>
      <x:c r="C36" s="416" t="str">
        <x:v>Cadena de valor y actores críticos no mapeados</x:v>
      </x:c>
      <x:c r="D36" s="416" t="str">
        <x:v>TRA-002</x:v>
      </x:c>
      <x:c r="E36" s="416" t="str">
        <x:v>Mapa de Cadena de Valor y Actores</x:v>
      </x:c>
      <x:c r="F36" s="416" t="str">
        <x:v>TRA-002 — Mapa de Cadena de Valor y Actores</x:v>
      </x:c>
      <x:c r="G36" s="416" t="str">
        <x:v>P2</x:v>
      </x:c>
      <x:c r="H36" s="416" t="str">
        <x:v>EV-032</x:v>
      </x:c>
      <x:c r="I36" s="416" t="str">
        <x:v>Mapa de Cadena de Valor y Actores</x:v>
      </x:c>
      <x:c r="J36" s="416" t="str">
        <x:v>Solución/aplicación definida y conocimiento mínimo de cómo se desarrollará/entregará.</x:v>
      </x:c>
      <x:c r="K36" s="416" t="str">
        <x:v>Cerrar brechas de capacidad/alianzas y reevaluar modelo de negocio, escalamiento y riesgos de adopción.</x:v>
      </x:c>
      <x:c r="L36" s="416" t="str">
        <x:v>Sí</x:v>
      </x:c>
      <x:c r="M36" s="416" t="str">
        <x:v>Se recomienda Mapa de Cadena de Valor y Actores porque la brecha es «Cadena de valor y actores críticos no mapeados» y la herramienta produce mapa de cadena de valor con actores, capacidades, brechas y acciones de articulación.</x:v>
      </x:c>
      <x:c r="N36" s="416" t="str">
        <x:v>Cualquiera; activar por brecha/evidencia y objetivo.</x:v>
      </x:c>
      <x:c r="O36" s="416" t="str">
        <x:v>Las actividades críticas tienen actor/capacidad identificada y las brechas de capacidad o dependencia cuentan con una acción o responsable preliminar.</x:v>
      </x:c>
      <x:c r="P36" s="416"/>
      <x:c r="Q36" s="416"/>
    </x:row>
    <x:row r="37">
      <x:c r="A37" s="416" t="str">
        <x:v>B-PI-002 — Invención no divulgada institucionalmente</x:v>
      </x:c>
      <x:c r="B37" s="416" t="str">
        <x:v>B-PI-002</x:v>
      </x:c>
      <x:c r="C37" s="416" t="str">
        <x:v>Invención no divulgada institucionalmente</x:v>
      </x:c>
      <x:c r="D37" s="416" t="str">
        <x:v>TRA-003</x:v>
      </x:c>
      <x:c r="E37" s="416" t="str">
        <x:v>Ficha de Divulgación de Invención</x:v>
      </x:c>
      <x:c r="F37" s="416" t="str">
        <x:v>TRA-003 — Ficha de Divulgación de Invención</x:v>
      </x:c>
      <x:c r="G37" s="416" t="str">
        <x:v>P1</x:v>
      </x:c>
      <x:c r="H37" s="416" t="str">
        <x:v>EV-033</x:v>
      </x:c>
      <x:c r="I37" s="416" t="str">
        <x:v>Ficha de Divulgación de Invención</x:v>
      </x:c>
      <x:c r="J37" s="416" t="str">
        <x:v>Resultado técnico/inventivo suficientemente concreto, inventores identificables y evidencia mínima del resultado.</x:v>
      </x:c>
      <x:c r="K37" s="416" t="str">
        <x:v>Remitir la ficha a la función institucional de PI/transferencia para evaluación de protección, titularidad y estrategia siguiente.</x:v>
      </x:c>
      <x:c r="L37" s="416" t="str">
        <x:v>No</x:v>
      </x:c>
      <x:c r="M37" s="416" t="str">
        <x:v>Se recomienda Ficha de Divulgación de Invención porque la brecha es «Invención no divulgada institucionalmente» y la herramienta produce expediente inicial de invención listo para revisión institucional de pi y transferencia.</x:v>
      </x:c>
      <x:c r="N37" s="416" t="str">
        <x:v>Aplicar cuando exista un resultado potencialmente inventivo suficientemente concreto.</x:v>
      </x:c>
      <x:c r="O37" s="416" t="str">
        <x:v>La información mínima permite a la función de transferencia entender el resultado, autores, contexto contractual/divulgaciones y evidencia para decidir la evaluación siguiente.</x:v>
      </x:c>
      <x:c r="P37" s="416"/>
      <x:c r="Q37" s="416"/>
    </x:row>
    <x:row r="38">
      <x:c r="A38" s="416" t="str">
        <x:v>B-ADO-001 — Riesgos no técnicos de adopción no evaluados</x:v>
      </x:c>
      <x:c r="B38" s="416" t="str">
        <x:v>B-ADO-001</x:v>
      </x:c>
      <x:c r="C38" s="416" t="str">
        <x:v>Riesgos no técnicos de adopción no evaluados</x:v>
      </x:c>
      <x:c r="D38" s="416" t="str">
        <x:v>ADO-001</x:v>
      </x:c>
      <x:c r="E38" s="416" t="str">
        <x:v>Mapa de Riesgos de Adopción / Comercialización</x:v>
      </x:c>
      <x:c r="F38" s="416" t="str">
        <x:v>ADO-001 — Mapa de Riesgos de Adopción / Comercialización</x:v>
      </x:c>
      <x:c r="G38" s="416" t="str">
        <x:v>P1</x:v>
      </x:c>
      <x:c r="H38" s="416" t="str">
        <x:v>EV-034</x:v>
      </x:c>
      <x:c r="I38" s="416" t="str">
        <x:v>Mapa de Riesgos de Adopción</x:v>
      </x:c>
      <x:c r="J38" s="416" t="str">
        <x:v>Aplicación/mercado objetivo definidos y evidencia mínima sobre valor, actores, recursos y contexto.</x:v>
      </x:c>
      <x:c r="K38" s="416" t="str">
        <x:v>Priorizar las barreras de mayor riesgo y abrir brechas específicas de valor, mercado, recursos o licencia para operar; reevaluar periódicamente.</x:v>
      </x:c>
      <x:c r="L38" s="416" t="str">
        <x:v>Sí</x:v>
      </x:c>
      <x:c r="M38" s="416" t="str">
        <x:v>Se recomienda Mapa de Riesgos de Adopción / Comercialización porque la brecha es «Riesgos no técnicos de adopción no evaluados» y la herramienta produce mapa priorizado de riesgos no técnicos de adopción con acciones y responsables.</x:v>
      </x:c>
      <x:c r="N38" s="416" t="str">
        <x:v>Aplicar cuando exista una aplicación y mercado/usuario objetivo suficientemente definidos.</x:v>
      </x:c>
      <x:c r="O38" s="416" t="str">
        <x:v>Las barreras materiales están identificadas por área, existe evidencia que sustenta su evaluación y las de mayor riesgo tienen acción priorizada.</x:v>
      </x:c>
      <x:c r="P38" s="416"/>
      <x:c r="Q38" s="416"/>
    </x:row>
    <x:row r="39">
      <x:c r="Q39" t="str">
        <x:v>REVISIÓN MANUAL</x:v>
      </x:c>
    </x:row>
  </x:sheetData>
  <x:mergeCells>
    <x:mergeCell ref="A1:O1"/>
    <x:mergeCell ref="A2:O2"/>
  </x:mergeCells>
  <x:pageMargins left="0.7" right="0.7" top="0.75" bottom="0.75" header="0.3" footer="0.3"/>
</x:worksheet>
</file>

<file path=xl/worksheets/sheet23.xml><?xml version="1.0" encoding="utf-8"?>
<x:worksheet xmlns:x="http://schemas.openxmlformats.org/spreadsheetml/2006/main">
  <x:sheetFormatPr defaultRowHeight="15"/>
  <x:cols>
    <x:col min="1" max="1" width="12" hidden="0" customWidth="1"/>
    <x:col min="2" max="2" width="27" hidden="0" customWidth="1"/>
    <x:col min="3" max="3" width="27" hidden="0" customWidth="1"/>
    <x:col min="4" max="4" width="42" hidden="0" customWidth="1"/>
    <x:col min="5" max="5" width="45" hidden="0" customWidth="1"/>
    <x:col min="6" max="6" width="45" hidden="0" customWidth="1"/>
    <x:col min="7" max="7" width="58" hidden="0" customWidth="1"/>
    <x:col min="8" max="8" width="27" hidden="0" customWidth="1"/>
    <x:col min="9" max="9" width="18" hidden="0" customWidth="1"/>
  </x:cols>
  <x:sheetData>
    <x:row r="1">
      <x:c r="A1" s="359" t="str">
        <x:v>22 — BENCHMARK INTERNACIONAL DE TECHNOLOGY READINESS LEVELS (TRL)</x:v>
      </x:c>
      <x:c r="B1" s="359" t="str">
        <x:v>22 — BENCHMARK INTERNACIONAL DE TECHNOLOGY READINESS LEVELS (TRL)</x:v>
      </x:c>
      <x:c r="C1" s="359" t="str">
        <x:v>22 — BENCHMARK INTERNACIONAL DE TECHNOLOGY READINESS LEVELS (TRL)</x:v>
      </x:c>
      <x:c r="D1" s="359" t="str">
        <x:v>22 — BENCHMARK INTERNACIONAL DE TECHNOLOGY READINESS LEVELS (TRL)</x:v>
      </x:c>
      <x:c r="E1" s="359" t="str">
        <x:v>22 — BENCHMARK INTERNACIONAL DE TECHNOLOGY READINESS LEVELS (TRL)</x:v>
      </x:c>
      <x:c r="F1" s="359" t="str">
        <x:v>22 — BENCHMARK INTERNACIONAL DE TECHNOLOGY READINESS LEVELS (TRL)</x:v>
      </x:c>
      <x:c r="G1" s="359" t="str">
        <x:v>22 — BENCHMARK INTERNACIONAL DE TECHNOLOGY READINESS LEVELS (TRL)</x:v>
      </x:c>
      <x:c r="H1" s="359" t="str">
        <x:v>22 — BENCHMARK INTERNACIONAL DE TECHNOLOGY READINESS LEVELS (TRL)</x:v>
      </x:c>
      <x:c r="I1" s="359" t="str">
        <x:v>22 — BENCHMARK INTERNACIONAL DE TECHNOLOGY READINESS LEVELS (TRL)</x:v>
      </x:c>
    </x:row>
    <x:row r="2" ht="58" customHeight="1">
      <x:c r="A2" s="363" t="str">
        <x:v>Comparación de la calculadora CEDIA con referencias internacionales oficiales. El objetivo no es copiar un único modelo, sino identificar el consenso mundial: TRL mide principalmente madurez técnica, evidencia de prueba, integración y entorno de demostración. Financiamiento, aceptación comercial y propiedad intelectual deben tratarse en ejes complementarios y no confundirse con el TRL técnico.</x:v>
      </x:c>
      <x:c r="B2" s="363" t="str">
        <x:v>Comparación de la calculadora CEDIA con referencias internacionales oficiales. El objetivo no es copiar un único modelo, sino identificar el consenso mundial: TRL mide principalmente madurez técnica, evidencia de prueba, integración y entorno de demostración. Financiamiento, aceptación comercial y propiedad intelectual deben tratarse en ejes complementarios y no confundirse con el TRL técnico.</x:v>
      </x:c>
      <x:c r="C2" s="363" t="str">
        <x:v>Comparación de la calculadora CEDIA con referencias internacionales oficiales. El objetivo no es copiar un único modelo, sino identificar el consenso mundial: TRL mide principalmente madurez técnica, evidencia de prueba, integración y entorno de demostración. Financiamiento, aceptación comercial y propiedad intelectual deben tratarse en ejes complementarios y no confundirse con el TRL técnico.</x:v>
      </x:c>
      <x:c r="D2" s="363" t="str">
        <x:v>Comparación de la calculadora CEDIA con referencias internacionales oficiales. El objetivo no es copiar un único modelo, sino identificar el consenso mundial: TRL mide principalmente madurez técnica, evidencia de prueba, integración y entorno de demostración. Financiamiento, aceptación comercial y propiedad intelectual deben tratarse en ejes complementarios y no confundirse con el TRL técnico.</x:v>
      </x:c>
      <x:c r="E2" s="363" t="str">
        <x:v>Comparación de la calculadora CEDIA con referencias internacionales oficiales. El objetivo no es copiar un único modelo, sino identificar el consenso mundial: TRL mide principalmente madurez técnica, evidencia de prueba, integración y entorno de demostración. Financiamiento, aceptación comercial y propiedad intelectual deben tratarse en ejes complementarios y no confundirse con el TRL técnico.</x:v>
      </x:c>
      <x:c r="F2" s="363" t="str">
        <x:v>Comparación de la calculadora CEDIA con referencias internacionales oficiales. El objetivo no es copiar un único modelo, sino identificar el consenso mundial: TRL mide principalmente madurez técnica, evidencia de prueba, integración y entorno de demostración. Financiamiento, aceptación comercial y propiedad intelectual deben tratarse en ejes complementarios y no confundirse con el TRL técnico.</x:v>
      </x:c>
      <x:c r="G2" s="363" t="str">
        <x:v>Comparación de la calculadora CEDIA con referencias internacionales oficiales. El objetivo no es copiar un único modelo, sino identificar el consenso mundial: TRL mide principalmente madurez técnica, evidencia de prueba, integración y entorno de demostración. Financiamiento, aceptación comercial y propiedad intelectual deben tratarse en ejes complementarios y no confundirse con el TRL técnico.</x:v>
      </x:c>
      <x:c r="H2" s="363" t="str">
        <x:v>Comparación de la calculadora CEDIA con referencias internacionales oficiales. El objetivo no es copiar un único modelo, sino identificar el consenso mundial: TRL mide principalmente madurez técnica, evidencia de prueba, integración y entorno de demostración. Financiamiento, aceptación comercial y propiedad intelectual deben tratarse en ejes complementarios y no confundirse con el TRL técnico.</x:v>
      </x:c>
      <x:c r="I2" s="363" t="str">
        <x:v>Comparación de la calculadora CEDIA con referencias internacionales oficiales. El objetivo no es copiar un único modelo, sino identificar el consenso mundial: TRL mide principalmente madurez técnica, evidencia de prueba, integración y entorno de demostración. Financiamiento, aceptación comercial y propiedad intelectual deben tratarse en ejes complementarios y no confundirse con el TRL técnico.</x:v>
      </x:c>
    </x:row>
    <x:row r="4">
      <x:c r="A4" s="368" t="str">
        <x:v>ID</x:v>
      </x:c>
      <x:c r="B4" s="368" t="str">
        <x:v>ORGANIZACIÓN</x:v>
      </x:c>
      <x:c r="C4" s="368" t="str">
        <x:v>ALCANCE</x:v>
      </x:c>
      <x:c r="D4" s="368" t="str">
        <x:v>REFERENCIA</x:v>
      </x:c>
      <x:c r="E4" s="368" t="str">
        <x:v>QUÉ APORTA</x:v>
      </x:c>
      <x:c r="F4" s="368" t="str">
        <x:v>USO PARA CEDIA</x:v>
      </x:c>
      <x:c r="G4" s="368" t="str">
        <x:v>URL OFICIAL</x:v>
      </x:c>
      <x:c r="H4" s="368" t="str">
        <x:v>ESTADO</x:v>
      </x:c>
      <x:c r="I4" s="368" t="str">
        <x:v>FECHA CONSULTA</x:v>
      </x:c>
    </x:row>
    <x:row r="5">
      <x:c r="A5" s="334" t="str">
        <x:v>BM-001</x:v>
      </x:c>
      <x:c r="B5" s="334" t="str">
        <x:v>NASA</x:v>
      </x:c>
      <x:c r="C5" s="334" t="str">
        <x:v>Estados Unidos / referencia fundacional</x:v>
      </x:c>
      <x:c r="D5" s="334" t="str">
        <x:v>NPR 7123.1D — Appendix E. Technology Readiness Levels</x:v>
      </x:c>
      <x:c r="E5" s="334" t="str">
        <x:v>TRL 1–9 con descripción diferenciada para hardware y software y criterios de éxito/salida.</x:v>
      </x:c>
      <x:c r="F5" s="334" t="str">
        <x:v>Referencia principal para definición técnica y evidencia por nivel.</x:v>
      </x:c>
      <x:c r="G5" s="334" t="str">
        <x:v>https://nodis3.gsfc.nasa.gov/displayDir.cfm?Internal_ID=N_PR_7123_001D_&amp;page_name=AppendixE</x:v>
      </x:c>
      <x:c r="H5" s="334" t="str">
        <x:v>Oficial / vigente 2023–2028</x:v>
      </x:c>
      <x:c r="I5" s="334" t="str">
        <x:v>2026-09-14</x:v>
      </x:c>
    </x:row>
    <x:row r="6">
      <x:c r="A6" s="334" t="str">
        <x:v>BM-002</x:v>
      </x:c>
      <x:c r="B6" s="334" t="str">
        <x:v>Comisión Europea — Horizon Europe</x:v>
      </x:c>
      <x:c r="C6" s="334" t="str">
        <x:v>Unión Europea</x:v>
      </x:c>
      <x:c r="D6" s="334" t="str">
        <x:v>Horizon Europe Work Programme 2026–2027 — General Annexes</x:v>
      </x:c>
      <x:c r="E6" s="334" t="str">
        <x:v>Escala común TRL 1–9: principios → concepto → PoC → laboratorio → entorno relevante → entorno operacional → sistema completo → probado en operación.</x:v>
      </x:c>
      <x:c r="F6" s="334" t="str">
        <x:v>Referencia internacional para lenguaje común de madurez tecnológica.</x:v>
      </x:c>
      <x:c r="G6" s="334" t="str">
        <x:v>https://research-and-innovation.ec.europa.eu/document/download/7318fc15-13a4-484b-a74e-7c403f88fee2_en</x:v>
      </x:c>
      <x:c r="H6" s="334" t="str">
        <x:v>Oficial / 2026–2027</x:v>
      </x:c>
      <x:c r="I6" s="334" t="str">
        <x:v>2026-09-14</x:v>
      </x:c>
    </x:row>
    <x:row r="7">
      <x:c r="A7" s="334" t="str">
        <x:v>BM-003</x:v>
      </x:c>
      <x:c r="B7" s="334" t="str">
        <x:v>U.S. Department of Energy (DOE)</x:v>
      </x:c>
      <x:c r="C7" s="334" t="str">
        <x:v>Estados Unidos / industria y energía</x:v>
      </x:c>
      <x:c r="D7" s="334" t="str">
        <x:v>Technology Readiness Levels (TRLs)</x:v>
      </x:c>
      <x:c r="E7" s="334" t="str">
        <x:v>Además del nivel, exige justificar el TRL estimado e identificar criterios de entrada al nivel siguiente.</x:v>
      </x:c>
      <x:c r="F7" s="334" t="str">
        <x:v>Refuerza que la calculadora debe explicar por qué se asigna un nivel y qué falta para avanzar.</x:v>
      </x:c>
      <x:c r="G7" s="334" t="str">
        <x:v>https://www.energy.gov/cmei/technology-readiness-levels-trls</x:v>
      </x:c>
      <x:c r="H7" s="334" t="str">
        <x:v>Oficial / vigente</x:v>
      </x:c>
      <x:c r="I7" s="334" t="str">
        <x:v>2026-09-14</x:v>
      </x:c>
    </x:row>
    <x:row r="8">
      <x:c r="A8" s="334" t="str">
        <x:v>BM-004</x:v>
      </x:c>
      <x:c r="B8" s="334" t="str">
        <x:v>European Space Agency (ESA)</x:v>
      </x:c>
      <x:c r="C8" s="334" t="str">
        <x:v>Europa / industria espacial</x:v>
      </x:c>
      <x:c r="D8" s="334" t="str">
        <x:v>Technology Readiness Levels (TRL)</x:v>
      </x:c>
      <x:c r="E8" s="334" t="str">
        <x:v>ESA usa la escala ISO 16290 y confirma el uso internacional de TRL 1–9.</x:v>
      </x:c>
      <x:c r="F8" s="334" t="str">
        <x:v>Referencia de estandarización y consistencia internacional.</x:v>
      </x:c>
      <x:c r="G8" s="334" t="str">
        <x:v>https://www.esa.int/Enabling_Support/Space_Engineering_Technology/Shaping_the_Future/Technology_Readiness_Levels_TRL</x:v>
      </x:c>
      <x:c r="H8" s="334" t="str">
        <x:v>Oficial / vigente</x:v>
      </x:c>
      <x:c r="I8" s="334" t="str">
        <x:v>2026-09-14</x:v>
      </x:c>
    </x:row>
    <x:row r="9">
      <x:c r="A9" s="334" t="str">
        <x:v>BM-005</x:v>
      </x:c>
      <x:c r="B9" s="334" t="str">
        <x:v>ISO</x:v>
      </x:c>
      <x:c r="C9" s="334" t="str">
        <x:v>Internacional</x:v>
      </x:c>
      <x:c r="D9" s="334" t="str">
        <x:v>ISO 16290:2013 — Space systems — Definition of TRLs and criteria of assessment</x:v>
      </x:c>
      <x:c r="E9" s="334" t="str">
        <x:v>Norma internacional que define TRL y condiciones de evaluación; confirmada nuevamente en 2024.</x:v>
      </x:c>
      <x:c r="F9" s="334" t="str">
        <x:v>Referencia normativa internacional; principalmente espacial, pero reutilizable en dominios más amplios.</x:v>
      </x:c>
      <x:c r="G9" s="334" t="str">
        <x:v>https://www.iso.org/standard/56064.html</x:v>
      </x:c>
      <x:c r="H9" s="334" t="str">
        <x:v>Norma internacional / confirmada 2024</x:v>
      </x:c>
      <x:c r="I9" s="334" t="str">
        <x:v>2026-09-14</x:v>
      </x:c>
    </x:row>
    <x:row r="10">
      <x:c r="A10" s="334" t="str">
        <x:v>BM-006</x:v>
      </x:c>
      <x:c r="B10" s="334" t="str">
        <x:v>EURAXESS / Comisión Europea</x:v>
      </x:c>
      <x:c r="C10" s="334" t="str">
        <x:v>Unión Europea / adaptación sectorial</x:v>
      </x:c>
      <x:c r="D10" s="334" t="str">
        <x:v>TRL — ejemplos para industria farmacéutica y hardware/sistemas</x:v>
      </x:c>
      <x:c r="E10" s="334" t="str">
        <x:v>Muestra una adaptación sectorial para fármacos: preclínica TRL 1–5, Fase 1 TRL6, Fase 2 TRL7, Fase 3/registro TRL8, mercado/farmacovigilancia TRL9.</x:v>
      </x:c>
      <x:c r="F10" s="334" t="str">
        <x:v>Referencia útil para contrastar la ruta farmacéutica de CEDIA; aclara que TRL puede variar por sector.</x:v>
      </x:c>
      <x:c r="G10" s="334" t="str">
        <x:v>https://euraxess.ec.europa.eu/career-development/researchers/manual-scientific-entrepreneurship/major-steps/trl</x:v>
      </x:c>
      <x:c r="H10" s="334" t="str">
        <x:v>Oficial / referencia sectorial</x:v>
      </x:c>
      <x:c r="I10" s="334" t="str">
        <x:v>2026-09-14</x:v>
      </x:c>
    </x:row>
    <x:row r="13">
      <x:c r="A13" s="370" t="str">
        <x:v>CONSENSO INTERNACIONAL TRL 1–9</x:v>
      </x:c>
      <x:c r="B13" s="370" t="str">
        <x:v>CONSENSO INTERNACIONAL TRL 1–9</x:v>
      </x:c>
      <x:c r="C13" s="370" t="str">
        <x:v>CONSENSO INTERNACIONAL TRL 1–9</x:v>
      </x:c>
      <x:c r="D13" s="370" t="str">
        <x:v>CONSENSO INTERNACIONAL TRL 1–9</x:v>
      </x:c>
      <x:c r="E13" s="370" t="str">
        <x:v>CONSENSO INTERNACIONAL TRL 1–9</x:v>
      </x:c>
      <x:c r="G13" s="381" t="str">
        <x:v>LECTURA PARA CEDIA</x:v>
      </x:c>
      <x:c r="H13" s="381" t="str">
        <x:v>DECISIÓN</x:v>
      </x:c>
      <x:c r="I13" s="381" t="str">
        <x:v>IMPACTO</x:v>
      </x:c>
    </x:row>
    <x:row r="14">
      <x:c r="A14" s="374" t="str">
        <x:v>TRL</x:v>
      </x:c>
      <x:c r="B14" s="374" t="str">
        <x:v>DEFINICIÓN CONSENSO</x:v>
      </x:c>
      <x:c r="C14" s="374" t="str">
        <x:v>EVIDENCIA / CRITERIO DE SALIDA</x:v>
      </x:c>
      <x:c r="D14" s="374" t="str">
        <x:v>DIFERENCIADOR CLAVE</x:v>
      </x:c>
      <x:c r="E14" s="374" t="str">
        <x:v>REFERENCIAS</x:v>
      </x:c>
      <x:c r="G14" s="207" t="str">
        <x:v>TRL debe medir madurez técnica, no éxito comercial.</x:v>
      </x:c>
      <x:c r="H14" s="207" t="str">
        <x:v>Separar mercado/aceptación del TRL.</x:v>
      </x:c>
      <x:c r="I14" s="207" t="str">
        <x:v>Alto</x:v>
      </x:c>
    </x:row>
    <x:row r="15">
      <x:c r="A15" s="378" t="n">
        <x:v>1</x:v>
      </x:c>
      <x:c r="B15" s="207" t="str">
        <x:v>Principios básicos observados y reportados.</x:v>
      </x:c>
      <x:c r="C15" s="207" t="str">
        <x:v>Conocimiento científico/documentación que sustenta el concepto; todavía no se exige una aplicación demostrada.</x:v>
      </x:c>
      <x:c r="D15" s="207" t="str">
        <x:v>Investigación básica → inicio de aplicación.</x:v>
      </x:c>
      <x:c r="E15" s="207" t="str">
        <x:v>NASA; Comisión Europea; DOE; ISO/ESA</x:v>
      </x:c>
      <x:c r="G15" s="207" t="str">
        <x:v>El entorno de prueba es un discriminante central entre TRL4–7.</x:v>
      </x:c>
      <x:c r="H15" s="207" t="str">
        <x:v>Conservar y fortalecer ENTORNO DE PRUEBAS.</x:v>
      </x:c>
      <x:c r="I15" s="207" t="str">
        <x:v>Alto</x:v>
      </x:c>
    </x:row>
    <x:row r="16">
      <x:c r="A16" s="378" t="n">
        <x:v>2</x:v>
      </x:c>
      <x:c r="B16" s="207" t="str">
        <x:v>Concepto tecnológico y/o aplicación formulada.</x:v>
      </x:c>
      <x:c r="C16" s="207" t="str">
        <x:v>Descripción documentada del concepto, aplicación, factibilidad y beneficio esperado; evidencia experimental todavía limitada.</x:v>
      </x:c>
      <x:c r="D16" s="207" t="str">
        <x:v>Concepto formulado, no PoC.</x:v>
      </x:c>
      <x:c r="E16" s="207" t="str">
        <x:v>NASA; Comisión Europea; DOE; ISO/ESA</x:v>
      </x:c>
      <x:c r="G16" s="207" t="str">
        <x:v>La evidencia debe justificar el nivel asignado.</x:v>
      </x:c>
      <x:c r="H16" s="207" t="str">
        <x:v>Añadir «evidencia requerida» y «qué falta para subir».</x:v>
      </x:c>
      <x:c r="I16" s="207" t="str">
        <x:v>Alto</x:v>
      </x:c>
    </x:row>
    <x:row r="17">
      <x:c r="A17" s="378" t="n">
        <x:v>3</x:v>
      </x:c>
      <x:c r="B17" s="207" t="str">
        <x:v>Prueba de concepto analítica y experimental de funciones/características críticas.</x:v>
      </x:c>
      <x:c r="C17" s="207" t="str">
        <x:v>Resultados analíticos/experimentales que validan predicciones clave; puede existir funcionalidad limitada o prototipo no integrado.</x:v>
      </x:c>
      <x:c r="D17" s="207" t="str">
        <x:v>PoC demostrada, no validación integrada de laboratorio.</x:v>
      </x:c>
      <x:c r="E17" s="207" t="str">
        <x:v>NASA; Comisión Europea; DOE</x:v>
      </x:c>
      <x:c r="G17" s="207" t="str">
        <x:v>Financiamiento no aparece como criterio central TRL en NASA/EC/DOE.</x:v>
      </x:c>
      <x:c r="H17" s="207" t="str">
        <x:v>Sacar FINANCIAMIENTO del puntaje técnico.</x:v>
      </x:c>
      <x:c r="I17" s="207" t="str">
        <x:v>Alto</x:v>
      </x:c>
    </x:row>
    <x:row r="18">
      <x:c r="A18" s="378" t="n">
        <x:v>4</x:v>
      </x:c>
      <x:c r="B18" s="207" t="str">
        <x:v>Componente/proceso o breadboard validado en laboratorio.</x:v>
      </x:c>
      <x:c r="C18" s="207" t="str">
        <x:v>Pruebas documentadas de componentes integrados o funciones críticas en entorno de laboratorio.</x:v>
      </x:c>
      <x:c r="D18" s="207" t="str">
        <x:v>Validación de laboratorio.</x:v>
      </x:c>
      <x:c r="E18" s="207" t="str">
        <x:v>NASA; Comisión Europea; DOE</x:v>
      </x:c>
      <x:c r="G18" s="207" t="str">
        <x:v>PI tampoco es criterio central TRL.</x:v>
      </x:c>
      <x:c r="H18" s="207" t="str">
        <x:v>Sacar PI del puntaje técnico; mantener como eje complementario.</x:v>
      </x:c>
      <x:c r="I18" s="207" t="str">
        <x:v>Alto</x:v>
      </x:c>
    </x:row>
    <x:row r="19">
      <x:c r="A19" s="378" t="n">
        <x:v>5</x:v>
      </x:c>
      <x:c r="B19" s="207" t="str">
        <x:v>Componente/proceso validado en entorno relevante.</x:v>
      </x:c>
      <x:c r="C19" s="207" t="str">
        <x:v>Pruebas en condiciones que representan razonablemente el entorno final; elementos de soporte realistas y requisitos de escalamiento identificados.</x:v>
      </x:c>
      <x:c r="D19" s="207" t="str">
        <x:v>Validación en entorno relevante.</x:v>
      </x:c>
      <x:c r="E19" s="207" t="str">
        <x:v>NASA; Comisión Europea; DOE</x:v>
      </x:c>
      <x:c r="G19" s="207" t="str">
        <x:v>Software necesita integración, V&amp;V y entorno, no solo alfa/beta/mercado.</x:v>
      </x:c>
      <x:c r="H19" s="207" t="str">
        <x:v>Reescribir niveles software.</x:v>
      </x:c>
      <x:c r="I19" s="207" t="str">
        <x:v>Alto</x:v>
      </x:c>
    </x:row>
    <x:row r="20">
      <x:c r="A20" s="378" t="n">
        <x:v>6</x:v>
      </x:c>
      <x:c r="B20" s="207" t="str">
        <x:v>Modelo o prototipo de sistema/subsistema demostrado en entorno relevante.</x:v>
      </x:c>
      <x:c r="C20" s="207" t="str">
        <x:v>Prototipo de alta fidelidad o implementación representativa demostrando desempeño en condiciones relevantes para el usuario.</x:v>
      </x:c>
      <x:c r="D20" s="207" t="str">
        <x:v>Demostración de sistema/prototipo en entorno relevante.</x:v>
      </x:c>
      <x:c r="E20" s="207" t="str">
        <x:v>NASA; Comisión Europea; DOE</x:v>
      </x:c>
    </x:row>
    <x:row r="21">
      <x:c r="A21" s="378" t="n">
        <x:v>7</x:v>
      </x:c>
      <x:c r="B21" s="207" t="str">
        <x:v>Prototipo de sistema demostrado en entorno operacional.</x:v>
      </x:c>
      <x:c r="C21" s="207" t="str">
        <x:v>Sistema integrado o casi a escala completa demostrado en condiciones operativas reales o equivalentes de alta fidelidad.</x:v>
      </x:c>
      <x:c r="D21" s="207" t="str">
        <x:v>Demostración operacional, no solo simulación.</x:v>
      </x:c>
      <x:c r="E21" s="207" t="str">
        <x:v>NASA; Comisión Europea; DOE</x:v>
      </x:c>
    </x:row>
    <x:row r="22">
      <x:c r="A22" s="378" t="n">
        <x:v>8</x:v>
      </x:c>
      <x:c r="B22" s="207" t="str">
        <x:v>Sistema real completo y calificado mediante pruebas y demostración.</x:v>
      </x:c>
      <x:c r="C22" s="207" t="str">
        <x:v>Configuración final; V&amp;V/qualification completas, integración, documentación y requisitos de usuario demostrados.</x:v>
      </x:c>
      <x:c r="D22" s="207" t="str">
        <x:v>Sistema completo y calificado.</x:v>
      </x:c>
      <x:c r="E22" s="207" t="str">
        <x:v>NASA; Comisión Europea; DOE</x:v>
      </x:c>
    </x:row>
    <x:row r="23">
      <x:c r="A23" s="378" t="n">
        <x:v>9</x:v>
      </x:c>
      <x:c r="B23" s="207" t="str">
        <x:v>Sistema real probado mediante operación exitosa.</x:v>
      </x:c>
      <x:c r="C23" s="207" t="str">
        <x:v>Resultados operacionales documentados en el entorno real de uso; soporte/sostenimiento cuando corresponda.</x:v>
      </x:c>
      <x:c r="D23" s="207" t="str">
        <x:v>Prueba operacional real; no equivale a éxito comercial.</x:v>
      </x:c>
      <x:c r="E23" s="207" t="str">
        <x:v>NASA; Comisión Europea; DOE</x:v>
      </x:c>
    </x:row>
  </x:sheetData>
  <x:mergeCells>
    <x:mergeCell ref="A1:I1"/>
    <x:mergeCell ref="A2:I2"/>
    <x:mergeCell ref="A13:E13"/>
  </x:mergeCells>
  <x:conditionalFormatting sqref="I14:I19">
    <x:cfRule type="expression" dxfId="14" priority="1">
      <x:formula>I14="Alto"</x:formula>
    </x:cfRule>
  </x:conditionalFormatting>
  <x:pageMargins left="0.7" right="0.7" top="0.75" bottom="0.75" header="0.3" footer="0.3"/>
</x:worksheet>
</file>

<file path=xl/worksheets/sheet24.xml><?xml version="1.0" encoding="utf-8"?>
<x:worksheet xmlns:x="http://schemas.openxmlformats.org/spreadsheetml/2006/main">
  <x:sheetFormatPr defaultRowHeight="15"/>
  <x:cols>
    <x:col min="1" max="1" width="9" hidden="0" customWidth="1"/>
    <x:col min="2" max="2" width="52" hidden="0" customWidth="1"/>
    <x:col min="3" max="3" width="50" hidden="0" customWidth="1"/>
    <x:col min="4" max="4" width="18" hidden="0" customWidth="1"/>
    <x:col min="5" max="5" width="48" hidden="0" customWidth="1"/>
    <x:col min="6" max="6" width="52" hidden="0" customWidth="1"/>
    <x:col min="7" max="7" width="32" hidden="0" customWidth="1"/>
    <x:col min="9" max="9" width="27" hidden="0" customWidth="1"/>
    <x:col min="10" max="10" width="30" hidden="0" customWidth="1"/>
    <x:col min="11" max="11" width="45" hidden="0" customWidth="1"/>
  </x:cols>
  <x:sheetData>
    <x:row r="1">
      <x:c r="A1" s="358" t="str">
        <x:v>23 — AUDITORÍA TRL CEDIA VS REFERENCIAS INTERNACIONALES</x:v>
      </x:c>
      <x:c r="B1" s="358" t="str">
        <x:v>23 — AUDITORÍA TRL CEDIA VS REFERENCIAS INTERNACIONALES</x:v>
      </x:c>
      <x:c r="C1" s="358" t="str">
        <x:v>23 — AUDITORÍA TRL CEDIA VS REFERENCIAS INTERNACIONALES</x:v>
      </x:c>
      <x:c r="D1" s="358" t="str">
        <x:v>23 — AUDITORÍA TRL CEDIA VS REFERENCIAS INTERNACIONALES</x:v>
      </x:c>
      <x:c r="E1" s="358" t="str">
        <x:v>23 — AUDITORÍA TRL CEDIA VS REFERENCIAS INTERNACIONALES</x:v>
      </x:c>
      <x:c r="F1" s="358" t="str">
        <x:v>23 — AUDITORÍA TRL CEDIA VS REFERENCIAS INTERNACIONALES</x:v>
      </x:c>
      <x:c r="G1" s="358" t="str">
        <x:v>23 — AUDITORÍA TRL CEDIA VS REFERENCIAS INTERNACIONALES</x:v>
      </x:c>
    </x:row>
    <x:row r="2" ht="46" customHeight="1">
      <x:c r="A2" s="383" t="str">
        <x:v>Auditoría nivel por nivel de las tres rutas TRL presentes en la calculadora CEDIA: Tecnología/Producto, Software y Farmacéutico. «Ajustar» no significa que el nivel esté mal; significa que la redacción o el criterio debe separarse mejor de mercado, versión de producto o comercialización.</x:v>
      </x:c>
      <x:c r="B2" s="383" t="str">
        <x:v>Auditoría nivel por nivel de las tres rutas TRL presentes en la calculadora CEDIA: Tecnología/Producto, Software y Farmacéutico. «Ajustar» no significa que el nivel esté mal; significa que la redacción o el criterio debe separarse mejor de mercado, versión de producto o comercialización.</x:v>
      </x:c>
      <x:c r="C2" s="383" t="str">
        <x:v>Auditoría nivel por nivel de las tres rutas TRL presentes en la calculadora CEDIA: Tecnología/Producto, Software y Farmacéutico. «Ajustar» no significa que el nivel esté mal; significa que la redacción o el criterio debe separarse mejor de mercado, versión de producto o comercialización.</x:v>
      </x:c>
      <x:c r="D2" s="383" t="str">
        <x:v>Auditoría nivel por nivel de las tres rutas TRL presentes en la calculadora CEDIA: Tecnología/Producto, Software y Farmacéutico. «Ajustar» no significa que el nivel esté mal; significa que la redacción o el criterio debe separarse mejor de mercado, versión de producto o comercialización.</x:v>
      </x:c>
      <x:c r="E2" s="383" t="str">
        <x:v>Auditoría nivel por nivel de las tres rutas TRL presentes en la calculadora CEDIA: Tecnología/Producto, Software y Farmacéutico. «Ajustar» no significa que el nivel esté mal; significa que la redacción o el criterio debe separarse mejor de mercado, versión de producto o comercialización.</x:v>
      </x:c>
      <x:c r="F2" s="383" t="str">
        <x:v>Auditoría nivel por nivel de las tres rutas TRL presentes en la calculadora CEDIA: Tecnología/Producto, Software y Farmacéutico. «Ajustar» no significa que el nivel esté mal; significa que la redacción o el criterio debe separarse mejor de mercado, versión de producto o comercialización.</x:v>
      </x:c>
      <x:c r="G2" s="383" t="str">
        <x:v>Auditoría nivel por nivel de las tres rutas TRL presentes en la calculadora CEDIA: Tecnología/Producto, Software y Farmacéutico. «Ajustar» no significa que el nivel esté mal; significa que la redacción o el criterio debe separarse mejor de mercado, versión de producto o comercialización.</x:v>
      </x:c>
    </x:row>
    <x:row r="4">
      <x:c r="A4" s="370" t="str">
        <x:v>A. TECNOLOGÍA / PRODUCTO</x:v>
      </x:c>
      <x:c r="B4" s="370" t="str">
        <x:v>A. TECNOLOGÍA / PRODUCTO</x:v>
      </x:c>
      <x:c r="C4" s="370" t="str">
        <x:v>A. TECNOLOGÍA / PRODUCTO</x:v>
      </x:c>
      <x:c r="D4" s="370" t="str">
        <x:v>A. TECNOLOGÍA / PRODUCTO</x:v>
      </x:c>
      <x:c r="E4" s="370" t="str">
        <x:v>A. TECNOLOGÍA / PRODUCTO</x:v>
      </x:c>
      <x:c r="F4" s="370" t="str">
        <x:v>A. TECNOLOGÍA / PRODUCTO</x:v>
      </x:c>
      <x:c r="G4" s="370" t="str">
        <x:v>A. TECNOLOGÍA / PRODUCTO</x:v>
      </x:c>
      <x:c r="I4" s="381" t="str">
        <x:v>RESUMEN AUDITORÍA</x:v>
      </x:c>
      <x:c r="J4" s="381" t="str">
        <x:v>RESULTADO</x:v>
      </x:c>
      <x:c r="K4" s="381" t="str">
        <x:v>LECTURA</x:v>
      </x:c>
    </x:row>
    <x:row r="5">
      <x:c r="A5" s="386" t="str">
        <x:v>TRL</x:v>
      </x:c>
      <x:c r="B5" s="386" t="str">
        <x:v>CRITERIO CEDIA ACTUAL</x:v>
      </x:c>
      <x:c r="C5" s="386" t="str">
        <x:v>REFERENCIA INTERNACIONAL</x:v>
      </x:c>
      <x:c r="D5" s="386" t="str">
        <x:v>ALINEACIÓN</x:v>
      </x:c>
      <x:c r="E5" s="386" t="str">
        <x:v>HALLAZGO</x:v>
      </x:c>
      <x:c r="F5" s="386" t="str">
        <x:v>DECISIÓN RECOMENDADA</x:v>
      </x:c>
      <x:c r="G5" s="386" t="str">
        <x:v>FUENTE PRINCIPAL</x:v>
      </x:c>
      <x:c r="I5" s="207" t="str">
        <x:v>Tecnología/Producto</x:v>
      </x:c>
      <x:c r="J5" s="207" t="str">
        <x:v>Base sólida, requiere ajustes en TRL3, 5, 7, 8 y 9.</x:v>
      </x:c>
      <x:c r="K5" s="207" t="str">
        <x:v>Mayor problema: mezcla madurez técnica con mercado/usuarios.</x:v>
      </x:c>
    </x:row>
    <x:row r="6">
      <x:c r="A6" s="388" t="n">
        <x:v>1</x:v>
      </x:c>
      <x:c r="B6" s="207" t="str">
        <x:v>Solo se han identificado principios básicos y una posible solución.</x:v>
      </x:c>
      <x:c r="C6" s="207" t="str">
        <x:v>Principios básicos observados; la aplicación/concepto se formula en TRL2.</x:v>
      </x:c>
      <x:c r="D6" s="207" t="str">
        <x:v>Alta con ajuste menor</x:v>
      </x:c>
      <x:c r="E6" s="207" t="str">
        <x:v>«Posible solución» puede acercarse a TRL2 si ya está formulada.</x:v>
      </x:c>
      <x:c r="F6" s="207" t="str">
        <x:v>Mantener principios básicos como núcleo; evitar exigir una solución formulada para permanecer en TRL1.</x:v>
      </x:c>
      <x:c r="G6" s="207" t="str">
        <x:v>NASA + Comisión Europea + DOE</x:v>
      </x:c>
      <x:c r="I6" s="207" t="str">
        <x:v>Software</x:v>
      </x:c>
      <x:c r="J6" s="207" t="str">
        <x:v>Requiere ajuste importante.</x:v>
      </x:c>
      <x:c r="K6" s="207" t="str">
        <x:v>Las etiquetas alfa/beta/mercado no sustituyen entorno, integración, V&amp;V y operación.</x:v>
      </x:c>
    </x:row>
    <x:row r="7">
      <x:c r="A7" s="388" t="n">
        <x:v>2</x:v>
      </x:c>
      <x:c r="B7" s="207" t="str">
        <x:v>Formulación de hipótesis detalladas y diseño de un modelo conceptual básico.</x:v>
      </x:c>
      <x:c r="C7" s="207" t="str">
        <x:v>Concepto y/o aplicación formulada; factibilidad descrita, todavía sin PoC experimental suficiente.</x:v>
      </x:c>
      <x:c r="D7" s="207" t="str">
        <x:v>Alta</x:v>
      </x:c>
      <x:c r="E7" s="207" t="str">
        <x:v>La formulación de hipótesis/modelo conceptual encaja bien.</x:v>
      </x:c>
      <x:c r="F7" s="207" t="str">
        <x:v>Mantener; añadir evidencia documental de concepto, aplicación y factibilidad.</x:v>
      </x:c>
      <x:c r="G7" s="207" t="str">
        <x:v>NASA + Comisión Europea + DOE</x:v>
      </x:c>
      <x:c r="I7" s="207" t="str">
        <x:v>Farmacéutico</x:v>
      </x:c>
      <x:c r="J7" s="207" t="str">
        <x:v>Alineación internacional alta.</x:v>
      </x:c>
      <x:c r="K7" s="207" t="str">
        <x:v>La adaptación sectorial CEDIA coincide bien con el recorrido preclínico–clínico–registro.</x:v>
      </x:c>
    </x:row>
    <x:row r="8">
      <x:c r="A8" s="388" t="n">
        <x:v>3</x:v>
      </x:c>
      <x:c r="B8" s="207" t="str">
        <x:v>Creación de un prototipo básico y validación en laboratorio de su funcionalidad básica.</x:v>
      </x:c>
      <x:c r="C8" s="207" t="str">
        <x:v>Prueba de concepto analítica/experimental de función crítica; no requiere todavía un prototipo funcional integrado.</x:v>
      </x:c>
      <x:c r="D8" s="207" t="str">
        <x:v>Ajustar</x:v>
      </x:c>
      <x:c r="E8" s="207" t="str">
        <x:v>CEDIA exige «prototipo básico + validación en laboratorio», lo que puede invadir TRL4.</x:v>
      </x:c>
      <x:c r="F8" s="207" t="str">
        <x:v>Reformular como PoC analítica/experimental; permitir prototipo no integrado o funcionalidad limitada.</x:v>
      </x:c>
      <x:c r="G8" s="207" t="str">
        <x:v>NASA + Comisión Europea + DOE</x:v>
      </x:c>
      <x:c r="I8" s="207" t="str">
        <x:v>Financiamiento</x:v>
      </x:c>
      <x:c r="J8" s="207" t="str">
        <x:v>No es TRL técnico.</x:v>
      </x:c>
      <x:c r="K8" s="207" t="str">
        <x:v>Mover a readiness financiera/recursos.</x:v>
      </x:c>
    </x:row>
    <x:row r="9">
      <x:c r="A9" s="388" t="n">
        <x:v>4</x:v>
      </x:c>
      <x:c r="B9" s="207" t="str">
        <x:v>Prototipo funcional probado en laboratorio y listo para pruebas simuladas avanzadas.</x:v>
      </x:c>
      <x:c r="C9" s="207" t="str">
        <x:v>Componente/breadboard validado en laboratorio.</x:v>
      </x:c>
      <x:c r="D9" s="207" t="str">
        <x:v>Alta</x:v>
      </x:c>
      <x:c r="E9" s="207" t="str">
        <x:v>El prototipo funcional probado en laboratorio es coherente.</x:v>
      </x:c>
      <x:c r="F9" s="207" t="str">
        <x:v>Mantener; exigir evidencia documentada de pruebas y definición del entorno relevante futuro.</x:v>
      </x:c>
      <x:c r="G9" s="207" t="str">
        <x:v>NASA + Comisión Europea + DOE</x:v>
      </x:c>
      <x:c r="I9" s="207" t="str">
        <x:v>Propiedad intelectual</x:v>
      </x:c>
      <x:c r="J9" s="207" t="str">
        <x:v>No es TRL técnico.</x:v>
      </x:c>
      <x:c r="K9" s="207" t="str">
        <x:v>Mover a readiness de PI/comercial.</x:v>
      </x:c>
    </x:row>
    <x:row r="10">
      <x:c r="A10" s="388" t="n">
        <x:v>5</x:v>
      </x:c>
      <x:c r="B10" s="207" t="str">
        <x:v>El prototipo ha sido validado en un entorno controlado con simulaciones detalladas, analizando su desempeño bajo condiciones experimentales representativas.</x:v>
      </x:c>
      <x:c r="C10" s="207" t="str">
        <x:v>Validación de componente/proceso en entorno relevante.</x:v>
      </x:c>
      <x:c r="D10" s="207" t="str">
        <x:v>Parcial</x:v>
      </x:c>
      <x:c r="E10" s="207" t="str">
        <x:v>«Entorno controlado con simulaciones» solo equivale a TRL5 si representa de forma verificable el entorno relevante.</x:v>
      </x:c>
      <x:c r="F10" s="207" t="str">
        <x:v>Sustituir «controlado» por «relevante o simulación de alta fidelidad del entorno relevante» y exigir trazabilidad de condiciones.</x:v>
      </x:c>
      <x:c r="G10" s="207" t="str">
        <x:v>NASA + Comisión Europea + DOE</x:v>
      </x:c>
      <x:c r="I10" s="207" t="str">
        <x:v>Validación con usuarios</x:v>
      </x:c>
      <x:c r="J10" s="207" t="str">
        <x:v>Mixta.</x:v>
      </x:c>
      <x:c r="K10" s="207" t="str">
        <x:v>Separar validación operacional de aceptación comercial.</x:v>
      </x:c>
    </x:row>
    <x:row r="11">
      <x:c r="A11" s="388" t="n">
        <x:v>6</x:v>
      </x:c>
      <x:c r="B11" s="207" t="str">
        <x:v>El prototipo ha sido probado en un entorno relevante que simula condiciones reales de uso, evaluando su funcionalidad y viabilidad técnica</x:v>
      </x:c>
      <x:c r="C11" s="207" t="str">
        <x:v>Prototipo/modelo de sistema demostrado en entorno relevante.</x:v>
      </x:c>
      <x:c r="D11" s="207" t="str">
        <x:v>Alta</x:v>
      </x:c>
      <x:c r="E11" s="207" t="str">
        <x:v>El criterio CEDIA coincide en esencia.</x:v>
      </x:c>
      <x:c r="F11" s="207" t="str">
        <x:v>Mantener; reforzar alta fidelidad, integración y desempeño bajo condiciones críticas.</x:v>
      </x:c>
      <x:c r="G11" s="207" t="str">
        <x:v>NASA + Comisión Europea + DOE</x:v>
      </x:c>
      <x:c r="I11" s="207" t="str">
        <x:v>Regla para la calculadora</x:v>
      </x:c>
      <x:c r="J11" s="207" t="str">
        <x:v>Nivel + evidencia + entorno + siguiente criterio.</x:v>
      </x:c>
      <x:c r="K11" s="207" t="str">
        <x:v>No devolver solo un número.</x:v>
      </x:c>
    </x:row>
    <x:row r="12">
      <x:c r="A12" s="388" t="n">
        <x:v>7</x:v>
      </x:c>
      <x:c r="B12" s="207" t="str">
        <x:v>Prototipo probado en entornos operativos reales que simulan el uso final, con validación preliminar realizada con usuarios clave y expertos del sector</x:v>
      </x:c>
      <x:c r="C12" s="207" t="str">
        <x:v>Prototipo de sistema demostrado en entorno operacional.</x:v>
      </x:c>
      <x:c r="D12" s="207" t="str">
        <x:v>Parcial</x:v>
      </x:c>
      <x:c r="E12" s="207" t="str">
        <x:v>La frase «entornos operativos reales que simulan el uso final» mezcla real y simulado.</x:v>
      </x:c>
      <x:c r="F12" s="207" t="str">
        <x:v>Exigir demostración en entorno operacional real o equivalente plenamente representativo; la validación de usuarios es evidencia complementaria.</x:v>
      </x:c>
      <x:c r="G12" s="207" t="str">
        <x:v>NASA + Comisión Europea + DOE</x:v>
      </x:c>
      <x:c r="I12" s="207" t="str">
        <x:v>Estado</x:v>
      </x:c>
      <x:c r="J12" s="207" t="str">
        <x:v>Benchmark externo completado.</x:v>
      </x:c>
      <x:c r="K12" s="207" t="str">
        <x:v>Todavía falta recalibrar fórmula/pesos del TRL CEDIA.</x:v>
      </x:c>
    </x:row>
    <x:row r="13">
      <x:c r="A13" s="388" t="n">
        <x:v>8</x:v>
      </x:c>
      <x:c r="B13" s="207" t="str">
        <x:v>Producto validado por clientes o usuarios en condiciones reales; cercano a su disponibilidad en el mercado.</x:v>
      </x:c>
      <x:c r="C13" s="207" t="str">
        <x:v>Sistema completo y calificado mediante test/demostración; configuración final, V&amp;V y documentación.</x:v>
      </x:c>
      <x:c r="D13" s="207" t="str">
        <x:v>Ajustar</x:v>
      </x:c>
      <x:c r="E13" s="207" t="str">
        <x:v>Validación por clientes y cercanía al mercado no bastan para TRL8.</x:v>
      </x:c>
      <x:c r="F13" s="207" t="str">
        <x:v>Añadir sistema final completo, qualification/V&amp;V y cumplimiento de requisitos; mover aceptación comercial a CRL.</x:v>
      </x:c>
      <x:c r="G13" s="207" t="str">
        <x:v>NASA + Comisión Europea + DOE</x:v>
      </x:c>
    </x:row>
    <x:row r="14">
      <x:c r="A14" s="388" t="n">
        <x:v>9</x:v>
      </x:c>
      <x:c r="B14" s="207" t="str">
        <x:v>Producto totalmente disponible en el mercado y aceptado por los usuarios finales.</x:v>
      </x:c>
      <x:c r="C14" s="207" t="str">
        <x:v>Sistema real probado en operación exitosa.</x:v>
      </x:c>
      <x:c r="D14" s="207" t="str">
        <x:v>Ajustar crítico</x:v>
      </x:c>
      <x:c r="E14" s="207" t="str">
        <x:v>«Disponible en mercado y aceptado» mide adopción/comercialización, no madurez tecnológica por sí sola.</x:v>
      </x:c>
      <x:c r="F14" s="207" t="str">
        <x:v>TRL9 = funcionamiento probado en entorno operacional real; mercado/aceptación debe evaluarse en CRL/otra dimensión comercial.</x:v>
      </x:c>
      <x:c r="G14" s="207" t="str">
        <x:v>NASA + Comisión Europea + DOE</x:v>
      </x:c>
    </x:row>
    <x:row r="17">
      <x:c r="A17" s="370" t="str">
        <x:v>B. SOFTWARE</x:v>
      </x:c>
      <x:c r="B17" s="370" t="str">
        <x:v>B. SOFTWARE</x:v>
      </x:c>
      <x:c r="C17" s="370" t="str">
        <x:v>B. SOFTWARE</x:v>
      </x:c>
      <x:c r="D17" s="370" t="str">
        <x:v>B. SOFTWARE</x:v>
      </x:c>
      <x:c r="E17" s="370" t="str">
        <x:v>B. SOFTWARE</x:v>
      </x:c>
      <x:c r="F17" s="370" t="str">
        <x:v>B. SOFTWARE</x:v>
      </x:c>
      <x:c r="G17" s="370" t="str">
        <x:v>B. SOFTWARE</x:v>
      </x:c>
    </x:row>
    <x:row r="18">
      <x:c r="A18" s="386" t="str">
        <x:v>TRL</x:v>
      </x:c>
      <x:c r="B18" s="386" t="str">
        <x:v>CRITERIO CEDIA ACTUAL</x:v>
      </x:c>
      <x:c r="C18" s="386" t="str">
        <x:v>REFERENCIA INTERNACIONAL</x:v>
      </x:c>
      <x:c r="D18" s="386" t="str">
        <x:v>ALINEACIÓN</x:v>
      </x:c>
      <x:c r="E18" s="386" t="str">
        <x:v>HALLAZGO</x:v>
      </x:c>
      <x:c r="F18" s="386" t="str">
        <x:v>DECISIÓN RECOMENDADA</x:v>
      </x:c>
      <x:c r="G18" s="386" t="str">
        <x:v>FUENTE PRINCIPAL</x:v>
      </x:c>
    </x:row>
    <x:row r="19">
      <x:c r="A19" s="388" t="n">
        <x:v>1</x:v>
      </x:c>
      <x:c r="B19" s="207" t="str">
        <x:v>Solo existe un concepto o una idea inicial del software, sin desarrollo de script ni funcionalidades.</x:v>
      </x:c>
      <x:c r="C19" s="207" t="str">
        <x:v>NASA: conocimiento científico que sustenta arquitectura/propiedades matemáticas del software.</x:v>
      </x:c>
      <x:c r="D19" s="207" t="str">
        <x:v>Ajustar</x:v>
      </x:c>
      <x:c r="E19" s="207" t="str">
        <x:v>«Concepto o idea inicial» ya se acerca a TRL2; falta base técnica/arquitectónica.</x:v>
      </x:c>
      <x:c r="F19" s="207" t="str">
        <x:v>TRL1 software: principios, propiedades/arquitectura y formulación matemática observadas/documentadas.</x:v>
      </x:c>
      <x:c r="G19" s="207" t="str">
        <x:v>NASA NPR 7123.1D — software</x:v>
      </x:c>
    </x:row>
    <x:row r="20">
      <x:c r="A20" s="388" t="n">
        <x:v>2</x:v>
      </x:c>
      <x:c r="B20" s="207" t="str">
        <x:v>Concepto definido y algunas funciones básicas de prueba en un prototipo mínimo.</x:v>
      </x:c>
      <x:c r="C20" s="207" t="str">
        <x:v>NASA: aplicación formulada; algoritmos/representaciones definidos, principios codificados y ensayos con datos sintéticos.</x:v>
      </x:c>
      <x:c r="D20" s="207" t="str">
        <x:v>Parcial</x:v>
      </x:c>
      <x:c r="E20" s="207" t="str">
        <x:v>CEDIA ya pide prototipo mínimo; puede ser más avanzado que el nivel internacional.</x:v>
      </x:c>
      <x:c r="F20" s="207" t="str">
        <x:v>Permitir código básico/experimentos exploratorios sin exigir todavía prototipo mínimo integrado.</x:v>
      </x:c>
      <x:c r="G20" s="207" t="str">
        <x:v>NASA NPR 7123.1D — software</x:v>
      </x:c>
    </x:row>
    <x:row r="21">
      <x:c r="A21" s="388" t="n">
        <x:v>3</x:v>
      </x:c>
      <x:c r="B21" s="207" t="str">
        <x:v>Script inicial y funciones básicas desarrolladas para resolver el problema deseado.</x:v>
      </x:c>
      <x:c r="C21" s="207" t="str">
        <x:v>NASA: funcionalidad limitada para validar propiedades críticas y predicciones con componentes no integrados.</x:v>
      </x:c>
      <x:c r="D21" s="207" t="str">
        <x:v>Alta</x:v>
      </x:c>
      <x:c r="E21" s="207" t="str">
        <x:v>Script inicial y funciones básicas encajan con PoC.</x:v>
      </x:c>
      <x:c r="F21" s="207" t="str">
        <x:v>Mantener; añadir evidencia de que valida propiedades críticas del concepto.</x:v>
      </x:c>
      <x:c r="G21" s="207" t="str">
        <x:v>NASA NPR 7123.1D — software</x:v>
      </x:c>
    </x:row>
    <x:row r="22">
      <x:c r="A22" s="388" t="n">
        <x:v>4</x:v>
      </x:c>
      <x:c r="B22" s="207" t="str">
        <x:v>Versión alfa del software probada internamente por el equipo de desarrollo.</x:v>
      </x:c>
      <x:c r="C22" s="207" t="str">
        <x:v>NASA: componentes críticos integrados y validados funcionalmente; empieza arquitectura e interoperabilidad.</x:v>
      </x:c>
      <x:c r="D22" s="207" t="str">
        <x:v>Parcial</x:v>
      </x:c>
      <x:c r="E22" s="207" t="str">
        <x:v>«Versión alfa interna» es etiqueta de producto, no criterio técnico suficiente.</x:v>
      </x:c>
      <x:c r="F22" s="207" t="str">
        <x:v>Reemplazar/acompañar alfa con integración de componentes críticos, interoperabilidad y pruebas de laboratorio.</x:v>
      </x:c>
      <x:c r="G22" s="207" t="str">
        <x:v>NASA NPR 7123.1D — software</x:v>
      </x:c>
    </x:row>
    <x:row r="23">
      <x:c r="A23" s="388" t="n">
        <x:v>5</x:v>
      </x:c>
      <x:c r="B23" s="207" t="str">
        <x:v>Versión alfa con funcionalidades probadas por personas ajenas al equipo.</x:v>
      </x:c>
      <x:c r="C23" s="207" t="str">
        <x:v>NASA: software end-to-end implementado/interfazado y probado en entorno relevante.</x:v>
      </x:c>
      <x:c r="D23" s="207" t="str">
        <x:v>Ajustar</x:v>
      </x:c>
      <x:c r="E23" s="207" t="str">
        <x:v>Probar con personas externas no demuestra por sí solo entorno relevante ni integración.</x:v>
      </x:c>
      <x:c r="F23" s="207" t="str">
        <x:v>Exigir end-to-end + interfaces + pruebas en entorno relevante; testers externos quedan como evidencia adicional.</x:v>
      </x:c>
      <x:c r="G23" s="207" t="str">
        <x:v>NASA NPR 7123.1D — software</x:v>
      </x:c>
    </x:row>
    <x:row r="24">
      <x:c r="A24" s="388" t="n">
        <x:v>6</x:v>
      </x:c>
      <x:c r="B24" s="207" t="str">
        <x:v>Versión beta probada por usuarios finales seleccionados en modo controlado.</x:v>
      </x:c>
      <x:c r="C24" s="207" t="str">
        <x:v>NASA: prototipo en problemas realistas a escala, parcialmente integrado con sistemas existentes.</x:v>
      </x:c>
      <x:c r="D24" s="207" t="str">
        <x:v>Parcial</x:v>
      </x:c>
      <x:c r="E24" s="207" t="str">
        <x:v>Beta controlada con usuarios puede aportar evidencia, pero falta integración/entorno relevante.</x:v>
      </x:c>
      <x:c r="F24" s="207" t="str">
        <x:v>Añadir problemas realistas, integración parcial y desempeño en entorno relevante.</x:v>
      </x:c>
      <x:c r="G24" s="207" t="str">
        <x:v>NASA NPR 7123.1D — software</x:v>
      </x:c>
    </x:row>
    <x:row r="25">
      <x:c r="A25" s="388" t="n">
        <x:v>7</x:v>
      </x:c>
      <x:c r="B25" s="207" t="str">
        <x:v>Versión beta abierta a usuarios finales para pruebas de funcionalidad.</x:v>
      </x:c>
      <x:c r="C25" s="207" t="str">
        <x:v>NASA: todas las funciones clave disponibles, integración con sistemas operacionales y demostración de factibilidad operacional.</x:v>
      </x:c>
      <x:c r="D25" s="207" t="str">
        <x:v>Ajustar</x:v>
      </x:c>
      <x:c r="E25" s="207" t="str">
        <x:v>Beta abierta no garantiza entorno operacional ni integración.</x:v>
      </x:c>
      <x:c r="F25" s="207" t="str">
        <x:v>TRL7 software = prototipo integrado demostrado operacionalmente; beta abierta solo es evidencia complementaria.</x:v>
      </x:c>
      <x:c r="G25" s="207" t="str">
        <x:v>NASA NPR 7123.1D — software</x:v>
      </x:c>
    </x:row>
    <x:row r="26">
      <x:c r="A26" s="388" t="n">
        <x:v>8</x:v>
      </x:c>
      <x:c r="B26" s="207" t="str">
        <x:v>Versión estable disponible en el mercado con todas las funcionalidades.</x:v>
      </x:c>
      <x:c r="C26" s="207" t="str">
        <x:v>NASA: software depurado, totalmente integrado, V&amp;V completa y documentación de usuario/mantenimiento terminada.</x:v>
      </x:c>
      <x:c r="D26" s="207" t="str">
        <x:v>Ajustar</x:v>
      </x:c>
      <x:c r="E26" s="207" t="str">
        <x:v>«Versión estable en mercado» no demuestra qualification/V&amp;V.</x:v>
      </x:c>
      <x:c r="F26" s="207" t="str">
        <x:v>Añadir integración total, V&amp;V, documentación y demostración de todas las funciones; mercado pertenece a CRL.</x:v>
      </x:c>
      <x:c r="G26" s="207" t="str">
        <x:v>NASA NPR 7123.1D — software</x:v>
      </x:c>
    </x:row>
    <x:row r="27">
      <x:c r="A27" s="388" t="n">
        <x:v>9</x:v>
      </x:c>
      <x:c r="B27" s="207" t="str">
        <x:v>Versión estable disponible en el mercado con plan de negocio completo.</x:v>
      </x:c>
      <x:c r="C27" s="207" t="str">
        <x:v>NASA: software operado exitosamente en entorno operacional, con soporte/sostenimiento.</x:v>
      </x:c>
      <x:c r="D27" s="207" t="str">
        <x:v>Ajustar crítico</x:v>
      </x:c>
      <x:c r="E27" s="207" t="str">
        <x:v>Plan de negocio no es criterio TRL.</x:v>
      </x:c>
      <x:c r="F27" s="207" t="str">
        <x:v>TRL9 software = operación real exitosa + integración y soporte; mover plan de negocio a CRL/modelo de negocio.</x:v>
      </x:c>
      <x:c r="G27" s="207" t="str">
        <x:v>NASA NPR 7123.1D — software</x:v>
      </x:c>
    </x:row>
    <x:row r="30">
      <x:c r="A30" s="370" t="str">
        <x:v>C. FARMACÉUTICO</x:v>
      </x:c>
      <x:c r="B30" s="370" t="str">
        <x:v>C. FARMACÉUTICO</x:v>
      </x:c>
      <x:c r="C30" s="370" t="str">
        <x:v>C. FARMACÉUTICO</x:v>
      </x:c>
      <x:c r="D30" s="370" t="str">
        <x:v>C. FARMACÉUTICO</x:v>
      </x:c>
      <x:c r="E30" s="370" t="str">
        <x:v>C. FARMACÉUTICO</x:v>
      </x:c>
      <x:c r="F30" s="370" t="str">
        <x:v>C. FARMACÉUTICO</x:v>
      </x:c>
      <x:c r="G30" s="370" t="str">
        <x:v>C. FARMACÉUTICO</x:v>
      </x:c>
    </x:row>
    <x:row r="31">
      <x:c r="A31" s="386" t="str">
        <x:v>TRL</x:v>
      </x:c>
      <x:c r="B31" s="386" t="str">
        <x:v>CRITERIO CEDIA ACTUAL</x:v>
      </x:c>
      <x:c r="C31" s="386" t="str">
        <x:v>REFERENCIA INTERNACIONAL</x:v>
      </x:c>
      <x:c r="D31" s="386" t="str">
        <x:v>ALINEACIÓN</x:v>
      </x:c>
      <x:c r="E31" s="386" t="str">
        <x:v>HALLAZGO</x:v>
      </x:c>
      <x:c r="F31" s="386" t="str">
        <x:v>DECISIÓN RECOMENDADA</x:v>
      </x:c>
      <x:c r="G31" s="386" t="str">
        <x:v>FUENTE PRINCIPAL</x:v>
      </x:c>
    </x:row>
    <x:row r="32">
      <x:c r="A32" s="388" t="n">
        <x:v>1</x:v>
      </x:c>
      <x:c r="B32" s="207" t="str">
        <x:v>Solo se han identificado principios básicos y formulado hipótesis sobre posibles mecanismos de acción, sin pruebas experimentales.</x:v>
      </x:c>
      <x:c r="C32" s="207" t="str">
        <x:v>EURAXESS: hallazgos científicos revisados como base de la tecnología.</x:v>
      </x:c>
      <x:c r="D32" s="207" t="str">
        <x:v>Alta con ajuste menor</x:v>
      </x:c>
      <x:c r="E32" s="207" t="str">
        <x:v>CEDIA ya formula hipótesis; puede rozar TRL2 según grado de definición.</x:v>
      </x:c>
      <x:c r="F32" s="207" t="str">
        <x:v>Mantener principios/hallazgos como núcleo y dejar hipótesis detalladas para TRL2.</x:v>
      </x:c>
      <x:c r="G32" s="207" t="str">
        <x:v>EURAXESS / Comisión Europea</x:v>
      </x:c>
    </x:row>
    <x:row r="33">
      <x:c r="A33" s="388" t="n">
        <x:v>2</x:v>
      </x:c>
      <x:c r="B33" s="207" t="str">
        <x:v>Se han formulado hipótesis detalladas y definido experimentos preliminares</x:v>
      </x:c>
      <x:c r="C33" s="207" t="str">
        <x:v>EURAXESS: idea de investigación, hipótesis y estudios preliminares.</x:v>
      </x:c>
      <x:c r="D33" s="207" t="str">
        <x:v>Alta</x:v>
      </x:c>
      <x:c r="E33" s="207" t="str">
        <x:v>Alineación clara.</x:v>
      </x:c>
      <x:c r="F33" s="207" t="str">
        <x:v>Mantener.</x:v>
      </x:c>
      <x:c r="G33" s="207" t="str">
        <x:v>EURAXESS / Comisión Europea</x:v>
      </x:c>
    </x:row>
    <x:row r="34">
      <x:c r="A34" s="388" t="n">
        <x:v>3</x:v>
      </x:c>
      <x:c r="B34" s="207" t="str">
        <x:v>Se ha actualizado el modelo conceptual y realizado estudios iniciales in vitro o in vivo para evaluar el producto en desarrollo  y sus mecanismos de acción.</x:v>
      </x:c>
      <x:c r="C34" s="207" t="str">
        <x:v>EURAXESS: diseño/proof of concept con estudios limitados in vitro/in vivo.</x:v>
      </x:c>
      <x:c r="D34" s="207" t="str">
        <x:v>Alta</x:v>
      </x:c>
      <x:c r="E34" s="207" t="str">
        <x:v>Alineación fuerte.</x:v>
      </x:c>
      <x:c r="F34" s="207" t="str">
        <x:v>Mantener y explicitar que la evidencia demuestra el PoC inicial.</x:v>
      </x:c>
      <x:c r="G34" s="207" t="str">
        <x:v>EURAXESS / Comisión Europea</x:v>
      </x:c>
    </x:row>
    <x:row r="35">
      <x:c r="A35" s="388" t="n">
        <x:v>4</x:v>
      </x:c>
      <x:c r="B35" s="207" t="str">
        <x:v>Se han completado estudios exploratorios bajo Buenas Prácticas de Laboratorio (GLP), y se ha caracterizado la seguridad inicial y la toxicidad en modelos animales.</x:v>
      </x:c>
      <x:c r="C35" s="207" t="str">
        <x:v>EURAXESS: primeros estudios preclínicos; seguridad/toxicidad en modelos animales y PoC.</x:v>
      </x:c>
      <x:c r="D35" s="207" t="str">
        <x:v>Alta</x:v>
      </x:c>
      <x:c r="E35" s="207" t="str">
        <x:v>Alineación fuerte.</x:v>
      </x:c>
      <x:c r="F35" s="207" t="str">
        <x:v>Mantener; GLP puede mantenerse como requisito sectorial cuando corresponda.</x:v>
      </x:c>
      <x:c r="G35" s="207" t="str">
        <x:v>EURAXESS / Comisión Europea</x:v>
      </x:c>
    </x:row>
    <x:row r="36">
      <x:c r="A36" s="388" t="n">
        <x:v>5</x:v>
      </x:c>
      <x:c r="B36" s="207" t="str">
        <x:v>Se ha seleccionado un producto candidato definitivo y se han completado estudios farmacocinéticos y farmacodinámicos en animales. Producción de lotes piloto bajo GMP.</x:v>
      </x:c>
      <x:c r="C36" s="207" t="str">
        <x:v>EURAXESS: lote piloto/candidato, estudios GLP de seguridad/toxicidad y preparación de protocolos de Fase 1.</x:v>
      </x:c>
      <x:c r="D36" s="207" t="str">
        <x:v>Alta/Parcial</x:v>
      </x:c>
      <x:c r="E36" s="207" t="str">
        <x:v>CEDIA enfatiza PK/PD y GMP; es compatible, pero conviene incluir preparación regulatoria/protocolo clínico.</x:v>
      </x:c>
      <x:c r="F36" s="207" t="str">
        <x:v>Mantener y añadir evidencia de preparación para Fase 1/IND o equivalente regulatorio.</x:v>
      </x:c>
      <x:c r="G36" s="207" t="str">
        <x:v>EURAXESS / Comisión Europea</x:v>
      </x:c>
    </x:row>
    <x:row r="37">
      <x:c r="A37" s="388" t="n">
        <x:v>6</x:v>
      </x:c>
      <x:c r="B37" s="207" t="str">
        <x:v>Se ha completado Fase 1 en humanos, evaluando la seguridad y toxicidad en humanos con ajuste de dosis preliminar.</x:v>
      </x:c>
      <x:c r="C37" s="207" t="str">
        <x:v>EURAXESS: Fase 1 en humanos para seguridad.</x:v>
      </x:c>
      <x:c r="D37" s="207" t="str">
        <x:v>Alta</x:v>
      </x:c>
      <x:c r="E37" s="207" t="str">
        <x:v>Coincidencia directa.</x:v>
      </x:c>
      <x:c r="F37" s="207" t="str">
        <x:v>Mantener.</x:v>
      </x:c>
      <x:c r="G37" s="207" t="str">
        <x:v>EURAXESS / Comisión Europea</x:v>
      </x:c>
    </x:row>
    <x:row r="38">
      <x:c r="A38" s="388" t="n">
        <x:v>7</x:v>
      </x:c>
      <x:c r="B38" s="207" t="str">
        <x:v>Se ha completado Fase 2, demostrando eficacia inicial en humanos, y se han analizado la dosis, frecuencia y ruta de administración.</x:v>
      </x:c>
      <x:c r="C38" s="207" t="str">
        <x:v>EURAXESS: Fase 2 para eficacia inicial.</x:v>
      </x:c>
      <x:c r="D38" s="207" t="str">
        <x:v>Alta</x:v>
      </x:c>
      <x:c r="E38" s="207" t="str">
        <x:v>Coincidencia directa.</x:v>
      </x:c>
      <x:c r="F38" s="207" t="str">
        <x:v>Mantener.</x:v>
      </x:c>
      <x:c r="G38" s="207" t="str">
        <x:v>EURAXESS / Comisión Europea</x:v>
      </x:c>
    </x:row>
    <x:row r="39">
      <x:c r="A39" s="388" t="n">
        <x:v>8</x:v>
      </x:c>
      <x:c r="B39" s="207" t="str">
        <x:v>Se ha completado Fase 3, documentando beneficios y riesgos, y se ha preparado el dossier técnico para la aprobación regulatoria del medicamento.</x:v>
      </x:c>
      <x:c r="C39" s="207" t="str">
        <x:v>EURAXESS: Fase 3 + preparación/sometimiento de registro.</x:v>
      </x:c>
      <x:c r="D39" s="207" t="str">
        <x:v>Alta</x:v>
      </x:c>
      <x:c r="E39" s="207" t="str">
        <x:v>Coincidencia directa.</x:v>
      </x:c>
      <x:c r="F39" s="207" t="str">
        <x:v>Mantener; distinguir fase clínica y dossier/registro.</x:v>
      </x:c>
      <x:c r="G39" s="207" t="str">
        <x:v>EURAXESS / Comisión Europea</x:v>
      </x:c>
    </x:row>
    <x:row r="40">
      <x:c r="A40" s="388" t="n">
        <x:v>9</x:v>
      </x:c>
      <x:c r="B40" s="207" t="str">
        <x:v>El medicamento ha sido aprobado por las autoridades reguladoras, se produce a escala comercial y se monitorea su seguridad a través de farmacovigilancia en el mercado.</x:v>
      </x:c>
      <x:c r="C40" s="207" t="str">
        <x:v>EURAXESS: fármaco distribuido/comercializado + vigilancia post-mercado.</x:v>
      </x:c>
      <x:c r="D40" s="207" t="str">
        <x:v>Alta sectorial</x:v>
      </x:c>
      <x:c r="E40" s="207" t="str">
        <x:v>Coincide con la adaptación farmacéutica sectorial.</x:v>
      </x:c>
      <x:c r="F40" s="207" t="str">
        <x:v>Mantener como adaptación farmacéutica; dejar claro que no es la definición genérica de TRL9 para todos los sectores.</x:v>
      </x:c>
      <x:c r="G40" s="207" t="str">
        <x:v>EURAXESS / Comisión Europea</x:v>
      </x:c>
    </x:row>
  </x:sheetData>
  <x:mergeCells>
    <x:mergeCell ref="A1:G1"/>
    <x:mergeCell ref="A2:G2"/>
    <x:mergeCell ref="A4:G4"/>
    <x:mergeCell ref="A17:G17"/>
    <x:mergeCell ref="A30:G30"/>
  </x:mergeCells>
  <x:conditionalFormatting sqref="D6:D14">
    <x:cfRule type="expression" dxfId="15" priority="1">
      <x:formula>LEFT(D6,4)="Alta"</x:formula>
    </x:cfRule>
    <x:cfRule type="expression" dxfId="16" priority="2">
      <x:formula>LEFT(D6,7)="Parcial"</x:formula>
    </x:cfRule>
    <x:cfRule type="expression" dxfId="17" priority="3">
      <x:formula>LEFT(D6,7)="Ajustar"</x:formula>
    </x:cfRule>
  </x:conditionalFormatting>
  <x:conditionalFormatting sqref="D19:D27">
    <x:cfRule type="expression" dxfId="18" priority="4">
      <x:formula>LEFT(D19,4)="Alta"</x:formula>
    </x:cfRule>
    <x:cfRule type="expression" dxfId="19" priority="5">
      <x:formula>LEFT(D19,7)="Parcial"</x:formula>
    </x:cfRule>
    <x:cfRule type="expression" dxfId="20" priority="6">
      <x:formula>LEFT(D19,7)="Ajustar"</x:formula>
    </x:cfRule>
  </x:conditionalFormatting>
  <x:conditionalFormatting sqref="D32:D40">
    <x:cfRule type="expression" dxfId="21" priority="7">
      <x:formula>LEFT(D32,4)="Alta"</x:formula>
    </x:cfRule>
    <x:cfRule type="expression" dxfId="22" priority="8">
      <x:formula>LEFT(D32,7)="Parcial"</x:formula>
    </x:cfRule>
    <x:cfRule type="expression" dxfId="23" priority="9">
      <x:formula>LEFT(D32,7)="Ajustar"</x:formula>
    </x:cfRule>
  </x:conditionalFormatting>
  <x:pageMargins left="0.7" right="0.7" top="0.75" bottom="0.75" header="0.3" footer="0.3"/>
</x:worksheet>
</file>

<file path=xl/worksheets/sheet25.xml><?xml version="1.0" encoding="utf-8"?>
<x:worksheet xmlns:x="http://schemas.openxmlformats.org/spreadsheetml/2006/main">
  <x:sheetFormatPr defaultRowHeight="15"/>
  <x:cols>
    <x:col min="1" max="1" width="20" hidden="0" customWidth="1"/>
    <x:col min="2" max="2" width="22" hidden="0" customWidth="1"/>
    <x:col min="3" max="3" width="22" hidden="0" customWidth="1"/>
    <x:col min="4" max="4" width="13" hidden="0" customWidth="1"/>
    <x:col min="5" max="5" width="34" hidden="0" customWidth="1"/>
    <x:col min="6" max="6" width="48" hidden="0" customWidth="1"/>
    <x:col min="7" max="7" width="42" hidden="0" customWidth="1"/>
    <x:col min="8" max="8" width="40" hidden="0" customWidth="1"/>
  </x:cols>
  <x:sheetData>
    <x:row r="1">
      <x:c r="A1" s="436" t="str">
        <x:v>24 — PORTAFOLIO FINAL PROPUESTO RUTA CEDIA</x:v>
      </x:c>
      <x:c r="B1" s="436" t="str">
        <x:v>24 — PORTAFOLIO FINAL PROPUESTO RUTA CEDIA</x:v>
      </x:c>
      <x:c r="C1" s="436" t="str">
        <x:v>24 — PORTAFOLIO FINAL PROPUESTO RUTA CEDIA</x:v>
      </x:c>
      <x:c r="D1" s="436" t="str">
        <x:v>24 — PORTAFOLIO FINAL PROPUESTO RUTA CEDIA</x:v>
      </x:c>
      <x:c r="E1" s="436" t="str">
        <x:v>24 — PORTAFOLIO FINAL PROPUESTO RUTA CEDIA</x:v>
      </x:c>
      <x:c r="F1" s="436" t="str">
        <x:v>24 — PORTAFOLIO FINAL PROPUESTO RUTA CEDIA</x:v>
      </x:c>
      <x:c r="G1" s="436" t="str">
        <x:v>24 — PORTAFOLIO FINAL PROPUESTO RUTA CEDIA</x:v>
      </x:c>
      <x:c r="H1" s="436" t="str">
        <x:v>24 — PORTAFOLIO FINAL PROPUESTO RUTA CEDIA</x:v>
      </x:c>
    </x:row>
    <x:row r="2" ht="44" customHeight="1">
      <x:c r="A2" s="428" t="str">
        <x:v>Propuesta para presentación: 26 herramientas actuales de CEDIA + 8 incorporaciones sustentadas en referentes internacionales. Las nuevas herramientas aparecen como PROPUESTA BENCHMARK y no deben comunicarse como oferta oficial hasta validación institucional.</x:v>
      </x:c>
      <x:c r="B2" s="428" t="str">
        <x:v>Propuesta para presentación: 26 herramientas actuales de CEDIA + 8 incorporaciones sustentadas en referentes internacionales. Las nuevas herramientas aparecen como PROPUESTA BENCHMARK y no deben comunicarse como oferta oficial hasta validación institucional.</x:v>
      </x:c>
      <x:c r="C2" s="428" t="str">
        <x:v>Propuesta para presentación: 26 herramientas actuales de CEDIA + 8 incorporaciones sustentadas en referentes internacionales. Las nuevas herramientas aparecen como PROPUESTA BENCHMARK y no deben comunicarse como oferta oficial hasta validación institucional.</x:v>
      </x:c>
      <x:c r="D2" s="428" t="str">
        <x:v>Propuesta para presentación: 26 herramientas actuales de CEDIA + 8 incorporaciones sustentadas en referentes internacionales. Las nuevas herramientas aparecen como PROPUESTA BENCHMARK y no deben comunicarse como oferta oficial hasta validación institucional.</x:v>
      </x:c>
      <x:c r="E2" s="428" t="str">
        <x:v>Propuesta para presentación: 26 herramientas actuales de CEDIA + 8 incorporaciones sustentadas en referentes internacionales. Las nuevas herramientas aparecen como PROPUESTA BENCHMARK y no deben comunicarse como oferta oficial hasta validación institucional.</x:v>
      </x:c>
      <x:c r="F2" s="428" t="str">
        <x:v>Propuesta para presentación: 26 herramientas actuales de CEDIA + 8 incorporaciones sustentadas en referentes internacionales. Las nuevas herramientas aparecen como PROPUESTA BENCHMARK y no deben comunicarse como oferta oficial hasta validación institucional.</x:v>
      </x:c>
      <x:c r="G2" s="428" t="str">
        <x:v>Propuesta para presentación: 26 herramientas actuales de CEDIA + 8 incorporaciones sustentadas en referentes internacionales. Las nuevas herramientas aparecen como PROPUESTA BENCHMARK y no deben comunicarse como oferta oficial hasta validación institucional.</x:v>
      </x:c>
      <x:c r="H2" s="428" t="str">
        <x:v>Propuesta para presentación: 26 herramientas actuales de CEDIA + 8 incorporaciones sustentadas en referentes internacionales. Las nuevas herramientas aparecen como PROPUESTA BENCHMARK y no deben comunicarse como oferta oficial hasta validación institucional.</x:v>
      </x:c>
    </x:row>
    <x:row r="4">
      <x:c r="A4" s="440" t="str">
        <x:v>Herramientas CEDIA actuales</x:v>
      </x:c>
      <x:c r="B4" s="440" t="n">
        <x:v>26</x:v>
      </x:c>
      <x:c r="C4" s="440" t="str">
        <x:v>Nuevas propuestas</x:v>
      </x:c>
      <x:c r="D4" s="440" t="n">
        <x:v>8</x:v>
      </x:c>
      <x:c r="E4" s="440" t="str">
        <x:v>Total portafolio</x:v>
      </x:c>
      <x:c r="F4" s="440" t="n">
        <x:v>34</x:v>
      </x:c>
      <x:c r="G4" s="440" t="str">
        <x:v>Fuentes internacionales principales</x:v>
      </x:c>
      <x:c r="H4" s="440" t="n">
        <x:v>3</x:v>
      </x:c>
    </x:row>
    <x:row r="5">
      <x:c r="A5" s="440" t="str">
        <x:v>Familias actuales</x:v>
      </x:c>
      <x:c r="B5" s="440" t="n">
        <x:v>6</x:v>
      </x:c>
      <x:c r="C5" s="440" t="str">
        <x:v>Nuevas familias</x:v>
      </x:c>
      <x:c r="D5" s="440" t="n">
        <x:v>4</x:v>
      </x:c>
      <x:c r="E5" s="440" t="str">
        <x:v>Reglas primarias</x:v>
      </x:c>
      <x:c r="F5" s="440" t="n">
        <x:v>34</x:v>
      </x:c>
      <x:c r="G5" s="440" t="str">
        <x:v>Casos de prueba nuevos</x:v>
      </x:c>
      <x:c r="H5" s="440" t="n">
        <x:v>8</x:v>
      </x:c>
    </x:row>
    <x:row r="8">
      <x:c r="A8" s="445" t="str">
        <x:v>ETAPA ORIENTATIVA</x:v>
      </x:c>
      <x:c r="B8" s="445" t="str">
        <x:v>ORIGEN</x:v>
      </x:c>
      <x:c r="C8" s="445" t="str">
        <x:v>FAMILIA</x:v>
      </x:c>
      <x:c r="D8" s="445" t="str">
        <x:v>ID</x:v>
      </x:c>
      <x:c r="E8" s="445" t="str">
        <x:v>HERRAMIENTA</x:v>
      </x:c>
      <x:c r="F8" s="445" t="str">
        <x:v>PARA QUÉ SIRVE</x:v>
      </x:c>
      <x:c r="G8" s="445" t="str">
        <x:v>EVIDENCIA / RESULTADO</x:v>
      </x:c>
      <x:c r="H8" s="445" t="str">
        <x:v>SUSTENTO</x:v>
      </x:c>
    </x:row>
    <x:row r="9">
      <x:c r="A9" s="334" t="str">
        <x:v>Entender</x:v>
      </x:c>
      <x:c r="B9" s="334" t="str">
        <x:v>CEDIA ACTUAL</x:v>
      </x:c>
      <x:c r="C9" s="334" t="str">
        <x:v>Ideación</x:v>
      </x:c>
      <x:c r="D9" s="334" t="str">
        <x:v>IDE-001</x:v>
      </x:c>
      <x:c r="E9" s="334" t="str">
        <x:v>Árbol de Problemas</x:v>
      </x:c>
      <x:c r="F9" s="334" t="str">
        <x:v>Investigar y analizar los elementos que influyen en una problemática, identificando y organizando causas y consecuencias.</x:v>
      </x:c>
      <x:c r="G9" s="334" t="str">
        <x:v>Árbol de Problemas completado.</x:v>
      </x:c>
      <x:c r="H9" s="334" t="str">
        <x:v>IDEACIÓN - ÁRBOL DE PROBLEMAS.pdf</x:v>
      </x:c>
    </x:row>
    <x:row r="10">
      <x:c r="A10" s="334" t="str">
        <x:v>Idear</x:v>
      </x:c>
      <x:c r="B10" s="334" t="str">
        <x:v>CEDIA ACTUAL</x:v>
      </x:c>
      <x:c r="C10" s="334" t="str">
        <x:v>Ideación</x:v>
      </x:c>
      <x:c r="D10" s="334" t="str">
        <x:v>IDE-002</x:v>
      </x:c>
      <x:c r="E10" s="334" t="str">
        <x:v>Brainstorming</x:v>
      </x:c>
      <x:c r="F10" s="334" t="str">
        <x:v>Generar ideas de manera sencilla aprovechando el pensamiento colectivo.</x:v>
      </x:c>
      <x:c r="G10" s="334" t="str">
        <x:v>Registro de ideas generadas y selección/priorización posterior.</x:v>
      </x:c>
      <x:c r="H10" s="334" t="str">
        <x:v>IDEACIÓN - Brainstorming.pdf</x:v>
      </x:c>
    </x:row>
    <x:row r="11">
      <x:c r="A11" s="334" t="str">
        <x:v>Entender</x:v>
      </x:c>
      <x:c r="B11" s="334" t="str">
        <x:v>CEDIA ACTUAL</x:v>
      </x:c>
      <x:c r="C11" s="334" t="str">
        <x:v>Ideación</x:v>
      </x:c>
      <x:c r="D11" s="334" t="str">
        <x:v>IDE-003</x:v>
      </x:c>
      <x:c r="E11" s="334" t="str">
        <x:v>Brief de investigación</x:v>
      </x:c>
      <x:c r="F11" s="334" t="str">
        <x:v>Recopilar datos clave para la organización mediante un plan de investigación estructurado.</x:v>
      </x:c>
      <x:c r="G11" s="334" t="str">
        <x:v>Brief de Investigación completado.</x:v>
      </x:c>
      <x:c r="H11" s="334" t="str">
        <x:v>IDEACIÓN - Brief de investigación.pdf</x:v>
      </x:c>
    </x:row>
    <x:row r="12">
      <x:c r="A12" s="334" t="str">
        <x:v>Entender</x:v>
      </x:c>
      <x:c r="B12" s="334" t="str">
        <x:v>CEDIA ACTUAL</x:v>
      </x:c>
      <x:c r="C12" s="334" t="str">
        <x:v>Ideación</x:v>
      </x:c>
      <x:c r="D12" s="334" t="str">
        <x:v>IDE-004</x:v>
      </x:c>
      <x:c r="E12" s="334" t="str">
        <x:v>Componentes de Preguntas Poderosas</x:v>
      </x:c>
      <x:c r="F12" s="334" t="str">
        <x:v>Diseñar preguntas efectivas para captar información valiosa de los usuarios.</x:v>
      </x:c>
      <x:c r="G12" s="334" t="str">
        <x:v>Matriz de Componentes de Preguntas Poderosas completada.</x:v>
      </x:c>
      <x:c r="H12" s="334" t="str">
        <x:v>IDEACIÓN - Componentes de Preguntas Poderosas.pdf</x:v>
      </x:c>
    </x:row>
    <x:row r="13">
      <x:c r="A13" s="334" t="str">
        <x:v>Entender</x:v>
      </x:c>
      <x:c r="B13" s="334" t="str">
        <x:v>CEDIA ACTUAL</x:v>
      </x:c>
      <x:c r="C13" s="334" t="str">
        <x:v>Ideación</x:v>
      </x:c>
      <x:c r="D13" s="334" t="str">
        <x:v>IDE-005</x:v>
      </x:c>
      <x:c r="E13" s="334" t="str">
        <x:v>Diagrama de Ishikawa</x:v>
      </x:c>
      <x:c r="F13" s="334" t="str">
        <x:v>Identificar las causas de un problema.</x:v>
      </x:c>
      <x:c r="G13" s="334" t="str">
        <x:v>Diagrama de Ishikawa completado.</x:v>
      </x:c>
      <x:c r="H13" s="334" t="str">
        <x:v>IDEACIÓN - Diagrama de Ishikawa.pdf</x:v>
      </x:c>
    </x:row>
    <x:row r="14">
      <x:c r="A14" s="334" t="str">
        <x:v>Idear</x:v>
      </x:c>
      <x:c r="B14" s="334" t="str">
        <x:v>CEDIA ACTUAL</x:v>
      </x:c>
      <x:c r="C14" s="334" t="str">
        <x:v>Ideación</x:v>
      </x:c>
      <x:c r="D14" s="334" t="str">
        <x:v>IDE-006</x:v>
      </x:c>
      <x:c r="E14" s="334" t="str">
        <x:v>How Might We</x:v>
      </x:c>
      <x:c r="F14" s="334" t="str">
        <x:v>Resolver un problema de manera innovadora a partir de insights detectados.</x:v>
      </x:c>
      <x:c r="G14" s="334" t="str">
        <x:v>Matriz de insights y preguntas «¿Cómo podríamos…?» completada.</x:v>
      </x:c>
      <x:c r="H14" s="334" t="str">
        <x:v>IDEACIÓN - How might we.pdf</x:v>
      </x:c>
    </x:row>
    <x:row r="15">
      <x:c r="A15" s="334" t="str">
        <x:v>Idear</x:v>
      </x:c>
      <x:c r="B15" s="334" t="str">
        <x:v>CEDIA ACTUAL</x:v>
      </x:c>
      <x:c r="C15" s="334" t="str">
        <x:v>Ideación</x:v>
      </x:c>
      <x:c r="D15" s="334" t="str">
        <x:v>IDE-007</x:v>
      </x:c>
      <x:c r="E15" s="334" t="str">
        <x:v>Lotus Blossom</x:v>
      </x:c>
      <x:c r="F15" s="334" t="str">
        <x:v>Visualizar relaciones entre un concepto central y subconceptos asociados para expandir y analizar ideas.</x:v>
      </x:c>
      <x:c r="G15" s="334" t="str">
        <x:v>Matriz Lotus Blossom completada y priorizada.</x:v>
      </x:c>
      <x:c r="H15" s="334" t="str">
        <x:v>IDEACIÓN - Lotus Blossom.pdf</x:v>
      </x:c>
    </x:row>
    <x:row r="16">
      <x:c r="A16" s="334" t="str">
        <x:v>Entender</x:v>
      </x:c>
      <x:c r="B16" s="334" t="str">
        <x:v>CEDIA ACTUAL</x:v>
      </x:c>
      <x:c r="C16" s="334" t="str">
        <x:v>Ideación</x:v>
      </x:c>
      <x:c r="D16" s="334" t="str">
        <x:v>IDE-008</x:v>
      </x:c>
      <x:c r="E16" s="334" t="str">
        <x:v>Planteamiento del Problema</x:v>
      </x:c>
      <x:c r="F16" s="334" t="str">
        <x:v>Entender a detalle la problemática que se desea mitigar.</x:v>
      </x:c>
      <x:c r="G16" s="334" t="str">
        <x:v>Lienzo de Planteamiento del Problema completado.</x:v>
      </x:c>
      <x:c r="H16" s="334" t="str">
        <x:v>IDEACIÓN - Planteamiento del Problema.pdf</x:v>
      </x:c>
    </x:row>
    <x:row r="17">
      <x:c r="A17" s="334" t="str">
        <x:v>Entender</x:v>
      </x:c>
      <x:c r="B17" s="334" t="str">
        <x:v>CEDIA ACTUAL</x:v>
      </x:c>
      <x:c r="C17" s="334" t="str">
        <x:v>Marketing</x:v>
      </x:c>
      <x:c r="D17" s="334" t="str">
        <x:v>MKT-001</x:v>
      </x:c>
      <x:c r="E17" s="334" t="str">
        <x:v>Buyer Persona</x:v>
      </x:c>
      <x:c r="F17" s="334" t="str">
        <x:v>Definir con precisión las características del cliente ideal para cada producto.</x:v>
      </x:c>
      <x:c r="G17" s="334" t="str">
        <x:v>Ficha de Buyer Persona completada.</x:v>
      </x:c>
      <x:c r="H17" s="334" t="str">
        <x:v>MARKETING - Buyer Persona.pdf</x:v>
      </x:c>
    </x:row>
    <x:row r="18">
      <x:c r="A18" s="334" t="str">
        <x:v>Modelar / Comunicar</x:v>
      </x:c>
      <x:c r="B18" s="334" t="str">
        <x:v>CEDIA ACTUAL</x:v>
      </x:c>
      <x:c r="C18" s="334" t="str">
        <x:v>Marketing</x:v>
      </x:c>
      <x:c r="D18" s="334" t="str">
        <x:v>MKT-002</x:v>
      </x:c>
      <x:c r="E18" s="334" t="str">
        <x:v>Círculo de Oro</x:v>
      </x:c>
      <x:c r="F18" s="334" t="str">
        <x:v>Definir el propósito de una organización, dirección, área o departamento.</x:v>
      </x:c>
      <x:c r="G18" s="334" t="str">
        <x:v>Lienzo de Círculo de Oro completado.</x:v>
      </x:c>
      <x:c r="H18" s="334" t="str">
        <x:v>MARKETING - Circulo de Oro.pdf</x:v>
      </x:c>
    </x:row>
    <x:row r="19">
      <x:c r="A19" s="334" t="str">
        <x:v>Modelar / Comunicar</x:v>
      </x:c>
      <x:c r="B19" s="334" t="str">
        <x:v>CEDIA ACTUAL</x:v>
      </x:c>
      <x:c r="C19" s="334" t="str">
        <x:v>Marketing</x:v>
      </x:c>
      <x:c r="D19" s="334" t="str">
        <x:v>MKT-003</x:v>
      </x:c>
      <x:c r="E19" s="334" t="str">
        <x:v>FODA</x:v>
      </x:c>
      <x:c r="F19" s="334" t="str">
        <x:v>Definir la situación de un negocio mediante análisis interno y externo.</x:v>
      </x:c>
      <x:c r="G19" s="334" t="str">
        <x:v>Matriz FODA completada.</x:v>
      </x:c>
      <x:c r="H19" s="334" t="str">
        <x:v>MARKETING - FODA.pdf</x:v>
      </x:c>
    </x:row>
    <x:row r="20">
      <x:c r="A20" s="334" t="str">
        <x:v>Modelar / Comunicar</x:v>
      </x:c>
      <x:c r="B20" s="334" t="str">
        <x:v>CEDIA ACTUAL</x:v>
      </x:c>
      <x:c r="C20" s="334" t="str">
        <x:v>Marketing</x:v>
      </x:c>
      <x:c r="D20" s="334" t="str">
        <x:v>MKT-004</x:v>
      </x:c>
      <x:c r="E20" s="334" t="str">
        <x:v>Mapa de Posicionamiento</x:v>
      </x:c>
      <x:c r="F20" s="334" t="str">
        <x:v>Reconocer a la competencia.</x:v>
      </x:c>
      <x:c r="G20" s="334" t="str">
        <x:v>Mapa de Posicionamiento completado con ejes y actores ubicados.</x:v>
      </x:c>
      <x:c r="H20" s="334" t="str">
        <x:v>MARKETING - Mapa de Posicionamiento.pdf</x:v>
      </x:c>
    </x:row>
    <x:row r="21">
      <x:c r="A21" s="334" t="str">
        <x:v>Modelar / Comunicar</x:v>
      </x:c>
      <x:c r="B21" s="334" t="str">
        <x:v>CEDIA ACTUAL</x:v>
      </x:c>
      <x:c r="C21" s="334" t="str">
        <x:v>Marketing</x:v>
      </x:c>
      <x:c r="D21" s="334" t="str">
        <x:v>MKT-005</x:v>
      </x:c>
      <x:c r="E21" s="334" t="str">
        <x:v>Pitch Canvas</x:v>
      </x:c>
      <x:c r="F21" s="334" t="str">
        <x:v>Facilitar la creación de una presentación que abarque los aspectos fundamentales de un proyecto.</x:v>
      </x:c>
      <x:c r="G21" s="334" t="str">
        <x:v>Pitch Canvas completado.</x:v>
      </x:c>
      <x:c r="H21" s="334" t="str">
        <x:v>MARKETING - Pitch Canvas.pdf</x:v>
      </x:c>
    </x:row>
    <x:row r="22">
      <x:c r="A22" s="334" t="str">
        <x:v>Modelar / Comunicar</x:v>
      </x:c>
      <x:c r="B22" s="334" t="str">
        <x:v>CEDIA ACTUAL</x:v>
      </x:c>
      <x:c r="C22" s="334" t="str">
        <x:v>Modelo de Negocio</x:v>
      </x:c>
      <x:c r="D22" s="334" t="str">
        <x:v>NEG-001</x:v>
      </x:c>
      <x:c r="E22" s="334" t="str">
        <x:v>Business Model Canvas</x:v>
      </x:c>
      <x:c r="F22" s="334" t="str">
        <x:v>Agilizar el modelo de negocio de una organización.</x:v>
      </x:c>
      <x:c r="G22" s="334" t="str">
        <x:v>Business Model Canvas completado.</x:v>
      </x:c>
      <x:c r="H22" s="334" t="str">
        <x:v>MODELO DE NEGOCIO - Busines Model Canvas.pdf</x:v>
      </x:c>
    </x:row>
    <x:row r="23">
      <x:c r="A23" s="334" t="str">
        <x:v>Diseñar</x:v>
      </x:c>
      <x:c r="B23" s="334" t="str">
        <x:v>CEDIA ACTUAL</x:v>
      </x:c>
      <x:c r="C23" s="334" t="str">
        <x:v>Modelo de Negocio</x:v>
      </x:c>
      <x:c r="D23" s="334" t="str">
        <x:v>NEG-002</x:v>
      </x:c>
      <x:c r="E23" s="334" t="str">
        <x:v>Lienzo de Propuesta de Valor</x:v>
      </x:c>
      <x:c r="F23" s="334" t="str">
        <x:v>Validar la propuesta de valor.</x:v>
      </x:c>
      <x:c r="G23" s="334" t="str">
        <x:v>Lienzo de Propuesta de Valor completado.</x:v>
      </x:c>
      <x:c r="H23" s="334" t="str">
        <x:v>MODELO DE NEGOCIO - Lienzo de Propuesta de Valor.pdf</x:v>
      </x:c>
    </x:row>
    <x:row r="24">
      <x:c r="A24" s="334" t="str">
        <x:v>Entender</x:v>
      </x:c>
      <x:c r="B24" s="334" t="str">
        <x:v>CEDIA ACTUAL</x:v>
      </x:c>
      <x:c r="C24" s="334" t="str">
        <x:v>Prototipado</x:v>
      </x:c>
      <x:c r="D24" s="334" t="str">
        <x:v>PRO-001</x:v>
      </x:c>
      <x:c r="E24" s="334" t="str">
        <x:v>Job To Be Done</x:v>
      </x:c>
      <x:c r="F24" s="334" t="str">
        <x:v>Definir necesidades prioritarias de clientes.</x:v>
      </x:c>
      <x:c r="G24" s="334" t="str">
        <x:v>Lienzo Job To Be Done completado.</x:v>
      </x:c>
      <x:c r="H24" s="334" t="str">
        <x:v>PROTOTIPADO - Job To Be Donde.pdf</x:v>
      </x:c>
    </x:row>
    <x:row r="25">
      <x:c r="A25" s="334" t="str">
        <x:v>Entender</x:v>
      </x:c>
      <x:c r="B25" s="334" t="str">
        <x:v>CEDIA ACTUAL</x:v>
      </x:c>
      <x:c r="C25" s="334" t="str">
        <x:v>Prototipado</x:v>
      </x:c>
      <x:c r="D25" s="334" t="str">
        <x:v>PRO-002</x:v>
      </x:c>
      <x:c r="E25" s="334" t="str">
        <x:v>Mapa de Empatía</x:v>
      </x:c>
      <x:c r="F25" s="334" t="str">
        <x:v>Conocer las motivaciones y frustraciones de los clientes para diseñar nuevos o mejores productos.</x:v>
      </x:c>
      <x:c r="G25" s="334" t="str">
        <x:v>Mapa de Empatía completado.</x:v>
      </x:c>
      <x:c r="H25" s="334" t="str">
        <x:v>PROTOTIPADO - Mapa de Empatía.pdf</x:v>
      </x:c>
    </x:row>
    <x:row r="26">
      <x:c r="A26" s="334" t="str">
        <x:v>Diseñar</x:v>
      </x:c>
      <x:c r="B26" s="334" t="str">
        <x:v>CEDIA ACTUAL</x:v>
      </x:c>
      <x:c r="C26" s="334" t="str">
        <x:v>Prototipado</x:v>
      </x:c>
      <x:c r="D26" s="334" t="str">
        <x:v>PRO-003</x:v>
      </x:c>
      <x:c r="E26" s="334" t="str">
        <x:v>¿Qué debe hacer mi solución?</x:v>
      </x:c>
      <x:c r="F26" s="334" t="str">
        <x:v>Definir los principales atributos del producto o servicio.</x:v>
      </x:c>
      <x:c r="G26" s="334" t="str">
        <x:v>Lienzo «¿Qué debe hacer mi solución?» completado.</x:v>
      </x:c>
      <x:c r="H26" s="334" t="str">
        <x:v>PROTOTIPADO - Que debe hacer mi solución.docx.pdf</x:v>
      </x:c>
    </x:row>
    <x:row r="27">
      <x:c r="A27" s="334" t="str">
        <x:v>Diseñar</x:v>
      </x:c>
      <x:c r="B27" s="334" t="str">
        <x:v>CEDIA ACTUAL</x:v>
      </x:c>
      <x:c r="C27" s="334" t="str">
        <x:v>Prototipado</x:v>
      </x:c>
      <x:c r="D27" s="334" t="str">
        <x:v>PRO-004</x:v>
      </x:c>
      <x:c r="E27" s="334" t="str">
        <x:v>Requisitos de Solución</x:v>
      </x:c>
      <x:c r="F27" s="334" t="str">
        <x:v>Definir elementos que mejoren el producto o servicio mediante requisitos de funcionalidad, constructividad y expresividad.</x:v>
      </x:c>
      <x:c r="G27" s="334" t="str">
        <x:v>Matriz/listado de Requisitos de Solución completado.</x:v>
      </x:c>
      <x:c r="H27" s="334" t="str">
        <x:v>PROTOTIPADO - Requisitos de Solución.pdf</x:v>
      </x:c>
    </x:row>
    <x:row r="28">
      <x:c r="A28" s="334" t="str">
        <x:v>Diseñar</x:v>
      </x:c>
      <x:c r="B28" s="334" t="str">
        <x:v>CEDIA ACTUAL</x:v>
      </x:c>
      <x:c r="C28" s="334" t="str">
        <x:v>Prototipado</x:v>
      </x:c>
      <x:c r="D28" s="334" t="str">
        <x:v>PRO-005</x:v>
      </x:c>
      <x:c r="E28" s="334" t="str">
        <x:v>Storyboard</x:v>
      </x:c>
      <x:c r="F28" s="334" t="str">
        <x:v>Transmitir una idea de manera visual.</x:v>
      </x:c>
      <x:c r="G28" s="334" t="str">
        <x:v>Storyboard completado con viñetas, descripciones y observaciones.</x:v>
      </x:c>
      <x:c r="H28" s="334" t="str">
        <x:v>PROTOTIPADO - Storyboard.pdf</x:v>
      </x:c>
    </x:row>
    <x:row r="29">
      <x:c r="A29" s="334" t="str">
        <x:v>Diseñar</x:v>
      </x:c>
      <x:c r="B29" s="334" t="str">
        <x:v>CEDIA ACTUAL</x:v>
      </x:c>
      <x:c r="C29" s="334" t="str">
        <x:v>Prototipado</x:v>
      </x:c>
      <x:c r="D29" s="334" t="str">
        <x:v>PRO-006</x:v>
      </x:c>
      <x:c r="E29" s="334" t="str">
        <x:v>Tres Lupas</x:v>
      </x:c>
      <x:c r="F29" s="334" t="str">
        <x:v>Validar el potencial de una idea.</x:v>
      </x:c>
      <x:c r="G29" s="334" t="str">
        <x:v>Lienzo Tres Lupas completado con análisis de las tres perspectivas.</x:v>
      </x:c>
      <x:c r="H29" s="334" t="str">
        <x:v>PROTOTIPADO - Tres Lupas.pdf</x:v>
      </x:c>
    </x:row>
    <x:row r="30">
      <x:c r="A30" s="334" t="str">
        <x:v>Diseñar</x:v>
      </x:c>
      <x:c r="B30" s="334" t="str">
        <x:v>CEDIA ACTUAL</x:v>
      </x:c>
      <x:c r="C30" s="334" t="str">
        <x:v>Servucción</x:v>
      </x:c>
      <x:c r="D30" s="334" t="str">
        <x:v>SER-001</x:v>
      </x:c>
      <x:c r="E30" s="334" t="str">
        <x:v>Servucción</x:v>
      </x:c>
      <x:c r="F30" s="334" t="str">
        <x:v>Analizar y estructurar de manera precisa el proceso de producción de un servicio, comprendiendo los elementos que interactúan para crear una experiencia completa y satisfactoria.</x:v>
      </x:c>
      <x:c r="G30" s="334" t="str">
        <x:v>Modelo de Servucción completado.</x:v>
      </x:c>
      <x:c r="H30" s="334" t="str">
        <x:v>SERVUCCIÓN - servucción.pdf</x:v>
      </x:c>
    </x:row>
    <x:row r="31">
      <x:c r="A31" s="334" t="str">
        <x:v>Explorar</x:v>
      </x:c>
      <x:c r="B31" s="334" t="str">
        <x:v>CEDIA ACTUAL</x:v>
      </x:c>
      <x:c r="C31" s="334" t="str">
        <x:v>Tendencias</x:v>
      </x:c>
      <x:c r="D31" s="334" t="str">
        <x:v>TEN-001</x:v>
      </x:c>
      <x:c r="E31" s="334" t="str">
        <x:v>Componentes de Tendencias</x:v>
      </x:c>
      <x:c r="F31" s="334" t="str">
        <x:v>Definir posibles áreas de innovación en una idea, producto o servicio.</x:v>
      </x:c>
      <x:c r="G31" s="334" t="str">
        <x:v>Mapa de intersección de tendencias y patrones completado.</x:v>
      </x:c>
      <x:c r="H31" s="334" t="str">
        <x:v>TENDENCIAS - Componentes de Tendencias.pdf</x:v>
      </x:c>
    </x:row>
    <x:row r="32">
      <x:c r="A32" s="334" t="str">
        <x:v>Explorar</x:v>
      </x:c>
      <x:c r="B32" s="334" t="str">
        <x:v>CEDIA ACTUAL</x:v>
      </x:c>
      <x:c r="C32" s="334" t="str">
        <x:v>Tendencias</x:v>
      </x:c>
      <x:c r="D32" s="334" t="str">
        <x:v>TEN-002</x:v>
      </x:c>
      <x:c r="E32" s="334" t="str">
        <x:v>Future Compass</x:v>
      </x:c>
      <x:c r="F32" s="334" t="str">
        <x:v>Identificar todos los escenarios de un problema.</x:v>
      </x:c>
      <x:c r="G32" s="334" t="str">
        <x:v>Future Compass completado.</x:v>
      </x:c>
      <x:c r="H32" s="334" t="str">
        <x:v>TENDENCIAS - Future Compass.pdf</x:v>
      </x:c>
    </x:row>
    <x:row r="33">
      <x:c r="A33" s="334" t="str">
        <x:v>Explorar</x:v>
      </x:c>
      <x:c r="B33" s="334" t="str">
        <x:v>CEDIA ACTUAL</x:v>
      </x:c>
      <x:c r="C33" s="334" t="str">
        <x:v>Tendencias</x:v>
      </x:c>
      <x:c r="D33" s="334" t="str">
        <x:v>TEN-003</x:v>
      </x:c>
      <x:c r="E33" s="334" t="str">
        <x:v>Mapa de Tendencias</x:v>
      </x:c>
      <x:c r="F33" s="334" t="str">
        <x:v>Entender cómo las tendencias y patrones se entrelazan e impactan a la organización.</x:v>
      </x:c>
      <x:c r="G33" s="334" t="str">
        <x:v>Mapa de Tendencias analizado y documentado.</x:v>
      </x:c>
      <x:c r="H33" s="334" t="str">
        <x:v>TENDENCIAS - Mapa de Tendencias.pdf</x:v>
      </x:c>
    </x:row>
    <x:row r="34">
      <x:c r="A34" s="334" t="str">
        <x:v>Explorar</x:v>
      </x:c>
      <x:c r="B34" s="334" t="str">
        <x:v>CEDIA ACTUAL</x:v>
      </x:c>
      <x:c r="C34" s="334" t="str">
        <x:v>Tendencias</x:v>
      </x:c>
      <x:c r="D34" s="334" t="str">
        <x:v>TEN-004</x:v>
      </x:c>
      <x:c r="E34" s="334" t="str">
        <x:v>Trend Canvas</x:v>
      </x:c>
      <x:c r="F34" s="334" t="str">
        <x:v>Desarrollar productos innovadores alineados con tendencias.</x:v>
      </x:c>
      <x:c r="G34" s="334" t="str">
        <x:v>Trend Canvas completado.</x:v>
      </x:c>
      <x:c r="H34" s="334" t="str">
        <x:v>TENDENCIAS - Trend Canvas.pdf</x:v>
      </x:c>
    </x:row>
    <x:row r="35">
      <x:c r="A35" s="416" t="str">
        <x:v>Validar</x:v>
      </x:c>
      <x:c r="B35" s="411" t="str">
        <x:v>PROPUESTA BENCHMARK</x:v>
      </x:c>
      <x:c r="C35" s="411" t="str">
        <x:v>Validación</x:v>
      </x:c>
      <x:c r="D35" s="411" t="str">
        <x:v>VAL-001</x:v>
      </x:c>
      <x:c r="E35" s="411" t="str">
        <x:v>Mapa de Supuestos e Hipótesis Críticas</x:v>
      </x:c>
      <x:c r="F35" s="416" t="str">
        <x:v>Identificar qué debe ser cierto para que una idea funcione y decidir qué incertidumbres probar primero.</x:v>
      </x:c>
      <x:c r="G35" s="416" t="str">
        <x:v>Mapa de supuestos con hipótesis priorizadas, nivel de evidencia y orden de prueba.</x:v>
      </x:c>
      <x:c r="H35" s="416" t="str">
        <x:v>Strategyzer — Assumptions Mapping</x:v>
      </x:c>
    </x:row>
    <x:row r="36">
      <x:c r="A36" s="416" t="str">
        <x:v>Validar</x:v>
      </x:c>
      <x:c r="B36" s="411" t="str">
        <x:v>PROPUESTA BENCHMARK</x:v>
      </x:c>
      <x:c r="C36" s="411" t="str">
        <x:v>Validación</x:v>
      </x:c>
      <x:c r="D36" s="411" t="str">
        <x:v>VAL-002</x:v>
      </x:c>
      <x:c r="E36" s="411" t="str">
        <x:v>Tarjeta de Experimento (Test Card)</x:v>
      </x:c>
      <x:c r="F36" s="416" t="str">
        <x:v>Convertir una incertidumbre crítica en un experimento medible que pueda producir evidencia.</x:v>
      </x:c>
      <x:c r="G36" s="416" t="str">
        <x:v>Test Card / Tarjeta de Experimento completada.</x:v>
      </x:c>
      <x:c r="H36" s="416" t="str">
        <x:v>Strategyzer — Test Card</x:v>
      </x:c>
    </x:row>
    <x:row r="37">
      <x:c r="A37" s="416" t="str">
        <x:v>Validar</x:v>
      </x:c>
      <x:c r="B37" s="411" t="str">
        <x:v>PROPUESTA BENCHMARK</x:v>
      </x:c>
      <x:c r="C37" s="411" t="str">
        <x:v>Validación</x:v>
      </x:c>
      <x:c r="D37" s="411" t="str">
        <x:v>VAL-003</x:v>
      </x:c>
      <x:c r="E37" s="411" t="str">
        <x:v>Tarjeta de Aprendizaje (Learning Card)</x:v>
      </x:c>
      <x:c r="F37" s="416" t="str">
        <x:v>Cerrar el ciclo de experimentación registrando qué se aprendió y qué decisión cambia como consecuencia de la evidencia.</x:v>
      </x:c>
      <x:c r="G37" s="416" t="str">
        <x:v>Learning Card con observaciones, aprendizaje, decisión y acción siguiente.</x:v>
      </x:c>
      <x:c r="H37" s="416" t="str">
        <x:v>Strategyzer — Learning Card</x:v>
      </x:c>
    </x:row>
    <x:row r="38">
      <x:c r="A38" s="416" t="str">
        <x:v>Madurar</x:v>
      </x:c>
      <x:c r="B38" s="411" t="str">
        <x:v>PROPUESTA BENCHMARK</x:v>
      </x:c>
      <x:c r="C38" s="411" t="str">
        <x:v>Maduración tecnológica</x:v>
      </x:c>
      <x:c r="D38" s="411" t="str">
        <x:v>MAD-001</x:v>
      </x:c>
      <x:c r="E38" s="411" t="str">
        <x:v>Plan de Maduración Tecnológica</x:v>
      </x:c>
      <x:c r="F38" s="416" t="str">
        <x:v>Traducir una brecha TRL en un plan verificable de desarrollo y reducción de riesgo técnico.</x:v>
      </x:c>
      <x:c r="G38" s="416" t="str">
        <x:v>Plan de Maduración Tecnológica con brechas, actividades, hitos y criterios de salida.</x:v>
      </x:c>
      <x:c r="H38" s="416" t="str">
        <x:v>U.S. DOE — Technology Readiness Assessment Guide / Technology Maturation Plan</x:v>
      </x:c>
    </x:row>
    <x:row r="39">
      <x:c r="A39" s="416" t="str">
        <x:v>Transferir</x:v>
      </x:c>
      <x:c r="B39" s="411" t="str">
        <x:v>PROPUESTA BENCHMARK</x:v>
      </x:c>
      <x:c r="C39" s="411" t="str">
        <x:v>Transferencia / PI</x:v>
      </x:c>
      <x:c r="D39" s="411" t="str">
        <x:v>TRA-001</x:v>
      </x:c>
      <x:c r="E39" s="411" t="str">
        <x:v>Libertad de Operación (Freedom to Operate)</x:v>
      </x:c>
      <x:c r="F39" s="416" t="str">
        <x:v>Detectar tempranamente riesgos de PI de terceros y definir acciones antes de avanzar hacia mercado o transferencia.</x:v>
      </x:c>
      <x:c r="G39" s="416" t="str">
        <x:v>Matriz FTO con derechos relevantes, riesgo preliminar, incertidumbres y acción recomendada.</x:v>
      </x:c>
      <x:c r="H39" s="416" t="str">
        <x:v>WIPO — Toolkit on New Product Development / Freedom to Operate</x:v>
      </x:c>
    </x:row>
    <x:row r="40">
      <x:c r="A40" s="416" t="str">
        <x:v>Transferir</x:v>
      </x:c>
      <x:c r="B40" s="411" t="str">
        <x:v>PROPUESTA BENCHMARK</x:v>
      </x:c>
      <x:c r="C40" s="411" t="str">
        <x:v>Transferencia / PI</x:v>
      </x:c>
      <x:c r="D40" s="411" t="str">
        <x:v>TRA-002</x:v>
      </x:c>
      <x:c r="E40" s="411" t="str">
        <x:v>Mapa de Cadena de Valor y Actores</x:v>
      </x:c>
      <x:c r="F40" s="416" t="str">
        <x:v>Identificar capacidades faltantes, socios críticos, dependencias y cuellos de botella de la ruta desde desarrollo hasta uso/mercado.</x:v>
      </x:c>
      <x:c r="G40" s="416" t="str">
        <x:v>Mapa de cadena de valor y actores con capacidades/gaps priorizados.</x:v>
      </x:c>
      <x:c r="H40" s="416" t="str">
        <x:v>WIPO — Toolkit on New Product Development / Value Chain</x:v>
      </x:c>
    </x:row>
    <x:row r="41">
      <x:c r="A41" s="416" t="str">
        <x:v>Transferir</x:v>
      </x:c>
      <x:c r="B41" s="411" t="str">
        <x:v>PROPUESTA BENCHMARK</x:v>
      </x:c>
      <x:c r="C41" s="411" t="str">
        <x:v>Transferencia / PI</x:v>
      </x:c>
      <x:c r="D41" s="411" t="str">
        <x:v>TRA-003</x:v>
      </x:c>
      <x:c r="E41" s="411" t="str">
        <x:v>Ficha de Divulgación de Invención</x:v>
      </x:c>
      <x:c r="F41" s="416" t="str">
        <x:v>Iniciar de forma ordenada la evaluación de una invención, preservando información clave sobre inventores, evidencia, financiación y divulgaciones.</x:v>
      </x:c>
      <x:c r="G41" s="416" t="str">
        <x:v>Ficha de Divulgación de Invención con anexos y trazabilidad básica.</x:v>
      </x:c>
      <x:c r="H41" s="416" t="str">
        <x:v>WIPO — Knowledge and Technology Transfer</x:v>
      </x:c>
    </x:row>
    <x:row r="42">
      <x:c r="A42" s="416" t="str">
        <x:v>Adoptar / Escalar</x:v>
      </x:c>
      <x:c r="B42" s="411" t="str">
        <x:v>PROPUESTA BENCHMARK</x:v>
      </x:c>
      <x:c r="C42" s="411" t="str">
        <x:v>Adopción / Comercialización</x:v>
      </x:c>
      <x:c r="D42" s="411" t="str">
        <x:v>ADO-001</x:v>
      </x:c>
      <x:c r="E42" s="411" t="str">
        <x:v>Mapa de Riesgos de Adopción / Comercialización</x:v>
      </x:c>
      <x:c r="F42" s="416" t="str">
        <x:v>Identificar qué barreras de valor, mercado, recursos o licencia para operar pueden impedir la adopción aunque la tecnología funcione.</x:v>
      </x:c>
      <x:c r="G42" s="416" t="str">
        <x:v>Matriz de riesgos de adopción por dimensiones y cuatro áreas, con prioridades y acciones.</x:v>
      </x:c>
      <x:c r="H42" s="416" t="str">
        <x:v>U.S. DOE — Adoption Readiness Levels (ARL) Framework</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s>
  <x:sheetData>
    <x:row r="1">
      <x:c r="A1" s="435" t="str">
        <x:v>25 — RUTA VISUAL PROPUESTA DE HERRAMIENTAS</x:v>
      </x:c>
      <x:c r="B1" s="435" t="str">
        <x:v>25 — RUTA VISUAL PROPUESTA DE HERRAMIENTAS</x:v>
      </x:c>
      <x:c r="C1" s="435" t="str">
        <x:v>25 — RUTA VISUAL PROPUESTA DE HERRAMIENTAS</x:v>
      </x:c>
      <x:c r="D1" s="435" t="str">
        <x:v>25 — RUTA VISUAL PROPUESTA DE HERRAMIENTAS</x:v>
      </x:c>
      <x:c r="E1" s="435" t="str">
        <x:v>25 — RUTA VISUAL PROPUESTA DE HERRAMIENTAS</x:v>
      </x:c>
      <x:c r="F1" s="435" t="str">
        <x:v>25 — RUTA VISUAL PROPUESTA DE HERRAMIENTAS</x:v>
      </x:c>
      <x:c r="G1" s="435" t="str">
        <x:v>25 — RUTA VISUAL PROPUESTA DE HERRAMIENTAS</x:v>
      </x:c>
      <x:c r="H1" s="435" t="str">
        <x:v>25 — RUTA VISUAL PROPUESTA DE HERRAMIENTAS</x:v>
      </x:c>
      <x:c r="I1" s="435" t="str">
        <x:v>25 — RUTA VISUAL PROPUESTA DE HERRAMIENTAS</x:v>
      </x:c>
    </x:row>
    <x:row r="2" ht="46" customHeight="1">
      <x:c r="A2" s="428" t="str">
        <x:v>Vista para presentación. Las etapas ayudan a explicar el portafolio, pero NO son una secuencia obligatoria: el motor selecciona herramientas por brecha, evidencia, prerrequisitos y objetivo. Las herramientas marcadas con ★ son las 8 propuestas nuevas.</x:v>
      </x:c>
      <x:c r="B2" s="428" t="str">
        <x:v>Vista para presentación. Las etapas ayudan a explicar el portafolio, pero NO son una secuencia obligatoria: el motor selecciona herramientas por brecha, evidencia, prerrequisitos y objetivo. Las herramientas marcadas con ★ son las 8 propuestas nuevas.</x:v>
      </x:c>
      <x:c r="C2" s="428" t="str">
        <x:v>Vista para presentación. Las etapas ayudan a explicar el portafolio, pero NO son una secuencia obligatoria: el motor selecciona herramientas por brecha, evidencia, prerrequisitos y objetivo. Las herramientas marcadas con ★ son las 8 propuestas nuevas.</x:v>
      </x:c>
      <x:c r="D2" s="428" t="str">
        <x:v>Vista para presentación. Las etapas ayudan a explicar el portafolio, pero NO son una secuencia obligatoria: el motor selecciona herramientas por brecha, evidencia, prerrequisitos y objetivo. Las herramientas marcadas con ★ son las 8 propuestas nuevas.</x:v>
      </x:c>
      <x:c r="E2" s="428" t="str">
        <x:v>Vista para presentación. Las etapas ayudan a explicar el portafolio, pero NO son una secuencia obligatoria: el motor selecciona herramientas por brecha, evidencia, prerrequisitos y objetivo. Las herramientas marcadas con ★ son las 8 propuestas nuevas.</x:v>
      </x:c>
      <x:c r="F2" s="428" t="str">
        <x:v>Vista para presentación. Las etapas ayudan a explicar el portafolio, pero NO son una secuencia obligatoria: el motor selecciona herramientas por brecha, evidencia, prerrequisitos y objetivo. Las herramientas marcadas con ★ son las 8 propuestas nuevas.</x:v>
      </x:c>
      <x:c r="G2" s="428" t="str">
        <x:v>Vista para presentación. Las etapas ayudan a explicar el portafolio, pero NO son una secuencia obligatoria: el motor selecciona herramientas por brecha, evidencia, prerrequisitos y objetivo. Las herramientas marcadas con ★ son las 8 propuestas nuevas.</x:v>
      </x:c>
      <x:c r="H2" s="428" t="str">
        <x:v>Vista para presentación. Las etapas ayudan a explicar el portafolio, pero NO son una secuencia obligatoria: el motor selecciona herramientas por brecha, evidencia, prerrequisitos y objetivo. Las herramientas marcadas con ★ son las 8 propuestas nuevas.</x:v>
      </x:c>
      <x:c r="I2" s="428" t="str">
        <x:v>Vista para presentación. Las etapas ayudan a explicar el portafolio, pero NO son una secuencia obligatoria: el motor selecciona herramientas por brecha, evidencia, prerrequisitos y objetivo. Las herramientas marcadas con ★ son las 8 propuestas nuevas.</x:v>
      </x:c>
    </x:row>
    <x:row r="4">
      <x:c r="A4" s="450" t="str">
        <x:v>Explorar</x:v>
      </x:c>
      <x:c r="B4" s="451" t="str">
        <x:v>Entender</x:v>
      </x:c>
      <x:c r="C4" s="456" t="str">
        <x:v>Idear</x:v>
      </x:c>
      <x:c r="D4" s="461" t="str">
        <x:v>Diseñar</x:v>
      </x:c>
      <x:c r="E4" s="465" t="str">
        <x:v>Validar</x:v>
      </x:c>
      <x:c r="F4" s="470" t="str">
        <x:v>Modelar / Comunicar</x:v>
      </x:c>
      <x:c r="G4" s="475" t="str">
        <x:v>Madurar</x:v>
      </x:c>
      <x:c r="H4" s="480" t="str">
        <x:v>Transferir</x:v>
      </x:c>
      <x:c r="I4" s="485" t="str">
        <x:v>Adoptar / Escalar</x:v>
      </x:c>
    </x:row>
    <x:row r="5">
      <x:c r="A5" s="486" t="str">
        <x:v>Componentes de Tendencias</x:v>
      </x:c>
      <x:c r="B5" s="487" t="str">
        <x:v>Árbol de Problemas</x:v>
      </x:c>
      <x:c r="C5" s="488" t="str">
        <x:v>Brainstorming</x:v>
      </x:c>
      <x:c r="D5" s="489" t="str">
        <x:v>Lienzo de Propuesta de Valor</x:v>
      </x:c>
      <x:c r="E5" s="416" t="str">
        <x:v>★ Mapa de Supuestos e Hipótesis Críticas</x:v>
      </x:c>
      <x:c r="F5" s="490" t="str">
        <x:v>Círculo de Oro</x:v>
      </x:c>
      <x:c r="G5" s="491" t="str">
        <x:v>★ Plan de Maduración Tecnológica</x:v>
      </x:c>
      <x:c r="H5" s="492" t="str">
        <x:v>★ Libertad de Operación (Freedom to Operate)</x:v>
      </x:c>
      <x:c r="I5" s="493" t="str">
        <x:v>★ Mapa de Riesgos de Adopción / Comercialización</x:v>
      </x:c>
    </x:row>
    <x:row r="6">
      <x:c r="A6" s="486" t="str">
        <x:v>Future Compass</x:v>
      </x:c>
      <x:c r="B6" s="487" t="str">
        <x:v>Brief de investigación</x:v>
      </x:c>
      <x:c r="C6" s="488" t="str">
        <x:v>How Might We</x:v>
      </x:c>
      <x:c r="D6" s="489" t="str">
        <x:v>¿Qué debe hacer mi solución?</x:v>
      </x:c>
      <x:c r="E6" s="416" t="str">
        <x:v>★ Tarjeta de Experimento (Test Card)</x:v>
      </x:c>
      <x:c r="F6" s="490" t="str">
        <x:v>FODA</x:v>
      </x:c>
      <x:c r="G6" s="491"/>
      <x:c r="H6" s="492" t="str">
        <x:v>★ Mapa de Cadena de Valor y Actores</x:v>
      </x:c>
      <x:c r="I6" s="493"/>
    </x:row>
    <x:row r="7">
      <x:c r="A7" s="486" t="str">
        <x:v>Mapa de Tendencias</x:v>
      </x:c>
      <x:c r="B7" s="487" t="str">
        <x:v>Componentes de Preguntas Poderosas</x:v>
      </x:c>
      <x:c r="C7" s="488" t="str">
        <x:v>Lotus Blossom</x:v>
      </x:c>
      <x:c r="D7" s="489" t="str">
        <x:v>Requisitos de Solución</x:v>
      </x:c>
      <x:c r="E7" s="416" t="str">
        <x:v>★ Tarjeta de Aprendizaje (Learning Card)</x:v>
      </x:c>
      <x:c r="F7" s="490" t="str">
        <x:v>Mapa de Posicionamiento</x:v>
      </x:c>
      <x:c r="G7" s="491"/>
      <x:c r="H7" s="492" t="str">
        <x:v>★ Ficha de Divulgación de Invención</x:v>
      </x:c>
      <x:c r="I7" s="493"/>
    </x:row>
    <x:row r="8">
      <x:c r="A8" s="486" t="str">
        <x:v>Trend Canvas</x:v>
      </x:c>
      <x:c r="B8" s="487" t="str">
        <x:v>Diagrama de Ishikawa</x:v>
      </x:c>
      <x:c r="C8" s="488"/>
      <x:c r="D8" s="489" t="str">
        <x:v>Storyboard</x:v>
      </x:c>
      <x:c r="E8" s="416"/>
      <x:c r="F8" s="490" t="str">
        <x:v>Pitch Canvas</x:v>
      </x:c>
      <x:c r="G8" s="491"/>
      <x:c r="H8" s="492"/>
      <x:c r="I8" s="493"/>
    </x:row>
    <x:row r="9">
      <x:c r="A9" s="486"/>
      <x:c r="B9" s="487" t="str">
        <x:v>Planteamiento del Problema</x:v>
      </x:c>
      <x:c r="C9" s="488"/>
      <x:c r="D9" s="489" t="str">
        <x:v>Tres Lupas</x:v>
      </x:c>
      <x:c r="E9" s="416"/>
      <x:c r="F9" s="490" t="str">
        <x:v>Business Model Canvas</x:v>
      </x:c>
      <x:c r="G9" s="491"/>
      <x:c r="H9" s="492"/>
      <x:c r="I9" s="493"/>
    </x:row>
    <x:row r="10">
      <x:c r="A10" s="486"/>
      <x:c r="B10" s="487" t="str">
        <x:v>Buyer Persona</x:v>
      </x:c>
      <x:c r="C10" s="488"/>
      <x:c r="D10" s="489" t="str">
        <x:v>Servucción</x:v>
      </x:c>
      <x:c r="E10" s="416"/>
      <x:c r="F10" s="490"/>
      <x:c r="G10" s="491"/>
      <x:c r="H10" s="492"/>
      <x:c r="I10" s="493"/>
    </x:row>
    <x:row r="11">
      <x:c r="A11" s="486"/>
      <x:c r="B11" s="487" t="str">
        <x:v>Job To Be Done</x:v>
      </x:c>
      <x:c r="C11" s="488"/>
      <x:c r="D11" s="489"/>
      <x:c r="E11" s="416"/>
      <x:c r="F11" s="490"/>
      <x:c r="G11" s="491"/>
      <x:c r="H11" s="492"/>
      <x:c r="I11" s="493"/>
    </x:row>
    <x:row r="12">
      <x:c r="A12" s="486"/>
      <x:c r="B12" s="487" t="str">
        <x:v>Mapa de Empatía</x:v>
      </x:c>
      <x:c r="C12" s="488"/>
      <x:c r="D12" s="489"/>
      <x:c r="E12" s="416"/>
      <x:c r="F12" s="490"/>
      <x:c r="G12" s="491"/>
      <x:c r="H12" s="492"/>
      <x:c r="I12" s="493"/>
    </x:row>
    <x:row r="15">
      <x:c r="A15" s="494" t="str">
        <x:v>ETAPA</x:v>
      </x:c>
      <x:c r="B15" s="494" t="str">
        <x:v>N.º HERRAMIENTAS</x:v>
      </x:c>
    </x:row>
    <x:row r="16">
      <x:c r="A16" s="332" t="str">
        <x:v>Explorar</x:v>
      </x:c>
      <x:c r="B16" s="332" t="n">
        <x:v>4</x:v>
      </x:c>
    </x:row>
    <x:row r="17">
      <x:c r="A17" s="332" t="str">
        <x:v>Entender</x:v>
      </x:c>
      <x:c r="B17" s="332" t="n">
        <x:v>8</x:v>
      </x:c>
    </x:row>
    <x:row r="18">
      <x:c r="A18" s="332" t="str">
        <x:v>Idear</x:v>
      </x:c>
      <x:c r="B18" s="332" t="n">
        <x:v>3</x:v>
      </x:c>
    </x:row>
    <x:row r="19">
      <x:c r="A19" s="332" t="str">
        <x:v>Diseñar</x:v>
      </x:c>
      <x:c r="B19" s="332" t="n">
        <x:v>6</x:v>
      </x:c>
    </x:row>
    <x:row r="20">
      <x:c r="A20" s="332" t="str">
        <x:v>Validar</x:v>
      </x:c>
      <x:c r="B20" s="332" t="n">
        <x:v>3</x:v>
      </x:c>
    </x:row>
    <x:row r="21">
      <x:c r="A21" s="332" t="str">
        <x:v>Modelar / Comunicar</x:v>
      </x:c>
      <x:c r="B21" s="332" t="n">
        <x:v>5</x:v>
      </x:c>
    </x:row>
    <x:row r="22">
      <x:c r="A22" s="332" t="str">
        <x:v>Madurar</x:v>
      </x:c>
      <x:c r="B22" s="332" t="n">
        <x:v>1</x:v>
      </x:c>
    </x:row>
    <x:row r="23">
      <x:c r="A23" s="332" t="str">
        <x:v>Transferir</x:v>
      </x:c>
      <x:c r="B23" s="332" t="n">
        <x:v>3</x:v>
      </x:c>
    </x:row>
    <x:row r="24">
      <x:c r="A24" s="332" t="str">
        <x:v>Adoptar / Escalar</x:v>
      </x:c>
      <x:c r="B24" s="332" t="n">
        <x:v>1</x:v>
      </x:c>
    </x:row>
  </x:sheetData>
  <x:mergeCells>
    <x:mergeCell ref="A1:I1"/>
    <x:mergeCell ref="A2:I2"/>
  </x:mergeCells>
  <x:pageMargins left="0.7" right="0.7" top="0.75" bottom="0.75" header="0.3" footer="0.3"/>
  <x:drawing xmlns:r="http://schemas.openxmlformats.org/officeDocument/2006/relationships" r:id="Rf9d2fc1bac454377"/>
</x:worksheet>
</file>

<file path=xl/worksheets/sheet27.xml><?xml version="1.0" encoding="utf-8"?>
<x:worksheet xmlns:x="http://schemas.openxmlformats.org/spreadsheetml/2006/main">
  <x:sheetFormatPr defaultRowHeight="15"/>
  <x:cols>
    <x:col min="1" max="1" width="8" hidden="0" customWidth="1"/>
    <x:col min="2" max="2" width="46" hidden="0" customWidth="1"/>
    <x:col min="3" max="3" width="48" hidden="0" customWidth="1"/>
    <x:col min="4" max="4" width="40" hidden="0" customWidth="1"/>
    <x:col min="5" max="5" width="42" hidden="0" customWidth="1"/>
    <x:col min="6" max="6" width="28" hidden="0" customWidth="1"/>
  </x:cols>
  <x:sheetData>
    <x:row r="1">
      <x:c r="A1" s="435" t="str">
        <x:v>26 — PROPUESTA FINAL DE NIVELES TRL PARA RUTA CEDIA</x:v>
      </x:c>
      <x:c r="B1" s="435" t="str">
        <x:v>26 — PROPUESTA FINAL DE NIVELES TRL PARA RUTA CEDIA</x:v>
      </x:c>
      <x:c r="C1" s="435" t="str">
        <x:v>26 — PROPUESTA FINAL DE NIVELES TRL PARA RUTA CEDIA</x:v>
      </x:c>
      <x:c r="D1" s="435" t="str">
        <x:v>26 — PROPUESTA FINAL DE NIVELES TRL PARA RUTA CEDIA</x:v>
      </x:c>
      <x:c r="E1" s="435" t="str">
        <x:v>26 — PROPUESTA FINAL DE NIVELES TRL PARA RUTA CEDIA</x:v>
      </x:c>
      <x:c r="F1" s="435" t="str">
        <x:v>26 — PROPUESTA FINAL DE NIVELES TRL PARA RUTA CEDIA</x:v>
      </x:c>
    </x:row>
    <x:row r="2" ht="50" customHeight="1">
      <x:c r="A2" s="428" t="str">
        <x:v>Versión propuesta construida desde la calculadora CEDIA y contrastada con NASA, Comisión Europea, U.S. DOE, ESA/ISO y EURAXESS. La salida recomendada no es solo un número: debe indicar nivel, evidencia disponible, brecha para el siguiente nivel y evidencia requerida para avanzar.</x:v>
      </x:c>
      <x:c r="B2" s="428" t="str">
        <x:v>Versión propuesta construida desde la calculadora CEDIA y contrastada con NASA, Comisión Europea, U.S. DOE, ESA/ISO y EURAXESS. La salida recomendada no es solo un número: debe indicar nivel, evidencia disponible, brecha para el siguiente nivel y evidencia requerida para avanzar.</x:v>
      </x:c>
      <x:c r="C2" s="428" t="str">
        <x:v>Versión propuesta construida desde la calculadora CEDIA y contrastada con NASA, Comisión Europea, U.S. DOE, ESA/ISO y EURAXESS. La salida recomendada no es solo un número: debe indicar nivel, evidencia disponible, brecha para el siguiente nivel y evidencia requerida para avanzar.</x:v>
      </x:c>
      <x:c r="D2" s="428" t="str">
        <x:v>Versión propuesta construida desde la calculadora CEDIA y contrastada con NASA, Comisión Europea, U.S. DOE, ESA/ISO y EURAXESS. La salida recomendada no es solo un número: debe indicar nivel, evidencia disponible, brecha para el siguiente nivel y evidencia requerida para avanzar.</x:v>
      </x:c>
      <x:c r="E2" s="428" t="str">
        <x:v>Versión propuesta construida desde la calculadora CEDIA y contrastada con NASA, Comisión Europea, U.S. DOE, ESA/ISO y EURAXESS. La salida recomendada no es solo un número: debe indicar nivel, evidencia disponible, brecha para el siguiente nivel y evidencia requerida para avanzar.</x:v>
      </x:c>
      <x:c r="F2" s="428" t="str">
        <x:v>Versión propuesta construida desde la calculadora CEDIA y contrastada con NASA, Comisión Europea, U.S. DOE, ESA/ISO y EURAXESS. La salida recomendada no es solo un número: debe indicar nivel, evidencia disponible, brecha para el siguiente nivel y evidencia requerida para avanzar.</x:v>
      </x:c>
    </x:row>
    <x:row r="4">
      <x:c r="A4" s="496" t="str">
        <x:v>A. TECNOLOGÍA / PRODUCTO — PROPUESTA FINAL</x:v>
      </x:c>
      <x:c r="B4" s="496" t="str">
        <x:v>A. TECNOLOGÍA / PRODUCTO — PROPUESTA FINAL</x:v>
      </x:c>
      <x:c r="C4" s="496" t="str">
        <x:v>A. TECNOLOGÍA / PRODUCTO — PROPUESTA FINAL</x:v>
      </x:c>
      <x:c r="D4" s="496" t="str">
        <x:v>A. TECNOLOGÍA / PRODUCTO — PROPUESTA FINAL</x:v>
      </x:c>
      <x:c r="E4" s="496" t="str">
        <x:v>A. TECNOLOGÍA / PRODUCTO — PROPUESTA FINAL</x:v>
      </x:c>
      <x:c r="F4" s="496" t="str">
        <x:v>A. TECNOLOGÍA / PRODUCTO — PROPUESTA FINAL</x:v>
      </x:c>
    </x:row>
    <x:row r="5">
      <x:c r="A5" s="469" t="str">
        <x:v>TRL</x:v>
      </x:c>
      <x:c r="B5" s="469" t="str">
        <x:v>DEFINICIÓN PROPUESTA</x:v>
      </x:c>
      <x:c r="C5" s="469" t="str">
        <x:v>EVIDENCIA MÍNIMA / CRITERIO</x:v>
      </x:c>
      <x:c r="D5" s="469" t="str">
        <x:v>QUÉ LO DIFERENCIA DEL ANTERIOR</x:v>
      </x:c>
      <x:c r="E5" s="469" t="str">
        <x:v>SIGUIENTE PASO TÍPICO</x:v>
      </x:c>
      <x:c r="F5" s="469" t="str">
        <x:v>REFERENCIA</x:v>
      </x:c>
    </x:row>
    <x:row r="6">
      <x:c r="A6" s="499" t="n">
        <x:v>1</x:v>
      </x:c>
      <x:c r="B6" s="334" t="str">
        <x:v>Principios científicos/tecnológicos básicos observados y documentados.</x:v>
      </x:c>
      <x:c r="C6" s="334" t="str">
        <x:v>Literatura, observaciones o resultados básicos que sustentan el fenómeno/tecnología.</x:v>
      </x:c>
      <x:c r="D6" s="334" t="str">
        <x:v>Existe base científica, pero aún no una aplicación tecnológica formulada.</x:v>
      </x:c>
      <x:c r="E6" s="334" t="str">
        <x:v>Formular concepto/aplicación y supuestos técnicos.</x:v>
      </x:c>
      <x:c r="F6" s="334" t="str">
        <x:v>NASA + Comisión Europea + DOE</x:v>
      </x:c>
    </x:row>
    <x:row r="7">
      <x:c r="A7" s="499" t="n">
        <x:v>2</x:v>
      </x:c>
      <x:c r="B7" s="334" t="str">
        <x:v>Concepto tecnológico y aplicación formulados.</x:v>
      </x:c>
      <x:c r="C7" s="334" t="str">
        <x:v>Descripción del concepto, aplicación, factibilidad preliminar y beneficio esperado.</x:v>
      </x:c>
      <x:c r="D7" s="334" t="str">
        <x:v>La aplicación deja de ser una posibilidad abstracta y se formula explícitamente.</x:v>
      </x:c>
      <x:c r="E7" s="334" t="str">
        <x:v>Definir funciones críticas y diseñar PoC.</x:v>
      </x:c>
      <x:c r="F7" s="334" t="str">
        <x:v>NASA + Comisión Europea + DOE</x:v>
      </x:c>
    </x:row>
    <x:row r="8">
      <x:c r="A8" s="499" t="n">
        <x:v>3</x:v>
      </x:c>
      <x:c r="B8" s="334" t="str">
        <x:v>Prueba de concepto analítica y/o experimental de funciones críticas.</x:v>
      </x:c>
      <x:c r="C8" s="334" t="str">
        <x:v>Resultados que muestran que principios/funciones clave pueden operar; integración todavía limitada.</x:v>
      </x:c>
      <x:c r="D8" s="334" t="str">
        <x:v>Existe evidencia experimental inicial, pero no validación integrada de laboratorio.</x:v>
      </x:c>
      <x:c r="E8" s="334" t="str">
        <x:v>Integrar componentes críticos y validar en laboratorio.</x:v>
      </x:c>
      <x:c r="F8" s="334" t="str">
        <x:v>NASA + Comisión Europea + DOE</x:v>
      </x:c>
    </x:row>
    <x:row r="9">
      <x:c r="A9" s="499" t="n">
        <x:v>4</x:v>
      </x:c>
      <x:c r="B9" s="334" t="str">
        <x:v>Componentes/proceso o prototipo de baja fidelidad validados en laboratorio.</x:v>
      </x:c>
      <x:c r="C9" s="334" t="str">
        <x:v>Pruebas documentadas de componentes integrados o funciones críticas en condiciones de laboratorio.</x:v>
      </x:c>
      <x:c r="D9" s="334" t="str">
        <x:v>Se valida integración/función en laboratorio.</x:v>
      </x:c>
      <x:c r="E9" s="334" t="str">
        <x:v>Definir entorno relevante y probar bajo condiciones representativas.</x:v>
      </x:c>
      <x:c r="F9" s="334" t="str">
        <x:v>NASA + Comisión Europea + DOE</x:v>
      </x:c>
    </x:row>
    <x:row r="10">
      <x:c r="A10" s="499" t="n">
        <x:v>5</x:v>
      </x:c>
      <x:c r="B10" s="334" t="str">
        <x:v>Componentes/prototipo validados en entorno relevante.</x:v>
      </x:c>
      <x:c r="C10" s="334" t="str">
        <x:v>Pruebas bajo condiciones representativas del uso final, con métricas y trazabilidad del entorno.</x:v>
      </x:c>
      <x:c r="D10" s="334" t="str">
        <x:v>La evidencia ya no es solo de laboratorio: representa el contexto real.</x:v>
      </x:c>
      <x:c r="E10" s="334" t="str">
        <x:v>Aumentar fidelidad/integración y demostrar sistema/prototipo.</x:v>
      </x:c>
      <x:c r="F10" s="334" t="str">
        <x:v>NASA + Comisión Europea + DOE</x:v>
      </x:c>
    </x:row>
    <x:row r="11">
      <x:c r="A11" s="499" t="n">
        <x:v>6</x:v>
      </x:c>
      <x:c r="B11" s="334" t="str">
        <x:v>Modelo o prototipo de sistema/subsistema demostrado en entorno relevante.</x:v>
      </x:c>
      <x:c r="C11" s="334" t="str">
        <x:v>Prototipo representativo/alta fidelidad, integración suficiente y desempeño demostrado en condiciones relevantes.</x:v>
      </x:c>
      <x:c r="D11" s="334" t="str">
        <x:v>Se demuestra el sistema/prototipo, no solo componentes aislados.</x:v>
      </x:c>
      <x:c r="E11" s="334" t="str">
        <x:v>Preparar demostración en entorno operacional.</x:v>
      </x:c>
      <x:c r="F11" s="334" t="str">
        <x:v>NASA + Comisión Europea + DOE</x:v>
      </x:c>
    </x:row>
    <x:row r="12">
      <x:c r="A12" s="499" t="n">
        <x:v>7</x:v>
      </x:c>
      <x:c r="B12" s="334" t="str">
        <x:v>Prototipo de sistema demostrado en entorno operacional.</x:v>
      </x:c>
      <x:c r="C12" s="334" t="str">
        <x:v>Demostración del sistema integrado en condiciones operativas reales o altamente representativas.</x:v>
      </x:c>
      <x:c r="D12" s="334" t="str">
        <x:v>La demostración ocurre en el contexto operacional.</x:v>
      </x:c>
      <x:c r="E12" s="334" t="str">
        <x:v>Cerrar configuración final, V&amp;V/qualification y documentación.</x:v>
      </x:c>
      <x:c r="F12" s="334" t="str">
        <x:v>NASA + Comisión Europea + DOE</x:v>
      </x:c>
    </x:row>
    <x:row r="13">
      <x:c r="A13" s="499" t="n">
        <x:v>8</x:v>
      </x:c>
      <x:c r="B13" s="334" t="str">
        <x:v>Sistema real completo y calificado mediante prueba y demostración.</x:v>
      </x:c>
      <x:c r="C13" s="334" t="str">
        <x:v>Configuración final, integración completa, V&amp;V/qualification y cumplimiento de requisitos documentado.</x:v>
      </x:c>
      <x:c r="D13" s="334" t="str">
        <x:v>El sistema está completo y calificado, aunque el éxito operacional sostenido todavía debe demostrarse.</x:v>
      </x:c>
      <x:c r="E13" s="334" t="str">
        <x:v>Operar el sistema en uso real y documentar desempeño.</x:v>
      </x:c>
      <x:c r="F13" s="334" t="str">
        <x:v>NASA + Comisión Europea + DOE</x:v>
      </x:c>
    </x:row>
    <x:row r="14">
      <x:c r="A14" s="499" t="n">
        <x:v>9</x:v>
      </x:c>
      <x:c r="B14" s="334" t="str">
        <x:v>Sistema real probado mediante operación exitosa.</x:v>
      </x:c>
      <x:c r="C14" s="334" t="str">
        <x:v>Evidencia documentada de uso operacional exitoso en el entorno real.</x:v>
      </x:c>
      <x:c r="D14" s="334" t="str">
        <x:v>La madurez se demuestra por operación real exitosa; éxito comercial se evalúa aparte.</x:v>
      </x:c>
      <x:c r="E14" s="334" t="str">
        <x:v>Mantener desempeño, soporte y aprendizaje operacional.</x:v>
      </x:c>
      <x:c r="F14" s="334" t="str">
        <x:v>NASA + Comisión Europea + DOE</x:v>
      </x:c>
    </x:row>
    <x:row r="16">
      <x:c r="A16" s="501" t="str">
        <x:v>B. SOFTWARE — PROPUESTA FINAL</x:v>
      </x:c>
      <x:c r="B16" s="501" t="str">
        <x:v>B. SOFTWARE — PROPUESTA FINAL</x:v>
      </x:c>
      <x:c r="C16" s="501" t="str">
        <x:v>B. SOFTWARE — PROPUESTA FINAL</x:v>
      </x:c>
      <x:c r="D16" s="501" t="str">
        <x:v>B. SOFTWARE — PROPUESTA FINAL</x:v>
      </x:c>
      <x:c r="E16" s="501" t="str">
        <x:v>B. SOFTWARE — PROPUESTA FINAL</x:v>
      </x:c>
      <x:c r="F16" s="501" t="str">
        <x:v>B. SOFTWARE — PROPUESTA FINAL</x:v>
      </x:c>
    </x:row>
    <x:row r="17">
      <x:c r="A17" s="469" t="str">
        <x:v>TRL</x:v>
      </x:c>
      <x:c r="B17" s="469" t="str">
        <x:v>DEFINICIÓN PROPUESTA</x:v>
      </x:c>
      <x:c r="C17" s="469" t="str">
        <x:v>EVIDENCIA MÍNIMA / CRITERIO</x:v>
      </x:c>
      <x:c r="D17" s="469" t="str">
        <x:v>QUÉ LO DIFERENCIA DEL ANTERIOR</x:v>
      </x:c>
      <x:c r="E17" s="469" t="str">
        <x:v>SIGUIENTE PASO TÍPICO</x:v>
      </x:c>
      <x:c r="F17" s="469" t="str">
        <x:v>REFERENCIA</x:v>
      </x:c>
    </x:row>
    <x:row r="18">
      <x:c r="A18" s="499" t="n">
        <x:v>1</x:v>
      </x:c>
      <x:c r="B18" s="334" t="str">
        <x:v>Principios y propiedades básicas del software/arquitectura identificados.</x:v>
      </x:c>
      <x:c r="C18" s="334" t="str">
        <x:v>Base científica, matemática o arquitectónica documentada.</x:v>
      </x:c>
      <x:c r="D18" s="334" t="str">
        <x:v>Existe conocimiento técnico base, no aplicación de software formulada.</x:v>
      </x:c>
      <x:c r="E18" s="334" t="str">
        <x:v>Formular aplicación y arquitectura/algoritmos preliminares.</x:v>
      </x:c>
      <x:c r="F18" s="334" t="str">
        <x:v>NASA NPR 7123.1D</x:v>
      </x:c>
    </x:row>
    <x:row r="19">
      <x:c r="A19" s="499" t="n">
        <x:v>2</x:v>
      </x:c>
      <x:c r="B19" s="334" t="str">
        <x:v>Concepto de aplicación y arquitectura/algoritmos preliminares formulados.</x:v>
      </x:c>
      <x:c r="C19" s="334" t="str">
        <x:v>Algoritmos, representaciones o código exploratorio; pruebas con datos sintéticos cuando aplique.</x:v>
      </x:c>
      <x:c r="D19" s="334" t="str">
        <x:v>La aplicación está formulada, aunque la funcionalidad todavía no prueba propiedades críticas.</x:v>
      </x:c>
      <x:c r="E19" s="334" t="str">
        <x:v>Construir PoC de funciones críticas.</x:v>
      </x:c>
      <x:c r="F19" s="334" t="str">
        <x:v>NASA NPR 7123.1D</x:v>
      </x:c>
    </x:row>
    <x:row r="20">
      <x:c r="A20" s="499" t="n">
        <x:v>3</x:v>
      </x:c>
      <x:c r="B20" s="334" t="str">
        <x:v>Prueba de concepto con funcionalidad limitada y componentes no integrados.</x:v>
      </x:c>
      <x:c r="C20" s="334" t="str">
        <x:v>Código/funciones que validan propiedades críticas y predicciones.</x:v>
      </x:c>
      <x:c r="D20" s="334" t="str">
        <x:v>Se demuestra funcionalidad crítica, pero sin integración suficiente.</x:v>
      </x:c>
      <x:c r="E20" s="334" t="str">
        <x:v>Integrar componentes críticos y validar funcionalmente.</x:v>
      </x:c>
      <x:c r="F20" s="334" t="str">
        <x:v>NASA NPR 7123.1D</x:v>
      </x:c>
    </x:row>
    <x:row r="21">
      <x:c r="A21" s="499" t="n">
        <x:v>4</x:v>
      </x:c>
      <x:c r="B21" s="334" t="str">
        <x:v>Componentes críticos integrados y validados en entorno de desarrollo/laboratorio.</x:v>
      </x:c>
      <x:c r="C21" s="334" t="str">
        <x:v>Pruebas funcionales, interoperabilidad básica y arquitectura suficiente.</x:v>
      </x:c>
      <x:c r="D21" s="334" t="str">
        <x:v>Existe integración crítica validada, no solo versión 'alfa'.</x:v>
      </x:c>
      <x:c r="E21" s="334" t="str">
        <x:v>Construir flujo end-to-end y probar en entorno relevante.</x:v>
      </x:c>
      <x:c r="F21" s="334" t="str">
        <x:v>NASA NPR 7123.1D</x:v>
      </x:c>
    </x:row>
    <x:row r="22">
      <x:c r="A22" s="499" t="n">
        <x:v>5</x:v>
      </x:c>
      <x:c r="B22" s="334" t="str">
        <x:v>Software end-to-end implementado/interfazado y probado en entorno relevante.</x:v>
      </x:c>
      <x:c r="C22" s="334" t="str">
        <x:v>Flujo funcional completo, interfaces relevantes y pruebas representativas.</x:v>
      </x:c>
      <x:c r="D22" s="334" t="str">
        <x:v>El sistema funciona de extremo a extremo en contexto relevante.</x:v>
      </x:c>
      <x:c r="E22" s="334" t="str">
        <x:v>Probar problemas realistas a escala e integrar con sistemas existentes.</x:v>
      </x:c>
      <x:c r="F22" s="334" t="str">
        <x:v>NASA NPR 7123.1D</x:v>
      </x:c>
    </x:row>
    <x:row r="23">
      <x:c r="A23" s="499" t="n">
        <x:v>6</x:v>
      </x:c>
      <x:c r="B23" s="334" t="str">
        <x:v>Prototipo de software probado en problemas realistas y parcialmente integrado con sistemas existentes.</x:v>
      </x:c>
      <x:c r="C23" s="334" t="str">
        <x:v>Desempeño en escenarios representativos, integración parcial y evidencia de uso.</x:v>
      </x:c>
      <x:c r="D23" s="334" t="str">
        <x:v>La demostración representa el contexto real y la integración del sistema.</x:v>
      </x:c>
      <x:c r="E23" s="334" t="str">
        <x:v>Completar funciones clave e integración operacional.</x:v>
      </x:c>
      <x:c r="F23" s="334" t="str">
        <x:v>NASA NPR 7123.1D</x:v>
      </x:c>
    </x:row>
    <x:row r="24">
      <x:c r="A24" s="499" t="n">
        <x:v>7</x:v>
      </x:c>
      <x:c r="B24" s="334" t="str">
        <x:v>Prototipo integrado con funciones clave demostrado operacionalmente.</x:v>
      </x:c>
      <x:c r="C24" s="334" t="str">
        <x:v>Integración con sistemas operacionales, pruebas de factibilidad operacional y funciones clave disponibles.</x:v>
      </x:c>
      <x:c r="D24" s="334" t="str">
        <x:v>Ya existe demostración operacional del software integrado.</x:v>
      </x:c>
      <x:c r="E24" s="334" t="str">
        <x:v>Completar V&amp;V, documentación, robustez y soporte.</x:v>
      </x:c>
      <x:c r="F24" s="334" t="str">
        <x:v>NASA NPR 7123.1D</x:v>
      </x:c>
    </x:row>
    <x:row r="25">
      <x:c r="A25" s="499" t="n">
        <x:v>8</x:v>
      </x:c>
      <x:c r="B25" s="334" t="str">
        <x:v>Software completo, depurado, totalmente integrado y con V&amp;V/documentación completas.</x:v>
      </x:c>
      <x:c r="C25" s="334" t="str">
        <x:v>V&amp;V, integración completa, documentación de usuario/mantenimiento y cumplimiento de funciones.</x:v>
      </x:c>
      <x:c r="D25" s="334" t="str">
        <x:v>El producto está técnicamente completo y calificado; estar 'en mercado' no es el criterio.</x:v>
      </x:c>
      <x:c r="E25" s="334" t="str">
        <x:v>Operar en ambiente real y sostener el servicio.</x:v>
      </x:c>
      <x:c r="F25" s="334" t="str">
        <x:v>NASA NPR 7123.1D</x:v>
      </x:c>
    </x:row>
    <x:row r="26">
      <x:c r="A26" s="499" t="n">
        <x:v>9</x:v>
      </x:c>
      <x:c r="B26" s="334" t="str">
        <x:v>Software operado exitosamente en entorno operacional con soporte/sostenimiento.</x:v>
      </x:c>
      <x:c r="C26" s="334" t="str">
        <x:v>Uso real documentado, desempeño estable, soporte y mantenimiento operativo.</x:v>
      </x:c>
      <x:c r="D26" s="334" t="str">
        <x:v>Se demuestra operación real sostenida; plan de negocio pertenece a CRL/modelo de negocio.</x:v>
      </x:c>
      <x:c r="E26" s="334" t="str">
        <x:v>Mantener operación, soporte y mejora controlada.</x:v>
      </x:c>
      <x:c r="F26" s="334" t="str">
        <x:v>NASA NPR 7123.1D</x:v>
      </x:c>
    </x:row>
    <x:row r="28">
      <x:c r="A28" s="503" t="str">
        <x:v>C. FARMACÉUTICO — PROPUESTA FINAL</x:v>
      </x:c>
      <x:c r="B28" s="503" t="str">
        <x:v>C. FARMACÉUTICO — PROPUESTA FINAL</x:v>
      </x:c>
      <x:c r="C28" s="503" t="str">
        <x:v>C. FARMACÉUTICO — PROPUESTA FINAL</x:v>
      </x:c>
      <x:c r="D28" s="503" t="str">
        <x:v>C. FARMACÉUTICO — PROPUESTA FINAL</x:v>
      </x:c>
      <x:c r="E28" s="503" t="str">
        <x:v>C. FARMACÉUTICO — PROPUESTA FINAL</x:v>
      </x:c>
      <x:c r="F28" s="503" t="str">
        <x:v>C. FARMACÉUTICO — PROPUESTA FINAL</x:v>
      </x:c>
    </x:row>
    <x:row r="29">
      <x:c r="A29" s="469" t="str">
        <x:v>TRL</x:v>
      </x:c>
      <x:c r="B29" s="469" t="str">
        <x:v>DEFINICIÓN PROPUESTA</x:v>
      </x:c>
      <x:c r="C29" s="469" t="str">
        <x:v>EVIDENCIA MÍNIMA / CRITERIO</x:v>
      </x:c>
      <x:c r="D29" s="469" t="str">
        <x:v>QUÉ LO DIFERENCIA DEL ANTERIOR</x:v>
      </x:c>
      <x:c r="E29" s="469" t="str">
        <x:v>SIGUIENTE PASO TÍPICO</x:v>
      </x:c>
      <x:c r="F29" s="469" t="str">
        <x:v>REFERENCIA</x:v>
      </x:c>
    </x:row>
    <x:row r="30">
      <x:c r="A30" s="499" t="n">
        <x:v>1</x:v>
      </x:c>
      <x:c r="B30" s="334" t="str">
        <x:v>Hallazgos/principios científicos que pueden sustentar una intervención o mecanismo.</x:v>
      </x:c>
      <x:c r="C30" s="334" t="str">
        <x:v>Literatura/resultados básicos y racional científico.</x:v>
      </x:c>
      <x:c r="D30" s="334" t="str">
        <x:v>Base científica sin hipótesis de desarrollo suficientemente formulada.</x:v>
      </x:c>
      <x:c r="E30" s="334" t="str">
        <x:v>Formular hipótesis y estudios preliminares.</x:v>
      </x:c>
      <x:c r="F30" s="334" t="str">
        <x:v>EURAXESS / Comisión Europea</x:v>
      </x:c>
    </x:row>
    <x:row r="31">
      <x:c r="A31" s="499" t="n">
        <x:v>2</x:v>
      </x:c>
      <x:c r="B31" s="334" t="str">
        <x:v>Hipótesis de producto/mecanismo formuladas y estudios preliminares definidos.</x:v>
      </x:c>
      <x:c r="C31" s="334" t="str">
        <x:v>Hipótesis, diseño inicial y plan experimental preliminar.</x:v>
      </x:c>
      <x:c r="D31" s="334" t="str">
        <x:v>El concepto de producto/mecanismo está formulado.</x:v>
      </x:c>
      <x:c r="E31" s="334" t="str">
        <x:v>Ejecutar PoC inicial in vitro/in vivo.</x:v>
      </x:c>
      <x:c r="F31" s="334" t="str">
        <x:v>EURAXESS / Comisión Europea</x:v>
      </x:c>
    </x:row>
    <x:row r="32">
      <x:c r="A32" s="499" t="n">
        <x:v>3</x:v>
      </x:c>
      <x:c r="B32" s="334" t="str">
        <x:v>Proof of concept inicial con estudios limitados in vitro/in vivo.</x:v>
      </x:c>
      <x:c r="C32" s="334" t="str">
        <x:v>Resultados iniciales que muestran mecanismo/efecto esperado.</x:v>
      </x:c>
      <x:c r="D32" s="334" t="str">
        <x:v>Existe evidencia experimental de PoC.</x:v>
      </x:c>
      <x:c r="E32" s="334" t="str">
        <x:v>Ampliar preclínica, seguridad y toxicidad.</x:v>
      </x:c>
      <x:c r="F32" s="334" t="str">
        <x:v>EURAXESS / Comisión Europea</x:v>
      </x:c>
    </x:row>
    <x:row r="33">
      <x:c r="A33" s="499" t="n">
        <x:v>4</x:v>
      </x:c>
      <x:c r="B33" s="334" t="str">
        <x:v>Estudios preclínicos exploratorios con seguridad/toxicidad inicial caracterizada.</x:v>
      </x:c>
      <x:c r="C33" s="334" t="str">
        <x:v>Evidencia preclínica documentada; GLP cuando corresponda.</x:v>
      </x:c>
      <x:c r="D33" s="334" t="str">
        <x:v>Se reduce incertidumbre de seguridad preclínica.</x:v>
      </x:c>
      <x:c r="E33" s="334" t="str">
        <x:v>Seleccionar candidato y completar paquetes preclínicos/producción piloto.</x:v>
      </x:c>
      <x:c r="F33" s="334" t="str">
        <x:v>EURAXESS / Comisión Europea</x:v>
      </x:c>
    </x:row>
    <x:row r="34">
      <x:c r="A34" s="499" t="n">
        <x:v>5</x:v>
      </x:c>
      <x:c r="B34" s="334" t="str">
        <x:v>Candidato seleccionado y preparación suficiente para transición clínica.</x:v>
      </x:c>
      <x:c r="C34" s="334" t="str">
        <x:v>PK/PD, seguridad/toxicidad, lote piloto/GMP cuando corresponda y preparación regulatoria/protocolo Fase 1.</x:v>
      </x:c>
      <x:c r="D34" s="334" t="str">
        <x:v>Existe candidato y paquete preclínico orientado a entrada clínica.</x:v>
      </x:c>
      <x:c r="E34" s="334" t="str">
        <x:v>Iniciar/completar Fase 1.</x:v>
      </x:c>
      <x:c r="F34" s="334" t="str">
        <x:v>EURAXESS / Comisión Europea</x:v>
      </x:c>
    </x:row>
    <x:row r="35">
      <x:c r="A35" s="499" t="n">
        <x:v>6</x:v>
      </x:c>
      <x:c r="B35" s="334" t="str">
        <x:v>Fase 1 completada: seguridad/tolerabilidad inicial en humanos.</x:v>
      </x:c>
      <x:c r="C35" s="334" t="str">
        <x:v>Resultados de seguridad, toxicidad y dosis preliminar.</x:v>
      </x:c>
      <x:c r="D35" s="334" t="str">
        <x:v>La evidencia ya incluye humanos.</x:v>
      </x:c>
      <x:c r="E35" s="334" t="str">
        <x:v>Avanzar a Fase 2 para eficacia inicial.</x:v>
      </x:c>
      <x:c r="F35" s="334" t="str">
        <x:v>EURAXESS / Comisión Europea</x:v>
      </x:c>
    </x:row>
    <x:row r="36">
      <x:c r="A36" s="499" t="n">
        <x:v>7</x:v>
      </x:c>
      <x:c r="B36" s="334" t="str">
        <x:v>Fase 2 completada: eficacia inicial y régimen de uso estudiados.</x:v>
      </x:c>
      <x:c r="C36" s="334" t="str">
        <x:v>Resultados de eficacia inicial, dosis/frecuencia/ruta y seguridad continuada.</x:v>
      </x:c>
      <x:c r="D36" s="334" t="str">
        <x:v>Se demuestra señal clínica de eficacia.</x:v>
      </x:c>
      <x:c r="E36" s="334" t="str">
        <x:v>Ejecutar Fase 3 confirmatoria.</x:v>
      </x:c>
      <x:c r="F36" s="334" t="str">
        <x:v>EURAXESS / Comisión Europea</x:v>
      </x:c>
    </x:row>
    <x:row r="37">
      <x:c r="A37" s="499" t="n">
        <x:v>8</x:v>
      </x:c>
      <x:c r="B37" s="334" t="str">
        <x:v>Fase 3 completada y expediente regulatorio preparado/sometido según corresponda.</x:v>
      </x:c>
      <x:c r="C37" s="334" t="str">
        <x:v>Resultados confirmatorios, balance beneficio-riesgo y dossier técnico/regulatorio.</x:v>
      </x:c>
      <x:c r="D37" s="334" t="str">
        <x:v>Existe evidencia confirmatoria y preparación de autorización.</x:v>
      </x:c>
      <x:c r="E37" s="334" t="str">
        <x:v>Obtener aprobación e iniciar vigilancia post-mercado.</x:v>
      </x:c>
      <x:c r="F37" s="334" t="str">
        <x:v>EURAXESS / Comisión Europea</x:v>
      </x:c>
    </x:row>
    <x:row r="38">
      <x:c r="A38" s="499" t="n">
        <x:v>9</x:v>
      </x:c>
      <x:c r="B38" s="334" t="str">
        <x:v>Producto aprobado, producido a escala comercial y con farmacovigilancia post-mercado.</x:v>
      </x:c>
      <x:c r="C38" s="334" t="str">
        <x:v>Aprobación regulatoria, producción/comercialización y vigilancia de seguridad.</x:v>
      </x:c>
      <x:c r="D38" s="334" t="str">
        <x:v>Madurez sectorial demostrada en uso post-aprobación.</x:v>
      </x:c>
      <x:c r="E38" s="334" t="str">
        <x:v>Mantener farmacovigilancia y gestión del ciclo de vida.</x:v>
      </x:c>
      <x:c r="F38" s="334" t="str">
        <x:v>EURAXESS / Comisión Europea</x:v>
      </x:c>
    </x:row>
  </x:sheetData>
  <x:mergeCells>
    <x:mergeCell ref="A1:F1"/>
    <x:mergeCell ref="A2:F2"/>
    <x:mergeCell ref="A4:F4"/>
    <x:mergeCell ref="A16:F16"/>
    <x:mergeCell ref="A28:F28"/>
  </x:mergeCells>
  <x:pageMargins left="0.7" right="0.7" top="0.75" bottom="0.75" header="0.3" footer="0.3"/>
</x:worksheet>
</file>

<file path=xl/worksheets/sheet28.xml><?xml version="1.0" encoding="utf-8"?>
<x:worksheet xmlns:x="http://schemas.openxmlformats.org/spreadsheetml/2006/main">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435" t="str">
        <x:v>27 — RESULTADO VISUAL DEL DIAGNÓSTICO / DEMO</x:v>
      </x:c>
      <x:c r="B1" s="435" t="str">
        <x:v>27 — RESULTADO VISUAL DEL DIAGNÓSTICO / DEMO</x:v>
      </x:c>
      <x:c r="C1" s="435" t="str">
        <x:v>27 — RESULTADO VISUAL DEL DIAGNÓSTICO / DEMO</x:v>
      </x:c>
      <x:c r="D1" s="435" t="str">
        <x:v>27 — RESULTADO VISUAL DEL DIAGNÓSTICO / DEMO</x:v>
      </x:c>
      <x:c r="E1" s="435" t="str">
        <x:v>27 — RESULTADO VISUAL DEL DIAGNÓSTICO / DEMO</x:v>
      </x:c>
      <x:c r="F1" s="435" t="str">
        <x:v>27 — RESULTADO VISUAL DEL DIAGNÓSTICO / DEMO</x:v>
      </x:c>
      <x:c r="G1" s="435" t="str">
        <x:v>27 — RESULTADO VISUAL DEL DIAGNÓSTICO / DEMO</x:v>
      </x:c>
      <x:c r="H1" s="435" t="str">
        <x:v>27 — RESULTADO VISUAL DEL DIAGNÓSTICO / DEMO</x:v>
      </x:c>
    </x:row>
    <x:row r="2" ht="40" customHeight="1">
      <x:c r="A2" s="428" t="str">
        <x:v>Selecciona un caso de 09_CASOS_PRUEBA. Esta hoja resume la lógica que se mostraría en la app: contexto de madurez, brecha principal, ruta recomendada, evidencia esperada y siguiente evaluación.</x:v>
      </x:c>
      <x:c r="B2" s="428" t="str">
        <x:v>Selecciona un caso de 09_CASOS_PRUEBA. Esta hoja resume la lógica que se mostraría en la app: contexto de madurez, brecha principal, ruta recomendada, evidencia esperada y siguiente evaluación.</x:v>
      </x:c>
      <x:c r="C2" s="428" t="str">
        <x:v>Selecciona un caso de 09_CASOS_PRUEBA. Esta hoja resume la lógica que se mostraría en la app: contexto de madurez, brecha principal, ruta recomendada, evidencia esperada y siguiente evaluación.</x:v>
      </x:c>
      <x:c r="D2" s="428" t="str">
        <x:v>Selecciona un caso de 09_CASOS_PRUEBA. Esta hoja resume la lógica que se mostraría en la app: contexto de madurez, brecha principal, ruta recomendada, evidencia esperada y siguiente evaluación.</x:v>
      </x:c>
      <x:c r="E2" s="428" t="str">
        <x:v>Selecciona un caso de 09_CASOS_PRUEBA. Esta hoja resume la lógica que se mostraría en la app: contexto de madurez, brecha principal, ruta recomendada, evidencia esperada y siguiente evaluación.</x:v>
      </x:c>
      <x:c r="F2" s="428" t="str">
        <x:v>Selecciona un caso de 09_CASOS_PRUEBA. Esta hoja resume la lógica que se mostraría en la app: contexto de madurez, brecha principal, ruta recomendada, evidencia esperada y siguiente evaluación.</x:v>
      </x:c>
      <x:c r="G2" s="428" t="str">
        <x:v>Selecciona un caso de 09_CASOS_PRUEBA. Esta hoja resume la lógica que se mostraría en la app: contexto de madurez, brecha principal, ruta recomendada, evidencia esperada y siguiente evaluación.</x:v>
      </x:c>
      <x:c r="H2" s="428" t="str">
        <x:v>Selecciona un caso de 09_CASOS_PRUEBA. Esta hoja resume la lógica que se mostraría en la app: contexto de madurez, brecha principal, ruta recomendada, evidencia esperada y siguiente evaluación.</x:v>
      </x:c>
    </x:row>
    <x:row r="4">
      <x:c r="A4" s="494" t="str">
        <x:v>ID CASO</x:v>
      </x:c>
      <x:c r="B4" s="504" t="n">
        <x:v>11</x:v>
      </x:c>
    </x:row>
    <x:row r="6">
      <x:c r="A6" s="468" t="str">
        <x:v>Proyecto</x:v>
      </x:c>
      <x:c r="B6" s="508" t="str">
        <x:f>IFERROR(INDEX('09_CASOS_PRUEBA'!$B$5:$B$18,MATCH($B$4,'09_CASOS_PRUEBA'!$A$5:$A$18,0)),"")</x:f>
        <x:v>Dispositivo de laboratorio</x:v>
      </x:c>
      <x:c r="C6" s="508"/>
      <x:c r="D6" s="508"/>
      <x:c r="E6" s="508"/>
      <x:c r="F6" s="508"/>
      <x:c r="G6" s="508"/>
      <x:c r="H6" s="508"/>
    </x:row>
    <x:row r="7">
      <x:c r="A7" s="468" t="str">
        <x:v>Tipo</x:v>
      </x:c>
      <x:c r="B7" s="508" t="str">
        <x:f>IFERROR(INDEX('09_CASOS_PRUEBA'!$C$5:$C$18,MATCH($B$4,'09_CASOS_PRUEBA'!$A$5:$A$18,0)),"")</x:f>
        <x:v>Tecnología / Producto</x:v>
      </x:c>
      <x:c r="C7" s="508"/>
      <x:c r="D7" s="508"/>
      <x:c r="E7" s="508"/>
      <x:c r="F7" s="508"/>
      <x:c r="G7" s="508"/>
      <x:c r="H7" s="508"/>
    </x:row>
    <x:row r="8">
      <x:c r="A8" s="468" t="str">
        <x:v>TRL inicial</x:v>
      </x:c>
      <x:c r="B8" s="515" t="n">
        <x:f>IFERROR(INDEX('09_CASOS_PRUEBA'!$F$5:$F$18,MATCH($B$4,'09_CASOS_PRUEBA'!$A$5:$A$18,0)),"")</x:f>
        <x:v>5</x:v>
      </x:c>
      <x:c r="C8" s="516" t="str">
        <x:v>CRL inicial</x:v>
      </x:c>
      <x:c r="D8" s="515" t="n">
        <x:f>IFERROR(INDEX('09_CASOS_PRUEBA'!$G$5:$G$18,MATCH($B$4,'09_CASOS_PRUEBA'!$A$5:$A$18,0)),"")</x:f>
        <x:v>3</x:v>
      </x:c>
    </x:row>
    <x:row r="10">
      <x:c r="A10" s="468" t="str">
        <x:v>Brecha principal</x:v>
      </x:c>
    </x:row>
    <x:row r="11">
      <x:c r="A11" s="508" t="str">
        <x:f>IFERROR(INDEX('09_CASOS_PRUEBA'!$H$5:$H$18,MATCH($B$4,'09_CASOS_PRUEBA'!$A$5:$A$18,0)),"")</x:f>
        <x:v>B-PI-001 — Libertad de operación no evaluada</x:v>
      </x:c>
      <x:c r="B11" s="508"/>
      <x:c r="C11" s="508"/>
      <x:c r="D11" s="508"/>
      <x:c r="E11" s="508"/>
      <x:c r="F11" s="508"/>
      <x:c r="G11" s="508"/>
      <x:c r="H11" s="508"/>
    </x:row>
    <x:row r="13">
      <x:c r="A13" s="468" t="str">
        <x:v>Ruta recomendada</x:v>
      </x:c>
    </x:row>
    <x:row r="14">
      <x:c r="A14" s="509" t="str">
        <x:f>IFERROR(INDEX('09_CASOS_PRUEBA'!$L$5:$L$18,MATCH($B$4,'09_CASOS_PRUEBA'!$A$5:$A$18,0)),"")</x:f>
        <x:v>TRA-001 — Libertad de Operación (Freedom to Operate)</x:v>
      </x:c>
      <x:c r="B14" s="509"/>
      <x:c r="C14" s="509"/>
      <x:c r="D14" s="509"/>
      <x:c r="E14" s="509"/>
      <x:c r="F14" s="509"/>
      <x:c r="G14" s="509"/>
      <x:c r="H14" s="509"/>
    </x:row>
    <x:row r="16">
      <x:c r="A16" s="468" t="str">
        <x:v>Evidencia esperada</x:v>
      </x:c>
    </x:row>
    <x:row r="17">
      <x:c r="A17" s="510" t="str">
        <x:f>IFERROR(INDEX('21_SIMULADOR_AUX'!$I$5:$I$38,MATCH(INDEX('09_CASOS_PRUEBA'!$H$5:$H$18,MATCH($B$4,'09_CASOS_PRUEBA'!$A$5:$A$18,0)),'21_SIMULADOR_AUX'!$A$5:$A$38,0)),"")</x:f>
        <x:v>Matriz preliminar de Libertad de Operación</x:v>
      </x:c>
      <x:c r="B17" s="510"/>
      <x:c r="C17" s="510"/>
      <x:c r="D17" s="510"/>
      <x:c r="E17" s="510"/>
      <x:c r="F17" s="510"/>
      <x:c r="G17" s="510"/>
      <x:c r="H17" s="510"/>
    </x:row>
    <x:row r="19">
      <x:c r="A19" s="468" t="str">
        <x:v>Siguiente evaluación</x:v>
      </x:c>
    </x:row>
    <x:row r="20">
      <x:c r="A20" s="511" t="str">
        <x:f>IFERROR(INDEX('21_SIMULADOR_AUX'!$K$5:$K$38,MATCH(INDEX('09_CASOS_PRUEBA'!$H$5:$H$18,MATCH($B$4,'09_CASOS_PRUEBA'!$A$5:$A$18,0)),'21_SIMULADOR_AUX'!$A$5:$A$38,0)),"")</x:f>
        <x:v>Si existe riesgo material, derivar a análisis especializado y decidir mitigación; si el riesgo es manejable, continuar preparación de transferencia/comercialización.</x:v>
      </x:c>
      <x:c r="B20" s="511"/>
      <x:c r="C20" s="511"/>
      <x:c r="D20" s="511"/>
      <x:c r="E20" s="511"/>
      <x:c r="F20" s="511"/>
      <x:c r="G20" s="511"/>
      <x:c r="H20" s="511"/>
    </x:row>
    <x:row r="22">
      <x:c r="A22" s="468" t="str">
        <x:v>Estado de prueba</x:v>
      </x:c>
    </x:row>
    <x:row r="23">
      <x:c r="A23" s="512" t="str">
        <x:f>IFERROR(INDEX('09_CASOS_PRUEBA'!$Q$5:$Q$18,MATCH($B$4,'09_CASOS_PRUEBA'!$A$5:$A$18,0)),"")</x:f>
        <x:v>APROBADA</x:v>
      </x:c>
      <x:c r="B23" s="512"/>
      <x:c r="C23" s="512"/>
      <x:c r="D23" s="512"/>
      <x:c r="E23" s="512"/>
      <x:c r="F23" s="512"/>
      <x:c r="G23" s="512"/>
      <x:c r="H23" s="512"/>
    </x:row>
  </x:sheetData>
  <x:mergeCells>
    <x:mergeCell ref="A1:H1"/>
    <x:mergeCell ref="A2:H2"/>
    <x:mergeCell ref="B6:H6"/>
    <x:mergeCell ref="B7:H7"/>
    <x:mergeCell ref="A11:H11"/>
    <x:mergeCell ref="A14:H14"/>
    <x:mergeCell ref="A17:H17"/>
    <x:mergeCell ref="A20:H20"/>
    <x:mergeCell ref="A23:H23"/>
  </x:mergeCells>
  <x:dataValidations count="1">
    <x:dataValidation type="list" sqref="B4">
      <x:formula1>"1,2,3,4,5,6,7,8,9,10,11,12,13,14"</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24" hidden="0" customWidth="1"/>
    <x:col min="2" max="2" width="12" hidden="0" customWidth="1"/>
    <x:col min="3" max="3" width="34" hidden="0" customWidth="1"/>
    <x:col min="4" max="4" width="22" hidden="0" customWidth="1"/>
    <x:col min="5" max="5" width="38" hidden="0" customWidth="1"/>
    <x:col min="6" max="6" width="42" hidden="0" customWidth="1"/>
    <x:col min="7" max="7" width="34" hidden="0" customWidth="1"/>
    <x:col min="8" max="8" width="16" hidden="0" customWidth="1"/>
    <x:col min="9" max="9" width="46" hidden="0" customWidth="1"/>
  </x:cols>
  <x:sheetData>
    <x:row r="1">
      <x:c r="A1" s="563" t="str">
        <x:v>28 — RUTA METODOLÓGICA FINAL PROPUESTA · RUTA CEDIA DIGITAL</x:v>
      </x:c>
      <x:c r="B1" s="563" t="str">
        <x:v>28 — RUTA METODOLÓGICA FINAL PROPUESTA · RUTA CEDIA DIGITAL</x:v>
      </x:c>
      <x:c r="C1" s="563" t="str">
        <x:v>28 — RUTA METODOLÓGICA FINAL PROPUESTA · RUTA CEDIA DIGITAL</x:v>
      </x:c>
      <x:c r="D1" s="563" t="str">
        <x:v>28 — RUTA METODOLÓGICA FINAL PROPUESTA · RUTA CEDIA DIGITAL</x:v>
      </x:c>
      <x:c r="E1" s="563" t="str">
        <x:v>28 — RUTA METODOLÓGICA FINAL PROPUESTA · RUTA CEDIA DIGITAL</x:v>
      </x:c>
      <x:c r="F1" s="563" t="str">
        <x:v>28 — RUTA METODOLÓGICA FINAL PROPUESTA · RUTA CEDIA DIGITAL</x:v>
      </x:c>
      <x:c r="G1" s="563" t="str">
        <x:v>28 — RUTA METODOLÓGICA FINAL PROPUESTA · RUTA CEDIA DIGITAL</x:v>
      </x:c>
      <x:c r="H1" s="563" t="str">
        <x:v>28 — RUTA METODOLÓGICA FINAL PROPUESTA · RUTA CEDIA DIGITAL</x:v>
      </x:c>
      <x:c r="I1" s="563" t="str">
        <x:v>28 — RUTA METODOLÓGICA FINAL PROPUESTA · RUTA CEDIA DIGITAL</x:v>
      </x:c>
    </x:row>
    <x:row r="2" ht="55" customHeight="1">
      <x:c r="A2" s="566" t="str">
        <x:v>Propuesta metodológica, no secuencia obligatoria. La IA detecta brechas y evidencia, y activa la etapa/herramienta pertinente. La ruta se alinea con el servicio de mentoría de CEDIA: Diagnóstico y posicionamiento → Valorización y brechas → Estrategia personalizada → Hoja de ruta. Las rutas A/B/C de mentoría se usan como contexto, no como clasificación rígida por TRL.</x:v>
      </x:c>
      <x:c r="B2" s="566" t="str">
        <x:v>Propuesta metodológica, no secuencia obligatoria. La IA detecta brechas y evidencia, y activa la etapa/herramienta pertinente. La ruta se alinea con el servicio de mentoría de CEDIA: Diagnóstico y posicionamiento → Valorización y brechas → Estrategia personalizada → Hoja de ruta. Las rutas A/B/C de mentoría se usan como contexto, no como clasificación rígida por TRL.</x:v>
      </x:c>
      <x:c r="C2" s="566" t="str">
        <x:v>Propuesta metodológica, no secuencia obligatoria. La IA detecta brechas y evidencia, y activa la etapa/herramienta pertinente. La ruta se alinea con el servicio de mentoría de CEDIA: Diagnóstico y posicionamiento → Valorización y brechas → Estrategia personalizada → Hoja de ruta. Las rutas A/B/C de mentoría se usan como contexto, no como clasificación rígida por TRL.</x:v>
      </x:c>
      <x:c r="D2" s="566" t="str">
        <x:v>Propuesta metodológica, no secuencia obligatoria. La IA detecta brechas y evidencia, y activa la etapa/herramienta pertinente. La ruta se alinea con el servicio de mentoría de CEDIA: Diagnóstico y posicionamiento → Valorización y brechas → Estrategia personalizada → Hoja de ruta. Las rutas A/B/C de mentoría se usan como contexto, no como clasificación rígida por TRL.</x:v>
      </x:c>
      <x:c r="E2" s="566" t="str">
        <x:v>Propuesta metodológica, no secuencia obligatoria. La IA detecta brechas y evidencia, y activa la etapa/herramienta pertinente. La ruta se alinea con el servicio de mentoría de CEDIA: Diagnóstico y posicionamiento → Valorización y brechas → Estrategia personalizada → Hoja de ruta. Las rutas A/B/C de mentoría se usan como contexto, no como clasificación rígida por TRL.</x:v>
      </x:c>
      <x:c r="F2" s="566" t="str">
        <x:v>Propuesta metodológica, no secuencia obligatoria. La IA detecta brechas y evidencia, y activa la etapa/herramienta pertinente. La ruta se alinea con el servicio de mentoría de CEDIA: Diagnóstico y posicionamiento → Valorización y brechas → Estrategia personalizada → Hoja de ruta. Las rutas A/B/C de mentoría se usan como contexto, no como clasificación rígida por TRL.</x:v>
      </x:c>
      <x:c r="G2" s="566" t="str">
        <x:v>Propuesta metodológica, no secuencia obligatoria. La IA detecta brechas y evidencia, y activa la etapa/herramienta pertinente. La ruta se alinea con el servicio de mentoría de CEDIA: Diagnóstico y posicionamiento → Valorización y brechas → Estrategia personalizada → Hoja de ruta. Las rutas A/B/C de mentoría se usan como contexto, no como clasificación rígida por TRL.</x:v>
      </x:c>
      <x:c r="H2" s="566" t="str">
        <x:v>Propuesta metodológica, no secuencia obligatoria. La IA detecta brechas y evidencia, y activa la etapa/herramienta pertinente. La ruta se alinea con el servicio de mentoría de CEDIA: Diagnóstico y posicionamiento → Valorización y brechas → Estrategia personalizada → Hoja de ruta. Las rutas A/B/C de mentoría se usan como contexto, no como clasificación rígida por TRL.</x:v>
      </x:c>
      <x:c r="I2" s="566" t="str">
        <x:v>Propuesta metodológica, no secuencia obligatoria. La IA detecta brechas y evidencia, y activa la etapa/herramienta pertinente. La ruta se alinea con el servicio de mentoría de CEDIA: Diagnóstico y posicionamiento → Valorización y brechas → Estrategia personalizada → Hoja de ruta. Las rutas A/B/C de mentoría se usan como contexto, no como clasificación rígida por TRL.</x:v>
      </x:c>
    </x:row>
    <x:row r="4">
      <x:c r="A4" s="571" t="str">
        <x:v>#</x:v>
      </x:c>
      <x:c r="B4" s="571" t="str">
        <x:v>ETAPA FINAL</x:v>
      </x:c>
      <x:c r="C4" s="571" t="str">
        <x:v>PREGUNTA GUÍA</x:v>
      </x:c>
      <x:c r="D4" s="571" t="str">
        <x:v>OBJETIVO</x:v>
      </x:c>
      <x:c r="E4" s="571" t="str">
        <x:v>EVIDENCIA / SALIDA</x:v>
      </x:c>
      <x:c r="F4" s="571" t="str">
        <x:v>FASE DE MENTORÍA QUE ALIMENTA</x:v>
      </x:c>
      <x:c r="G4" s="571" t="str">
        <x:v>RUTA A/B/C</x:v>
      </x:c>
      <x:c r="H4" s="571" t="str">
        <x:v>CRITERIO DE AVANCE</x:v>
      </x:c>
      <x:c r="I4" s="571" t="str">
        <x:v>N.º HERRAMIENTAS</x:v>
      </x:c>
    </x:row>
    <x:row r="5">
      <x:c r="A5" s="573" t="n">
        <x:v>1</x:v>
      </x:c>
      <x:c r="B5" s="573" t="str">
        <x:v>Descubrir y enfocar</x:v>
      </x:c>
      <x:c r="C5" s="572" t="str">
        <x:v>¿Qué está pasando, para quién y qué problema/oportunidad merece atención?</x:v>
      </x:c>
      <x:c r="D5" s="572" t="str">
        <x:v>Comprender contexto, problema, usuario y señales del entorno antes de saltar a una solución.</x:v>
      </x:c>
      <x:c r="E5" s="572" t="str">
        <x:v>Problema delimitado, contexto, causas, usuario/beneficiario, necesidades e insights.</x:v>
      </x:c>
      <x:c r="F5" s="572" t="str">
        <x:v>Mentoría 1 — Diagnóstico y posicionamiento</x:v>
      </x:c>
      <x:c r="G5" s="572" t="str">
        <x:v>Ruta A (principal) / transversal</x:v>
      </x:c>
      <x:c r="H5" s="572" t="str">
        <x:v>Existe una situación suficientemente comprendida para decidir qué aprender, idear o validar después.</x:v>
      </x:c>
      <x:c r="I5" s="572" t="n">
        <x:v>12</x:v>
      </x:c>
    </x:row>
    <x:row r="6">
      <x:c r="A6" s="575" t="n">
        <x:v>2</x:v>
      </x:c>
      <x:c r="B6" s="575" t="str">
        <x:v>Idear y diseñar</x:v>
      </x:c>
      <x:c r="C6" s="574" t="str">
        <x:v>¿Qué alternativas existen y cómo debería funcionar la solución/experiencia?</x:v>
      </x:c>
      <x:c r="D6" s="574" t="str">
        <x:v>Generar alternativas y traducir necesidades en una solución, requisitos y experiencia inicial.</x:v>
      </x:c>
      <x:c r="E6" s="574" t="str">
        <x:v>Ideas priorizadas, definición funcional, requisitos, escenarios o experiencia del servicio.</x:v>
      </x:c>
      <x:c r="F6" s="574" t="str">
        <x:v>Mentoría 2 — Valorización y brechas</x:v>
      </x:c>
      <x:c r="G6" s="574" t="str">
        <x:v>Ruta A / Ruta B</x:v>
      </x:c>
      <x:c r="H6" s="574" t="str">
        <x:v>Existe al menos una alternativa/solución suficientemente definida para poder evaluarla.</x:v>
      </x:c>
      <x:c r="I6" s="574" t="n">
        <x:v>7</x:v>
      </x:c>
    </x:row>
    <x:row r="7">
      <x:c r="A7" s="577" t="n">
        <x:v>3</x:v>
      </x:c>
      <x:c r="B7" s="577" t="str">
        <x:v>Definir valor y modelo</x:v>
      </x:c>
      <x:c r="C7" s="576" t="str">
        <x:v>¿Para quién crea valor la solución y cómo puede sostenerse o posicionarse?</x:v>
      </x:c>
      <x:c r="D7" s="576" t="str">
        <x:v>Estructurar propuesta de valor, modelo, posicionamiento y lógica de creación/entrega de valor.</x:v>
      </x:c>
      <x:c r="E7" s="576" t="str">
        <x:v>Hipótesis explícitas sobre segmento, valor, modelo, entorno competitivo y posicionamiento.</x:v>
      </x:c>
      <x:c r="F7" s="576" t="str">
        <x:v>Mentoría 2 + Mentoría 3</x:v>
      </x:c>
      <x:c r="G7" s="576" t="str">
        <x:v>Ruta B / Ruta C</x:v>
      </x:c>
      <x:c r="H7" s="576" t="str">
        <x:v>Las hipótesis de valor y modelo están explícitas y pueden ser probadas o utilizadas para una estrategia de transferencia.</x:v>
      </x:c>
      <x:c r="I7" s="576" t="n">
        <x:v>5</x:v>
      </x:c>
    </x:row>
    <x:row r="8">
      <x:c r="A8" s="579" t="n">
        <x:v>4</x:v>
      </x:c>
      <x:c r="B8" s="579" t="str">
        <x:v>Validar y aprender</x:v>
      </x:c>
      <x:c r="C8" s="578" t="str">
        <x:v>¿Qué debe ser cierto y qué evidencia demuestra que vamos por buen camino?</x:v>
      </x:c>
      <x:c r="D8" s="578" t="str">
        <x:v>Priorizar incertidumbres, diseñar pruebas, capturar evidencia y convertirla en decisiones.</x:v>
      </x:c>
      <x:c r="E8" s="578" t="str">
        <x:v>Hipótesis priorizadas, experimento, resultados, aprendizaje y decisión.</x:v>
      </x:c>
      <x:c r="F8" s="578" t="str">
        <x:v>Mentoría 2 — Valorización y brechas</x:v>
      </x:c>
      <x:c r="G8" s="578" t="str">
        <x:v>Ruta A / Ruta B / Ruta C</x:v>
      </x:c>
      <x:c r="H8" s="578" t="str">
        <x:v>La decisión siguiente está sustentada en evidencia y se conoce qué brecha permanece abierta.</x:v>
      </x:c>
      <x:c r="I8" s="578" t="n">
        <x:v>4</x:v>
      </x:c>
    </x:row>
    <x:row r="9">
      <x:c r="A9" s="581" t="n">
        <x:v>5</x:v>
      </x:c>
      <x:c r="B9" s="581" t="str">
        <x:v>Madurar y proteger</x:v>
      </x:c>
      <x:c r="C9" s="580" t="str">
        <x:v>¿Qué falta para que el resultado sea técnicamente más sólido y transferible?</x:v>
      </x:c>
      <x:c r="D9" s="580" t="str">
        <x:v>Cerrar brechas de madurez, ordenar evidencia técnica y gestionar decisiones de propiedad intelectual.</x:v>
      </x:c>
      <x:c r="E9" s="580" t="str">
        <x:v>Plan de maduración, expediente de invención, riesgos preliminares de PI/FTO y evidencia técnica.</x:v>
      </x:c>
      <x:c r="F9" s="580" t="str">
        <x:v>Mentoría 2 + Mentoría 4</x:v>
      </x:c>
      <x:c r="G9" s="580" t="str">
        <x:v>Ruta B (principal) / Ruta A</x:v>
      </x:c>
      <x:c r="H9" s="580" t="str">
        <x:v>Existe una hoja clara de maduración/protección y se conocen las evidencias necesarias para avanzar.</x:v>
      </x:c>
      <x:c r="I9" s="580" t="n">
        <x:v>3</x:v>
      </x:c>
    </x:row>
    <x:row r="10">
      <x:c r="A10" s="583" t="n">
        <x:v>6</x:v>
      </x:c>
      <x:c r="B10" s="583" t="str">
        <x:v>Transferir y conectar</x:v>
      </x:c>
      <x:c r="C10" s="582" t="str">
        <x:v>¿Quién puede usar el resultado, mediante qué mecanismo y con qué actores?</x:v>
      </x:c>
      <x:c r="D10" s="582" t="str">
        <x:v>Preparar la conexión con receptores/aliados, cadena de valor y narrativa de transferencia.</x:v>
      </x:c>
      <x:c r="E10" s="582" t="str">
        <x:v>Mapa de actores/capacidades, mecanismo de transferencia y ficha/pitch del resultado.</x:v>
      </x:c>
      <x:c r="F10" s="582" t="str">
        <x:v>Mentoría 3 + Mentoría 4</x:v>
      </x:c>
      <x:c r="G10" s="582" t="str">
        <x:v>Ruta C</x:v>
      </x:c>
      <x:c r="H10" s="582" t="str">
        <x:v>Existe un receptor/actor prioritario, mecanismo plausible y evidencia suficiente para iniciar interacción.</x:v>
      </x:c>
      <x:c r="I10" s="582" t="n">
        <x:v>2</x:v>
      </x:c>
    </x:row>
    <x:row r="11">
      <x:c r="A11" s="585" t="n">
        <x:v>7</x:v>
      </x:c>
      <x:c r="B11" s="585" t="str">
        <x:v>Adoptar y escalar</x:v>
      </x:c>
      <x:c r="C11" s="584" t="str">
        <x:v>¿Qué barreras pueden impedir que la solución sea adoptada aun cuando funcione?</x:v>
      </x:c>
      <x:c r="D11" s="584" t="str">
        <x:v>Identificar y priorizar riesgos no técnicos de adopción, escalamiento y licencia para operar.</x:v>
      </x:c>
      <x:c r="E11" s="584" t="str">
        <x:v>Mapa de riesgos de adopción con prioridades, responsables y acciones.</x:v>
      </x:c>
      <x:c r="F11" s="584" t="str">
        <x:v>Mentoría 3 + Mentoría 4</x:v>
      </x:c>
      <x:c r="G11" s="584" t="str">
        <x:v>Ruta C</x:v>
      </x:c>
      <x:c r="H11" s="584" t="str">
        <x:v>Las barreras críticas de adopción tienen evidencia, prioridad y acciones concretas.</x:v>
      </x:c>
      <x:c r="I11" s="584" t="n">
        <x:v>1</x:v>
      </x:c>
    </x:row>
    <x:row r="14">
      <x:c r="A14" s="587" t="str">
        <x:v>MAPEO DE LAS 34 HERRAMIENTAS A LA RUTA FINAL</x:v>
      </x:c>
      <x:c r="B14" s="587" t="str">
        <x:v>MAPEO DE LAS 34 HERRAMIENTAS A LA RUTA FINAL</x:v>
      </x:c>
      <x:c r="C14" s="587" t="str">
        <x:v>MAPEO DE LAS 34 HERRAMIENTAS A LA RUTA FINAL</x:v>
      </x:c>
      <x:c r="D14" s="587" t="str">
        <x:v>MAPEO DE LAS 34 HERRAMIENTAS A LA RUTA FINAL</x:v>
      </x:c>
      <x:c r="E14" s="587" t="str">
        <x:v>MAPEO DE LAS 34 HERRAMIENTAS A LA RUTA FINAL</x:v>
      </x:c>
      <x:c r="F14" s="587" t="str">
        <x:v>MAPEO DE LAS 34 HERRAMIENTAS A LA RUTA FINAL</x:v>
      </x:c>
      <x:c r="G14" s="587" t="str">
        <x:v>MAPEO DE LAS 34 HERRAMIENTAS A LA RUTA FINAL</x:v>
      </x:c>
      <x:c r="H14" s="587" t="str">
        <x:v>MAPEO DE LAS 34 HERRAMIENTAS A LA RUTA FINAL</x:v>
      </x:c>
      <x:c r="I14" s="587" t="str">
        <x:v>MAPEO DE LAS 34 HERRAMIENTAS A LA RUTA FINAL</x:v>
      </x:c>
    </x:row>
    <x:row r="15">
      <x:c r="A15" s="592" t="str">
        <x:v>ETAPA</x:v>
      </x:c>
      <x:c r="B15" s="592" t="str">
        <x:v>ID</x:v>
      </x:c>
      <x:c r="C15" s="592" t="str">
        <x:v>HERRAMIENTA</x:v>
      </x:c>
      <x:c r="D15" s="592" t="str">
        <x:v>ORIGEN</x:v>
      </x:c>
      <x:c r="E15" s="592" t="str">
        <x:v>BRECHA QUE ATIENDE</x:v>
      </x:c>
      <x:c r="F15" s="592" t="str">
        <x:v>EVIDENCIA QUE GENERA</x:v>
      </x:c>
      <x:c r="G15" s="592" t="str">
        <x:v>MENTORÍA</x:v>
      </x:c>
      <x:c r="H15" s="592" t="str">
        <x:v>RUTA A/B/C</x:v>
      </x:c>
      <x:c r="I15" s="592" t="str">
        <x:v>ROL DE LA IA</x:v>
      </x:c>
    </x:row>
    <x:row r="16">
      <x:c r="A16" s="593" t="str">
        <x:v>Descubrir y enfocar</x:v>
      </x:c>
      <x:c r="B16" s="593" t="str">
        <x:v>IDE-003</x:v>
      </x:c>
      <x:c r="C16" s="593" t="str">
        <x:v>Brief de investigación</x:v>
      </x:c>
      <x:c r="D16" s="593" t="str">
        <x:v>CEDIA ACTUAL</x:v>
      </x:c>
      <x:c r="E16" s="593" t="str">
        <x:v>Investigación inicial no estructurada</x:v>
      </x:c>
      <x:c r="F16" s="593" t="str">
        <x:v>Brief de Investigación completado.</x:v>
      </x:c>
      <x:c r="G16" s="593" t="str">
        <x:v>Mentoría 1 — Diagnóstico y posicionamiento</x:v>
      </x:c>
      <x:c r="H16" s="593" t="str">
        <x:v>A / transversal</x:v>
      </x:c>
      <x:c r="I16" s="593" t="str">
        <x:v>Detectar contexto/brecha y explicar qué información falta.</x:v>
      </x:c>
    </x:row>
    <x:row r="17">
      <x:c r="A17" s="593" t="str">
        <x:v>Descubrir y enfocar</x:v>
      </x:c>
      <x:c r="B17" s="593" t="str">
        <x:v>IDE-004</x:v>
      </x:c>
      <x:c r="C17" s="593" t="str">
        <x:v>Componentes de Preguntas Poderosas</x:v>
      </x:c>
      <x:c r="D17" s="593" t="str">
        <x:v>CEDIA ACTUAL</x:v>
      </x:c>
      <x:c r="E17" s="593" t="str">
        <x:v>Preguntas que no generan información suficiente</x:v>
      </x:c>
      <x:c r="F17" s="593" t="str">
        <x:v>Matriz de Componentes de Preguntas Poderosas completada.</x:v>
      </x:c>
      <x:c r="G17" s="593" t="str">
        <x:v>Mentoría 1 — Diagnóstico y posicionamiento</x:v>
      </x:c>
      <x:c r="H17" s="593" t="str">
        <x:v>A / transversal</x:v>
      </x:c>
      <x:c r="I17" s="593" t="str">
        <x:v>Detectar contexto/brecha y explicar qué información falta.</x:v>
      </x:c>
    </x:row>
    <x:row r="18">
      <x:c r="A18" s="593" t="str">
        <x:v>Descubrir y enfocar</x:v>
      </x:c>
      <x:c r="B18" s="593" t="str">
        <x:v>IDE-005</x:v>
      </x:c>
      <x:c r="C18" s="593" t="str">
        <x:v>Diagrama de Ishikawa</x:v>
      </x:c>
      <x:c r="D18" s="593" t="str">
        <x:v>CEDIA ACTUAL</x:v>
      </x:c>
      <x:c r="E18" s="593" t="str">
        <x:v>Causas del problema no analizadas sistemáticamente</x:v>
      </x:c>
      <x:c r="F18" s="593" t="str">
        <x:v>Diagrama de Ishikawa completado.</x:v>
      </x:c>
      <x:c r="G18" s="593" t="str">
        <x:v>Mentoría 1 — Diagnóstico y posicionamiento</x:v>
      </x:c>
      <x:c r="H18" s="593" t="str">
        <x:v>A / transversal</x:v>
      </x:c>
      <x:c r="I18" s="593" t="str">
        <x:v>Detectar contexto/brecha y explicar qué información falta.</x:v>
      </x:c>
    </x:row>
    <x:row r="19">
      <x:c r="A19" s="593" t="str">
        <x:v>Descubrir y enfocar</x:v>
      </x:c>
      <x:c r="B19" s="593" t="str">
        <x:v>IDE-008</x:v>
      </x:c>
      <x:c r="C19" s="593" t="str">
        <x:v>Planteamiento del Problema</x:v>
      </x:c>
      <x:c r="D19" s="593" t="str">
        <x:v>CEDIA ACTUAL</x:v>
      </x:c>
      <x:c r="E19" s="593" t="str">
        <x:v>Problema, beneficiario y contexto insuficientemente definidos</x:v>
      </x:c>
      <x:c r="F19" s="593" t="str">
        <x:v>Lienzo de Planteamiento del Problema completado.</x:v>
      </x:c>
      <x:c r="G19" s="593" t="str">
        <x:v>Mentoría 1 — Diagnóstico y posicionamiento</x:v>
      </x:c>
      <x:c r="H19" s="593" t="str">
        <x:v>A / transversal</x:v>
      </x:c>
      <x:c r="I19" s="593" t="str">
        <x:v>Detectar contexto/brecha y explicar qué información falta.</x:v>
      </x:c>
    </x:row>
    <x:row r="20">
      <x:c r="A20" s="593" t="str">
        <x:v>Descubrir y enfocar</x:v>
      </x:c>
      <x:c r="B20" s="593" t="str">
        <x:v>IDE-001</x:v>
      </x:c>
      <x:c r="C20" s="593" t="str">
        <x:v>Árbol de Problemas</x:v>
      </x:c>
      <x:c r="D20" s="593" t="str">
        <x:v>CEDIA ACTUAL</x:v>
      </x:c>
      <x:c r="E20" s="593" t="str">
        <x:v>Problema central, causas y efectos no estructurados</x:v>
      </x:c>
      <x:c r="F20" s="593" t="str">
        <x:v>Árbol de Problemas completado.</x:v>
      </x:c>
      <x:c r="G20" s="593" t="str">
        <x:v>Mentoría 1 — Diagnóstico y posicionamiento</x:v>
      </x:c>
      <x:c r="H20" s="593" t="str">
        <x:v>A / transversal</x:v>
      </x:c>
      <x:c r="I20" s="593" t="str">
        <x:v>Detectar contexto/brecha y explicar qué información falta.</x:v>
      </x:c>
    </x:row>
    <x:row r="21">
      <x:c r="A21" s="593" t="str">
        <x:v>Descubrir y enfocar</x:v>
      </x:c>
      <x:c r="B21" s="593" t="str">
        <x:v>MKT-001</x:v>
      </x:c>
      <x:c r="C21" s="593" t="str">
        <x:v>Buyer Persona</x:v>
      </x:c>
      <x:c r="D21" s="593" t="str">
        <x:v>CEDIA ACTUAL</x:v>
      </x:c>
      <x:c r="E21" s="593" t="str">
        <x:v>Cliente ideal insuficientemente caracterizado</x:v>
      </x:c>
      <x:c r="F21" s="593" t="str">
        <x:v>Ficha de Buyer Persona completada.</x:v>
      </x:c>
      <x:c r="G21" s="593" t="str">
        <x:v>Mentoría 1 — Diagnóstico y posicionamiento</x:v>
      </x:c>
      <x:c r="H21" s="593" t="str">
        <x:v>A / transversal</x:v>
      </x:c>
      <x:c r="I21" s="593" t="str">
        <x:v>Detectar contexto/brecha y explicar qué información falta.</x:v>
      </x:c>
    </x:row>
    <x:row r="22">
      <x:c r="A22" s="593" t="str">
        <x:v>Descubrir y enfocar</x:v>
      </x:c>
      <x:c r="B22" s="593" t="str">
        <x:v>PRO-001</x:v>
      </x:c>
      <x:c r="C22" s="593" t="str">
        <x:v>Job To Be Done</x:v>
      </x:c>
      <x:c r="D22" s="593" t="str">
        <x:v>CEDIA ACTUAL</x:v>
      </x:c>
      <x:c r="E22" s="593" t="str">
        <x:v>Trabajos y necesidades prioritarias del cliente no definidos</x:v>
      </x:c>
      <x:c r="F22" s="593" t="str">
        <x:v>Lienzo Job To Be Done completado.</x:v>
      </x:c>
      <x:c r="G22" s="593" t="str">
        <x:v>Mentoría 1 — Diagnóstico y posicionamiento</x:v>
      </x:c>
      <x:c r="H22" s="593" t="str">
        <x:v>A / transversal</x:v>
      </x:c>
      <x:c r="I22" s="593" t="str">
        <x:v>Detectar contexto/brecha y explicar qué información falta.</x:v>
      </x:c>
    </x:row>
    <x:row r="23">
      <x:c r="A23" s="593" t="str">
        <x:v>Descubrir y enfocar</x:v>
      </x:c>
      <x:c r="B23" s="593" t="str">
        <x:v>PRO-002</x:v>
      </x:c>
      <x:c r="C23" s="593" t="str">
        <x:v>Mapa de Empatía</x:v>
      </x:c>
      <x:c r="D23" s="593" t="str">
        <x:v>CEDIA ACTUAL</x:v>
      </x:c>
      <x:c r="E23" s="593" t="str">
        <x:v>Motivaciones y frustraciones del cliente no comprendidas</x:v>
      </x:c>
      <x:c r="F23" s="593" t="str">
        <x:v>Mapa de Empatía completado.</x:v>
      </x:c>
      <x:c r="G23" s="593" t="str">
        <x:v>Mentoría 1 — Diagnóstico y posicionamiento</x:v>
      </x:c>
      <x:c r="H23" s="593" t="str">
        <x:v>A / transversal</x:v>
      </x:c>
      <x:c r="I23" s="593" t="str">
        <x:v>Detectar contexto/brecha y explicar qué información falta.</x:v>
      </x:c>
    </x:row>
    <x:row r="24">
      <x:c r="A24" s="593" t="str">
        <x:v>Descubrir y enfocar</x:v>
      </x:c>
      <x:c r="B24" s="593" t="str">
        <x:v>TEN-001</x:v>
      </x:c>
      <x:c r="C24" s="593" t="str">
        <x:v>Componentes de Tendencias</x:v>
      </x:c>
      <x:c r="D24" s="593" t="str">
        <x:v>CEDIA ACTUAL</x:v>
      </x:c>
      <x:c r="E24" s="593" t="str">
        <x:v>Convergencia de tendencias y áreas de innovación no identificadas</x:v>
      </x:c>
      <x:c r="F24" s="593" t="str">
        <x:v>Mapa de intersección de tendencias y patrones completado.</x:v>
      </x:c>
      <x:c r="G24" s="593" t="str">
        <x:v>Mentoría 1 — Diagnóstico y posicionamiento</x:v>
      </x:c>
      <x:c r="H24" s="593" t="str">
        <x:v>A / transversal</x:v>
      </x:c>
      <x:c r="I24" s="593" t="str">
        <x:v>Detectar contexto/brecha y explicar qué información falta.</x:v>
      </x:c>
    </x:row>
    <x:row r="25">
      <x:c r="A25" s="593" t="str">
        <x:v>Descubrir y enfocar</x:v>
      </x:c>
      <x:c r="B25" s="593" t="str">
        <x:v>TEN-002</x:v>
      </x:c>
      <x:c r="C25" s="593" t="str">
        <x:v>Future Compass</x:v>
      </x:c>
      <x:c r="D25" s="593" t="str">
        <x:v>CEDIA ACTUAL</x:v>
      </x:c>
      <x:c r="E25" s="593" t="str">
        <x:v>Escenarios y contexto del problema insuficientemente comprendidos</x:v>
      </x:c>
      <x:c r="F25" s="593" t="str">
        <x:v>Future Compass completado.</x:v>
      </x:c>
      <x:c r="G25" s="593" t="str">
        <x:v>Mentoría 1 — Diagnóstico y posicionamiento</x:v>
      </x:c>
      <x:c r="H25" s="593" t="str">
        <x:v>A / transversal</x:v>
      </x:c>
      <x:c r="I25" s="593" t="str">
        <x:v>Detectar contexto/brecha y explicar qué información falta.</x:v>
      </x:c>
    </x:row>
    <x:row r="26">
      <x:c r="A26" s="593" t="str">
        <x:v>Descubrir y enfocar</x:v>
      </x:c>
      <x:c r="B26" s="593" t="str">
        <x:v>TEN-003</x:v>
      </x:c>
      <x:c r="C26" s="593" t="str">
        <x:v>Mapa de Tendencias</x:v>
      </x:c>
      <x:c r="D26" s="593" t="str">
        <x:v>CEDIA ACTUAL</x:v>
      </x:c>
      <x:c r="E26" s="593" t="str">
        <x:v>Impacto de tendencias y patrones sobre el sector no comprendido</x:v>
      </x:c>
      <x:c r="F26" s="593" t="str">
        <x:v>Mapa de Tendencias analizado y documentado.</x:v>
      </x:c>
      <x:c r="G26" s="593" t="str">
        <x:v>Mentoría 1 — Diagnóstico y posicionamiento</x:v>
      </x:c>
      <x:c r="H26" s="593" t="str">
        <x:v>A / transversal</x:v>
      </x:c>
      <x:c r="I26" s="593" t="str">
        <x:v>Detectar contexto/brecha y explicar qué información falta.</x:v>
      </x:c>
    </x:row>
    <x:row r="27">
      <x:c r="A27" s="593" t="str">
        <x:v>Descubrir y enfocar</x:v>
      </x:c>
      <x:c r="B27" s="593" t="str">
        <x:v>TEN-004</x:v>
      </x:c>
      <x:c r="C27" s="593" t="str">
        <x:v>Trend Canvas</x:v>
      </x:c>
      <x:c r="D27" s="593" t="str">
        <x:v>CEDIA ACTUAL</x:v>
      </x:c>
      <x:c r="E27" s="593" t="str">
        <x:v>Tendencia no traducida en una oportunidad de innovación</x:v>
      </x:c>
      <x:c r="F27" s="593" t="str">
        <x:v>Trend Canvas completado.</x:v>
      </x:c>
      <x:c r="G27" s="593" t="str">
        <x:v>Mentoría 1 — Diagnóstico y posicionamiento</x:v>
      </x:c>
      <x:c r="H27" s="593" t="str">
        <x:v>A / transversal</x:v>
      </x:c>
      <x:c r="I27" s="593" t="str">
        <x:v>Detectar contexto/brecha y explicar qué información falta.</x:v>
      </x:c>
    </x:row>
    <x:row r="28">
      <x:c r="A28" s="594" t="str">
        <x:v>Idear y diseñar</x:v>
      </x:c>
      <x:c r="B28" s="594" t="str">
        <x:v>IDE-002</x:v>
      </x:c>
      <x:c r="C28" s="594" t="str">
        <x:v>Brainstorming</x:v>
      </x:c>
      <x:c r="D28" s="594" t="str">
        <x:v>CEDIA ACTUAL</x:v>
      </x:c>
      <x:c r="E28" s="594" t="str">
        <x:v>Falta de alternativas de solución</x:v>
      </x:c>
      <x:c r="F28" s="594" t="str">
        <x:v>Registro de ideas generadas y selección/priorización posterior.</x:v>
      </x:c>
      <x:c r="G28" s="594" t="str">
        <x:v>Mentoría 2 — Valorización y brechas</x:v>
      </x:c>
      <x:c r="H28" s="594" t="str">
        <x:v>A / B</x:v>
      </x:c>
      <x:c r="I28" s="594" t="str">
        <x:v>Guiar la aplicación de la herramienta sin inventar evidencia.</x:v>
      </x:c>
    </x:row>
    <x:row r="29">
      <x:c r="A29" s="594" t="str">
        <x:v>Idear y diseñar</x:v>
      </x:c>
      <x:c r="B29" s="594" t="str">
        <x:v>IDE-006</x:v>
      </x:c>
      <x:c r="C29" s="594" t="str">
        <x:v>How Might We</x:v>
      </x:c>
      <x:c r="D29" s="594" t="str">
        <x:v>CEDIA ACTUAL</x:v>
      </x:c>
      <x:c r="E29" s="594" t="str">
        <x:v>Insights no convertidos en preguntas de oportunidad</x:v>
      </x:c>
      <x:c r="F29" s="594" t="str">
        <x:v>Matriz de insights y preguntas «¿Cómo podríamos…?» completada.</x:v>
      </x:c>
      <x:c r="G29" s="594" t="str">
        <x:v>Mentoría 2 — Valorización y brechas</x:v>
      </x:c>
      <x:c r="H29" s="594" t="str">
        <x:v>A / B</x:v>
      </x:c>
      <x:c r="I29" s="594" t="str">
        <x:v>Guiar la aplicación de la herramienta sin inventar evidencia.</x:v>
      </x:c>
    </x:row>
    <x:row r="30">
      <x:c r="A30" s="594" t="str">
        <x:v>Idear y diseñar</x:v>
      </x:c>
      <x:c r="B30" s="594" t="str">
        <x:v>IDE-007</x:v>
      </x:c>
      <x:c r="C30" s="594" t="str">
        <x:v>Lotus Blossom</x:v>
      </x:c>
      <x:c r="D30" s="594" t="str">
        <x:v>CEDIA ACTUAL</x:v>
      </x:c>
      <x:c r="E30" s="594" t="str">
        <x:v>Concepto o reto insuficientemente expandido</x:v>
      </x:c>
      <x:c r="F30" s="594" t="str">
        <x:v>Matriz Lotus Blossom completada y priorizada.</x:v>
      </x:c>
      <x:c r="G30" s="594" t="str">
        <x:v>Mentoría 2 — Valorización y brechas</x:v>
      </x:c>
      <x:c r="H30" s="594" t="str">
        <x:v>A / B</x:v>
      </x:c>
      <x:c r="I30" s="594" t="str">
        <x:v>Guiar la aplicación de la herramienta sin inventar evidencia.</x:v>
      </x:c>
    </x:row>
    <x:row r="31">
      <x:c r="A31" s="594" t="str">
        <x:v>Idear y diseñar</x:v>
      </x:c>
      <x:c r="B31" s="594" t="str">
        <x:v>PRO-004</x:v>
      </x:c>
      <x:c r="C31" s="594" t="str">
        <x:v>Requisitos de Solución</x:v>
      </x:c>
      <x:c r="D31" s="594" t="str">
        <x:v>CEDIA ACTUAL</x:v>
      </x:c>
      <x:c r="E31" s="594" t="str">
        <x:v>Requisitos de solución insuficientemente especificados</x:v>
      </x:c>
      <x:c r="F31" s="594" t="str">
        <x:v>Matriz/listado de Requisitos de Solución completado.</x:v>
      </x:c>
      <x:c r="G31" s="594" t="str">
        <x:v>Mentoría 2 — Valorización y brechas</x:v>
      </x:c>
      <x:c r="H31" s="594" t="str">
        <x:v>A / B</x:v>
      </x:c>
      <x:c r="I31" s="594" t="str">
        <x:v>Guiar la aplicación de la herramienta sin inventar evidencia.</x:v>
      </x:c>
    </x:row>
    <x:row r="32">
      <x:c r="A32" s="594" t="str">
        <x:v>Idear y diseñar</x:v>
      </x:c>
      <x:c r="B32" s="594" t="str">
        <x:v>PRO-005</x:v>
      </x:c>
      <x:c r="C32" s="594" t="str">
        <x:v>Storyboard</x:v>
      </x:c>
      <x:c r="D32" s="594" t="str">
        <x:v>CEDIA ACTUAL</x:v>
      </x:c>
      <x:c r="E32" s="594" t="str">
        <x:v>Experiencia de interacción no visualizada</x:v>
      </x:c>
      <x:c r="F32" s="594" t="str">
        <x:v>Storyboard completado con viñetas, descripciones y observaciones.</x:v>
      </x:c>
      <x:c r="G32" s="594" t="str">
        <x:v>Mentoría 2 — Valorización y brechas</x:v>
      </x:c>
      <x:c r="H32" s="594" t="str">
        <x:v>A / B</x:v>
      </x:c>
      <x:c r="I32" s="594" t="str">
        <x:v>Guiar la aplicación de la herramienta sin inventar evidencia.</x:v>
      </x:c>
    </x:row>
    <x:row r="33">
      <x:c r="A33" s="594" t="str">
        <x:v>Idear y diseñar</x:v>
      </x:c>
      <x:c r="B33" s="594" t="str">
        <x:v>PRO-003</x:v>
      </x:c>
      <x:c r="C33" s="594" t="str">
        <x:v>¿Qué debe hacer mi solución?</x:v>
      </x:c>
      <x:c r="D33" s="594" t="str">
        <x:v>CEDIA ACTUAL</x:v>
      </x:c>
      <x:c r="E33" s="594" t="str">
        <x:v>Atributos de solución no alineados con necesidades</x:v>
      </x:c>
      <x:c r="F33" s="594" t="str">
        <x:v>Lienzo «¿Qué debe hacer mi solución?» completado.</x:v>
      </x:c>
      <x:c r="G33" s="594" t="str">
        <x:v>Mentoría 2 — Valorización y brechas</x:v>
      </x:c>
      <x:c r="H33" s="594" t="str">
        <x:v>A / B</x:v>
      </x:c>
      <x:c r="I33" s="594" t="str">
        <x:v>Guiar la aplicación de la herramienta sin inventar evidencia.</x:v>
      </x:c>
    </x:row>
    <x:row r="34">
      <x:c r="A34" s="594" t="str">
        <x:v>Idear y diseñar</x:v>
      </x:c>
      <x:c r="B34" s="594" t="str">
        <x:v>SER-001</x:v>
      </x:c>
      <x:c r="C34" s="594" t="str">
        <x:v>Servucción</x:v>
      </x:c>
      <x:c r="D34" s="594" t="str">
        <x:v>CEDIA ACTUAL</x:v>
      </x:c>
      <x:c r="E34" s="594" t="str">
        <x:v>Producción y experiencia del servicio no estructuradas</x:v>
      </x:c>
      <x:c r="F34" s="594" t="str">
        <x:v>Modelo de Servucción completado.</x:v>
      </x:c>
      <x:c r="G34" s="594" t="str">
        <x:v>Mentoría 2 — Valorización y brechas</x:v>
      </x:c>
      <x:c r="H34" s="594" t="str">
        <x:v>A / B</x:v>
      </x:c>
      <x:c r="I34" s="594" t="str">
        <x:v>Guiar la aplicación de la herramienta sin inventar evidencia.</x:v>
      </x:c>
    </x:row>
    <x:row r="35">
      <x:c r="A35" s="595" t="str">
        <x:v>Definir valor y modelo</x:v>
      </x:c>
      <x:c r="B35" s="595" t="str">
        <x:v>MKT-002</x:v>
      </x:c>
      <x:c r="C35" s="595" t="str">
        <x:v>Círculo de Oro</x:v>
      </x:c>
      <x:c r="D35" s="595" t="str">
        <x:v>CEDIA ACTUAL</x:v>
      </x:c>
      <x:c r="E35" s="595" t="str">
        <x:v>Propósito y diferenciación no articulados</x:v>
      </x:c>
      <x:c r="F35" s="595" t="str">
        <x:v>Lienzo de Círculo de Oro completado.</x:v>
      </x:c>
      <x:c r="G35" s="595" t="str">
        <x:v>Mentoría 2 / 3 — Valorización + estrategia</x:v>
      </x:c>
      <x:c r="H35" s="595" t="str">
        <x:v>B / C</x:v>
      </x:c>
      <x:c r="I35" s="595" t="str">
        <x:v>Hacer explícitas hipótesis de valor/modelo y señalar qué validar.</x:v>
      </x:c>
    </x:row>
    <x:row r="36">
      <x:c r="A36" s="595" t="str">
        <x:v>Definir valor y modelo</x:v>
      </x:c>
      <x:c r="B36" s="595" t="str">
        <x:v>MKT-003</x:v>
      </x:c>
      <x:c r="C36" s="595" t="str">
        <x:v>FODA</x:v>
      </x:c>
      <x:c r="D36" s="595" t="str">
        <x:v>CEDIA ACTUAL</x:v>
      </x:c>
      <x:c r="E36" s="595" t="str">
        <x:v>Situación interna y externa no estructurada</x:v>
      </x:c>
      <x:c r="F36" s="595" t="str">
        <x:v>Matriz FODA completada.</x:v>
      </x:c>
      <x:c r="G36" s="595" t="str">
        <x:v>Mentoría 2 / 3 — Valorización + estrategia</x:v>
      </x:c>
      <x:c r="H36" s="595" t="str">
        <x:v>B / C</x:v>
      </x:c>
      <x:c r="I36" s="595" t="str">
        <x:v>Hacer explícitas hipótesis de valor/modelo y señalar qué validar.</x:v>
      </x:c>
    </x:row>
    <x:row r="37">
      <x:c r="A37" s="595" t="str">
        <x:v>Definir valor y modelo</x:v>
      </x:c>
      <x:c r="B37" s="595" t="str">
        <x:v>MKT-004</x:v>
      </x:c>
      <x:c r="C37" s="595" t="str">
        <x:v>Mapa de Posicionamiento</x:v>
      </x:c>
      <x:c r="D37" s="595" t="str">
        <x:v>CEDIA ACTUAL</x:v>
      </x:c>
      <x:c r="E37" s="595" t="str">
        <x:v>Competencia y posicionamiento relativo poco claros</x:v>
      </x:c>
      <x:c r="F37" s="595" t="str">
        <x:v>Mapa de Posicionamiento completado con ejes y actores ubicados.</x:v>
      </x:c>
      <x:c r="G37" s="595" t="str">
        <x:v>Mentoría 2 / 3 — Valorización + estrategia</x:v>
      </x:c>
      <x:c r="H37" s="595" t="str">
        <x:v>B / C</x:v>
      </x:c>
      <x:c r="I37" s="595" t="str">
        <x:v>Hacer explícitas hipótesis de valor/modelo y señalar qué validar.</x:v>
      </x:c>
    </x:row>
    <x:row r="38">
      <x:c r="A38" s="595" t="str">
        <x:v>Definir valor y modelo</x:v>
      </x:c>
      <x:c r="B38" s="595" t="str">
        <x:v>NEG-001</x:v>
      </x:c>
      <x:c r="C38" s="595" t="str">
        <x:v>Business Model Canvas</x:v>
      </x:c>
      <x:c r="D38" s="595" t="str">
        <x:v>CEDIA ACTUAL</x:v>
      </x:c>
      <x:c r="E38" s="595" t="str">
        <x:v>Modelo de negocio no estructurado integralmente</x:v>
      </x:c>
      <x:c r="F38" s="595" t="str">
        <x:v>Business Model Canvas completado.</x:v>
      </x:c>
      <x:c r="G38" s="595" t="str">
        <x:v>Mentoría 2 / 3 — Valorización + estrategia</x:v>
      </x:c>
      <x:c r="H38" s="595" t="str">
        <x:v>B / C</x:v>
      </x:c>
      <x:c r="I38" s="595" t="str">
        <x:v>Hacer explícitas hipótesis de valor/modelo y señalar qué validar.</x:v>
      </x:c>
    </x:row>
    <x:row r="39">
      <x:c r="A39" s="595" t="str">
        <x:v>Definir valor y modelo</x:v>
      </x:c>
      <x:c r="B39" s="595" t="str">
        <x:v>NEG-002</x:v>
      </x:c>
      <x:c r="C39" s="595" t="str">
        <x:v>Lienzo de Propuesta de Valor</x:v>
      </x:c>
      <x:c r="D39" s="595" t="str">
        <x:v>CEDIA ACTUAL</x:v>
      </x:c>
      <x:c r="E39" s="595" t="str">
        <x:v>Supuestos críticos no priorizados</x:v>
      </x:c>
      <x:c r="F39" s="595" t="str">
        <x:v>Lienzo de Propuesta de Valor completado.</x:v>
      </x:c>
      <x:c r="G39" s="595" t="str">
        <x:v>Mentoría 2 / 3 — Valorización + estrategia</x:v>
      </x:c>
      <x:c r="H39" s="595" t="str">
        <x:v>B / C</x:v>
      </x:c>
      <x:c r="I39" s="595" t="str">
        <x:v>Hacer explícitas hipótesis de valor/modelo y señalar qué validar.</x:v>
      </x:c>
    </x:row>
    <x:row r="40">
      <x:c r="A40" s="596" t="str">
        <x:v>Validar y aprender</x:v>
      </x:c>
      <x:c r="B40" s="596" t="str">
        <x:v>PRO-006</x:v>
      </x:c>
      <x:c r="C40" s="596" t="str">
        <x:v>Tres Lupas</x:v>
      </x:c>
      <x:c r="D40" s="596" t="str">
        <x:v>CEDIA ACTUAL</x:v>
      </x:c>
      <x:c r="E40" s="596" t="str">
        <x:v>Deseabilidad, factibilidad y viabilidad no evaluadas conjuntamente</x:v>
      </x:c>
      <x:c r="F40" s="596" t="str">
        <x:v>Lienzo Tres Lupas completado con análisis de las tres perspectivas.</x:v>
      </x:c>
      <x:c r="G40" s="596" t="str">
        <x:v>Mentoría 2 — Valorización y brechas</x:v>
      </x:c>
      <x:c r="H40" s="596" t="str">
        <x:v>A / B / C</x:v>
      </x:c>
      <x:c r="I40" s="596" t="str">
        <x:v>Convertir incertidumbre en prueba, evidencia, aprendizaje y decisión.</x:v>
      </x:c>
    </x:row>
    <x:row r="41">
      <x:c r="A41" s="596" t="str">
        <x:v>Validar y aprender</x:v>
      </x:c>
      <x:c r="B41" s="597" t="str">
        <x:v>VAL-001</x:v>
      </x:c>
      <x:c r="C41" s="597" t="str">
        <x:v>Mapa de Supuestos e Hipótesis Críticas</x:v>
      </x:c>
      <x:c r="D41" s="597" t="str">
        <x:v>PROPUESTA BENCHMARK</x:v>
      </x:c>
      <x:c r="E41" s="596" t="str">
        <x:v>Supuestos críticos no priorizados</x:v>
      </x:c>
      <x:c r="F41" s="596" t="str">
        <x:v>Mapa de supuestos con hipótesis priorizadas, nivel de evidencia y orden de prueba.</x:v>
      </x:c>
      <x:c r="G41" s="596" t="str">
        <x:v>Mentoría 2 — Valorización y brechas</x:v>
      </x:c>
      <x:c r="H41" s="596" t="str">
        <x:v>A / B / C</x:v>
      </x:c>
      <x:c r="I41" s="596" t="str">
        <x:v>Convertir incertidumbre en prueba, evidencia, aprendizaje y decisión.</x:v>
      </x:c>
    </x:row>
    <x:row r="42">
      <x:c r="A42" s="596" t="str">
        <x:v>Validar y aprender</x:v>
      </x:c>
      <x:c r="B42" s="597" t="str">
        <x:v>VAL-003</x:v>
      </x:c>
      <x:c r="C42" s="597" t="str">
        <x:v>Tarjeta de Aprendizaje (Learning Card)</x:v>
      </x:c>
      <x:c r="D42" s="597" t="str">
        <x:v>PROPUESTA BENCHMARK</x:v>
      </x:c>
      <x:c r="E42" s="596" t="str">
        <x:v>Experimentos sin aprendizaje ni decisión trazable</x:v>
      </x:c>
      <x:c r="F42" s="596" t="str">
        <x:v>Learning Card con observaciones, aprendizaje, decisión y acción siguiente.</x:v>
      </x:c>
      <x:c r="G42" s="596" t="str">
        <x:v>Mentoría 2 — Valorización y brechas</x:v>
      </x:c>
      <x:c r="H42" s="596" t="str">
        <x:v>A / B / C</x:v>
      </x:c>
      <x:c r="I42" s="596" t="str">
        <x:v>Convertir incertidumbre en prueba, evidencia, aprendizaje y decisión.</x:v>
      </x:c>
    </x:row>
    <x:row r="43">
      <x:c r="A43" s="596" t="str">
        <x:v>Validar y aprender</x:v>
      </x:c>
      <x:c r="B43" s="597" t="str">
        <x:v>VAL-002</x:v>
      </x:c>
      <x:c r="C43" s="597" t="str">
        <x:v>Tarjeta de Experimento (Test Card)</x:v>
      </x:c>
      <x:c r="D43" s="597" t="str">
        <x:v>PROPUESTA BENCHMARK</x:v>
      </x:c>
      <x:c r="E43" s="596" t="str">
        <x:v>Hipótesis crítica sin experimento definido</x:v>
      </x:c>
      <x:c r="F43" s="596" t="str">
        <x:v>Test Card / Tarjeta de Experimento completada.</x:v>
      </x:c>
      <x:c r="G43" s="596" t="str">
        <x:v>Mentoría 2 — Valorización y brechas</x:v>
      </x:c>
      <x:c r="H43" s="596" t="str">
        <x:v>A / B / C</x:v>
      </x:c>
      <x:c r="I43" s="596" t="str">
        <x:v>Convertir incertidumbre en prueba, evidencia, aprendizaje y decisión.</x:v>
      </x:c>
    </x:row>
    <x:row r="44">
      <x:c r="A44" s="598" t="str">
        <x:v>Madurar y proteger</x:v>
      </x:c>
      <x:c r="B44" s="599" t="str">
        <x:v>MAD-001</x:v>
      </x:c>
      <x:c r="C44" s="599" t="str">
        <x:v>Plan de Maduración Tecnológica</x:v>
      </x:c>
      <x:c r="D44" s="599" t="str">
        <x:v>PROPUESTA BENCHMARK</x:v>
      </x:c>
      <x:c r="E44" s="598" t="str">
        <x:v>Brecha TRL sin plan de maduración</x:v>
      </x:c>
      <x:c r="F44" s="598" t="str">
        <x:v>Plan de Maduración Tecnológica con brechas, actividades, hitos y criterios de salida.</x:v>
      </x:c>
      <x:c r="G44" s="598" t="str">
        <x:v>Mentoría 2 / 4 — Maduración + hoja de ruta</x:v>
      </x:c>
      <x:c r="H44" s="598" t="str">
        <x:v>B / A</x:v>
      </x:c>
      <x:c r="I44" s="598" t="str">
        <x:v>Traducir brecha técnica/PI en evidencia y acciones de maduración/protección.</x:v>
      </x:c>
    </x:row>
    <x:row r="45">
      <x:c r="A45" s="598" t="str">
        <x:v>Madurar y proteger</x:v>
      </x:c>
      <x:c r="B45" s="599" t="str">
        <x:v>TRA-003</x:v>
      </x:c>
      <x:c r="C45" s="599" t="str">
        <x:v>Ficha de Divulgación de Invención</x:v>
      </x:c>
      <x:c r="D45" s="599" t="str">
        <x:v>PROPUESTA BENCHMARK</x:v>
      </x:c>
      <x:c r="E45" s="598" t="str">
        <x:v>Invención no divulgada institucionalmente</x:v>
      </x:c>
      <x:c r="F45" s="598" t="str">
        <x:v>Ficha de Divulgación de Invención con anexos y trazabilidad básica.</x:v>
      </x:c>
      <x:c r="G45" s="598" t="str">
        <x:v>Mentoría 2 / 4 — Maduración + hoja de ruta</x:v>
      </x:c>
      <x:c r="H45" s="598" t="str">
        <x:v>B / A</x:v>
      </x:c>
      <x:c r="I45" s="598" t="str">
        <x:v>Traducir brecha técnica/PI en evidencia y acciones de maduración/protección.</x:v>
      </x:c>
    </x:row>
    <x:row r="46">
      <x:c r="A46" s="598" t="str">
        <x:v>Madurar y proteger</x:v>
      </x:c>
      <x:c r="B46" s="599" t="str">
        <x:v>TRA-001</x:v>
      </x:c>
      <x:c r="C46" s="599" t="str">
        <x:v>Libertad de Operación (Freedom to Operate)</x:v>
      </x:c>
      <x:c r="D46" s="599" t="str">
        <x:v>PROPUESTA BENCHMARK</x:v>
      </x:c>
      <x:c r="E46" s="598" t="str">
        <x:v>Libertad de operación no evaluada</x:v>
      </x:c>
      <x:c r="F46" s="598" t="str">
        <x:v>Matriz FTO con derechos relevantes, riesgo preliminar, incertidumbres y acción recomendada.</x:v>
      </x:c>
      <x:c r="G46" s="598" t="str">
        <x:v>Mentoría 2 / 4 — Maduración + hoja de ruta</x:v>
      </x:c>
      <x:c r="H46" s="598" t="str">
        <x:v>B / A</x:v>
      </x:c>
      <x:c r="I46" s="598" t="str">
        <x:v>Traducir brecha técnica/PI en evidencia y acciones de maduración/protección.</x:v>
      </x:c>
    </x:row>
    <x:row r="47">
      <x:c r="A47" s="600" t="str">
        <x:v>Transferir y conectar</x:v>
      </x:c>
      <x:c r="B47" s="600" t="str">
        <x:v>MKT-005</x:v>
      </x:c>
      <x:c r="C47" s="600" t="str">
        <x:v>Pitch Canvas</x:v>
      </x:c>
      <x:c r="D47" s="600" t="str">
        <x:v>CEDIA ACTUAL</x:v>
      </x:c>
      <x:c r="E47" s="600" t="str">
        <x:v>Presentación integral del proyecto incompleta</x:v>
      </x:c>
      <x:c r="F47" s="600" t="str">
        <x:v>Pitch Canvas completado.</x:v>
      </x:c>
      <x:c r="G47" s="600" t="str">
        <x:v>Mentoría 3 / 4 — Estrategia + hoja de ruta</x:v>
      </x:c>
      <x:c r="H47" s="600" t="str">
        <x:v>C</x:v>
      </x:c>
      <x:c r="I47" s="600" t="str">
        <x:v>Preparar actores, mecanismo y material de conexión/transferencia.</x:v>
      </x:c>
    </x:row>
    <x:row r="48">
      <x:c r="A48" s="600" t="str">
        <x:v>Transferir y conectar</x:v>
      </x:c>
      <x:c r="B48" s="601" t="str">
        <x:v>TRA-002</x:v>
      </x:c>
      <x:c r="C48" s="601" t="str">
        <x:v>Mapa de Cadena de Valor y Actores</x:v>
      </x:c>
      <x:c r="D48" s="601" t="str">
        <x:v>PROPUESTA BENCHMARK</x:v>
      </x:c>
      <x:c r="E48" s="600" t="str">
        <x:v>Cadena de valor y actores críticos no mapeados</x:v>
      </x:c>
      <x:c r="F48" s="600" t="str">
        <x:v>Mapa de cadena de valor y actores con capacidades/gaps priorizados.</x:v>
      </x:c>
      <x:c r="G48" s="600" t="str">
        <x:v>Mentoría 3 / 4 — Estrategia + hoja de ruta</x:v>
      </x:c>
      <x:c r="H48" s="600" t="str">
        <x:v>C</x:v>
      </x:c>
      <x:c r="I48" s="600" t="str">
        <x:v>Preparar actores, mecanismo y material de conexión/transferencia.</x:v>
      </x:c>
    </x:row>
    <x:row r="49">
      <x:c r="A49" s="602" t="str">
        <x:v>Adoptar y escalar</x:v>
      </x:c>
      <x:c r="B49" s="603" t="str">
        <x:v>ADO-001</x:v>
      </x:c>
      <x:c r="C49" s="603" t="str">
        <x:v>Mapa de Riesgos de Adopción / Comercialización</x:v>
      </x:c>
      <x:c r="D49" s="603" t="str">
        <x:v>PROPUESTA BENCHMARK</x:v>
      </x:c>
      <x:c r="E49" s="602" t="str">
        <x:v>Riesgos no técnicos de adopción no evaluados</x:v>
      </x:c>
      <x:c r="F49" s="602" t="str">
        <x:v>Matriz de riesgos de adopción por dimensiones y cuatro áreas, con prioridades y acciones.</x:v>
      </x:c>
      <x:c r="G49" s="602" t="str">
        <x:v>Mentoría 3 / 4 — Estrategia + hoja de ruta</x:v>
      </x:c>
      <x:c r="H49" s="602" t="str">
        <x:v>C</x:v>
      </x:c>
      <x:c r="I49" s="602" t="str">
        <x:v>Priorizar barreras de adopción y derivar acciones/servicios.</x:v>
      </x:c>
    </x:row>
  </x:sheetData>
  <x:mergeCells>
    <x:mergeCell ref="A1:I1"/>
    <x:mergeCell ref="A2:I2"/>
    <x:mergeCell ref="A14:I14"/>
  </x:mergeCells>
  <x:pageMargins left="0.7" right="0.7" top="0.75" bottom="0.75" header="0.3" footer="0.3"/>
</x:worksheet>
</file>

<file path=xl/worksheets/sheet30.xml><?xml version="1.0" encoding="utf-8"?>
<x:worksheet xmlns:x="http://schemas.openxmlformats.org/spreadsheetml/2006/main">
  <x:sheetFormatPr defaultRowHeight="15"/>
  <x:cols>
    <x:col min="1" max="1" width="10" hidden="0" customWidth="1"/>
    <x:col min="2" max="2" width="40" hidden="0" customWidth="1"/>
    <x:col min="3" max="3" width="42" hidden="0" customWidth="1"/>
    <x:col min="4" max="4" width="43" hidden="0" customWidth="1"/>
    <x:col min="5" max="5" width="34" hidden="0" customWidth="1"/>
    <x:col min="6" max="6" width="40" hidden="0" customWidth="1"/>
    <x:col min="7" max="7" width="33" hidden="0" customWidth="1"/>
    <x:col min="8" max="8" width="45" hidden="0" customWidth="1"/>
  </x:cols>
  <x:sheetData>
    <x:row r="1">
      <x:c r="A1" s="562" t="str">
        <x:v>29 — ARQUITECTURA FUNCIONAL FINAL DE LA IA · RUTA CEDIA DIGITAL</x:v>
      </x:c>
      <x:c r="B1" s="562" t="str">
        <x:v>29 — ARQUITECTURA FUNCIONAL FINAL DE LA IA · RUTA CEDIA DIGITAL</x:v>
      </x:c>
      <x:c r="C1" s="562" t="str">
        <x:v>29 — ARQUITECTURA FUNCIONAL FINAL DE LA IA · RUTA CEDIA DIGITAL</x:v>
      </x:c>
      <x:c r="D1" s="562" t="str">
        <x:v>29 — ARQUITECTURA FUNCIONAL FINAL DE LA IA · RUTA CEDIA DIGITAL</x:v>
      </x:c>
      <x:c r="E1" s="562" t="str">
        <x:v>29 — ARQUITECTURA FUNCIONAL FINAL DE LA IA · RUTA CEDIA DIGITAL</x:v>
      </x:c>
      <x:c r="F1" s="562" t="str">
        <x:v>29 — ARQUITECTURA FUNCIONAL FINAL DE LA IA · RUTA CEDIA DIGITAL</x:v>
      </x:c>
      <x:c r="G1" s="562" t="str">
        <x:v>29 — ARQUITECTURA FUNCIONAL FINAL DE LA IA · RUTA CEDIA DIGITAL</x:v>
      </x:c>
      <x:c r="H1" s="562" t="str">
        <x:v>29 — ARQUITECTURA FUNCIONAL FINAL DE LA IA · RUTA CEDIA DIGITAL</x:v>
      </x:c>
    </x:row>
    <x:row r="2" ht="45" customHeight="1">
      <x:c r="A2" s="566" t="str">
        <x:v>La IA interpreta lenguaje natural y acompaña al usuario, pero no decide sola la metodología. Las recomendaciones se sustentan en el motor determinístico del Excel: brecha + evidencia + prerrequisitos + objetivo + tipo de proyecto; TRL/CRL contextualizan.</x:v>
      </x:c>
      <x:c r="B2" s="566" t="str">
        <x:v>La IA interpreta lenguaje natural y acompaña al usuario, pero no decide sola la metodología. Las recomendaciones se sustentan en el motor determinístico del Excel: brecha + evidencia + prerrequisitos + objetivo + tipo de proyecto; TRL/CRL contextualizan.</x:v>
      </x:c>
      <x:c r="C2" s="566" t="str">
        <x:v>La IA interpreta lenguaje natural y acompaña al usuario, pero no decide sola la metodología. Las recomendaciones se sustentan en el motor determinístico del Excel: brecha + evidencia + prerrequisitos + objetivo + tipo de proyecto; TRL/CRL contextualizan.</x:v>
      </x:c>
      <x:c r="D2" s="566" t="str">
        <x:v>La IA interpreta lenguaje natural y acompaña al usuario, pero no decide sola la metodología. Las recomendaciones se sustentan en el motor determinístico del Excel: brecha + evidencia + prerrequisitos + objetivo + tipo de proyecto; TRL/CRL contextualizan.</x:v>
      </x:c>
      <x:c r="E2" s="566" t="str">
        <x:v>La IA interpreta lenguaje natural y acompaña al usuario, pero no decide sola la metodología. Las recomendaciones se sustentan en el motor determinístico del Excel: brecha + evidencia + prerrequisitos + objetivo + tipo de proyecto; TRL/CRL contextualizan.</x:v>
      </x:c>
      <x:c r="F2" s="566" t="str">
        <x:v>La IA interpreta lenguaje natural y acompaña al usuario, pero no decide sola la metodología. Las recomendaciones se sustentan en el motor determinístico del Excel: brecha + evidencia + prerrequisitos + objetivo + tipo de proyecto; TRL/CRL contextualizan.</x:v>
      </x:c>
      <x:c r="G2" s="566" t="str">
        <x:v>La IA interpreta lenguaje natural y acompaña al usuario, pero no decide sola la metodología. Las recomendaciones se sustentan en el motor determinístico del Excel: brecha + evidencia + prerrequisitos + objetivo + tipo de proyecto; TRL/CRL contextualizan.</x:v>
      </x:c>
      <x:c r="H2" s="566" t="str">
        <x:v>La IA interpreta lenguaje natural y acompaña al usuario, pero no decide sola la metodología. Las recomendaciones se sustentan en el motor determinístico del Excel: brecha + evidencia + prerrequisitos + objetivo + tipo de proyecto; TRL/CRL contextualizan.</x:v>
      </x:c>
    </x:row>
    <x:row r="4">
      <x:c r="A4" s="571" t="str">
        <x:v>PASO</x:v>
      </x:c>
      <x:c r="B4" s="571" t="str">
        <x:v>EXPERIENCIA DEL USUARIO</x:v>
      </x:c>
      <x:c r="C4" s="571" t="str">
        <x:v>FUNCIÓN DE LA IA</x:v>
      </x:c>
      <x:c r="D4" s="571" t="str">
        <x:v>FUNCIÓN DEL MOTOR METODOLÓGICO</x:v>
      </x:c>
      <x:c r="E4" s="571" t="str">
        <x:v>FUENTE DE DATOS</x:v>
      </x:c>
      <x:c r="F4" s="571" t="str">
        <x:v>SALIDA VISIBLE</x:v>
      </x:c>
      <x:c r="G4" s="571" t="str">
        <x:v>DERIVACIÓN HUMANA</x:v>
      </x:c>
      <x:c r="H4" s="571" t="str">
        <x:v>GUARDRAIL</x:v>
      </x:c>
    </x:row>
    <x:row r="5">
      <x:c r="A5" s="605" t="n">
        <x:v>1</x:v>
      </x:c>
      <x:c r="B5" s="604" t="str">
        <x:v>Describe su proyecto con sus propias palabras.</x:v>
      </x:c>
      <x:c r="C5" s="604" t="str">
        <x:v>Extrae entidades: resultado existente, objetivo, usuario/receptor, evidencia mencionada, incertidumbres y lenguaje de intención.</x:v>
      </x:c>
      <x:c r="D5" s="604" t="str">
        <x:v>No recomienda todavía si la brecha no está suficientemente definida.</x:v>
      </x:c>
      <x:c r="E5" s="604" t="str">
        <x:v>Conversación + 06_PREGUNTAS</x:v>
      </x:c>
      <x:c r="F5" s="604" t="str">
        <x:v>Resumen breve de lo entendido.</x:v>
      </x:c>
      <x:c r="G5" s="604" t="str">
        <x:v>—</x:v>
      </x:c>
      <x:c r="H5" s="604" t="str">
        <x:v>No inventar hechos no dichos por el usuario.</x:v>
      </x:c>
    </x:row>
    <x:row r="6">
      <x:c r="A6" s="607" t="n">
        <x:v>2</x:v>
      </x:c>
      <x:c r="B6" s="606" t="str">
        <x:v>Responde solo las preguntas necesarias.</x:v>
      </x:c>
      <x:c r="C6" s="606" t="str">
        <x:v>Formula preguntas de aclaración adaptativas y evita cuestionarios completos cuando ya existe evidencia.</x:v>
      </x:c>
      <x:c r="D6" s="606" t="str">
        <x:v>Activa preguntas asociadas a brechas candidatas.</x:v>
      </x:c>
      <x:c r="E6" s="606" t="str">
        <x:v>06_PREGUNTAS + 02_BRECHAS</x:v>
      </x:c>
      <x:c r="F6" s="606" t="str">
        <x:v>Brechas candidatas con nivel de confianza.</x:v>
      </x:c>
      <x:c r="G6" s="606" t="str">
        <x:v>—</x:v>
      </x:c>
      <x:c r="H6" s="606" t="str">
        <x:v>Máximo de preguntas por bloque; permitir «no sé».</x:v>
      </x:c>
    </x:row>
    <x:row r="7">
      <x:c r="A7" s="605" t="n">
        <x:v>3</x:v>
      </x:c>
      <x:c r="B7" s="604" t="str">
        <x:v>Adjunta o declara evidencia disponible.</x:v>
      </x:c>
      <x:c r="C7" s="604" t="str">
        <x:v>Clasifica el tipo de evidencia y explica qué puede o no demostrar.</x:v>
      </x:c>
      <x:c r="D7" s="604" t="str">
        <x:v>Comprueba existencia, calidad, vigencia y equivalencia de evidencia.</x:v>
      </x:c>
      <x:c r="E7" s="604" t="str">
        <x:v>04_EVIDENCIAS + 20_PRERREQUISITOS_EVIDENCIA</x:v>
      </x:c>
      <x:c r="F7" s="604" t="str">
        <x:v>Inventario de evidencia y faltantes.</x:v>
      </x:c>
      <x:c r="G7" s="604" t="str">
        <x:v>Mentoría si la evidencia requiere revisión experta.</x:v>
      </x:c>
      <x:c r="H7" s="604" t="str">
        <x:v>No considerar «tengo un documento» como evidencia suficiente sin verificar contenido/calidad.</x:v>
      </x:c>
    </x:row>
    <x:row r="8">
      <x:c r="A8" s="607" t="n">
        <x:v>4</x:v>
      </x:c>
      <x:c r="B8" s="606" t="str">
        <x:v>Evalúa madurez cuando aplica.</x:v>
      </x:c>
      <x:c r="C8" s="606" t="str">
        <x:v>Explica TRL/CRL en lenguaje simple y solicita evidencia de cada afirmación.</x:v>
      </x:c>
      <x:c r="D8" s="606" t="str">
        <x:v>Calcula/estima madurez con la calculadora refinada y registra brechas para subir de nivel.</x:v>
      </x:c>
      <x:c r="E8" s="606" t="str">
        <x:v>03_TRL_CRL + 11/12 + 26_PROPUESTA_TRL_FINAL</x:v>
      </x:c>
      <x:c r="F8" s="606" t="str">
        <x:v>TRL/CRL estimado + por qué + qué falta para avanzar.</x:v>
      </x:c>
      <x:c r="G8" s="606" t="str">
        <x:v>Mentoría / especialista si hay ambigüedad técnica.</x:v>
      </x:c>
      <x:c r="H8" s="606" t="str">
        <x:v>TRL no determina automáticamente la herramienta ni la ruta A/B/C.</x:v>
      </x:c>
    </x:row>
    <x:row r="9">
      <x:c r="A9" s="605" t="n">
        <x:v>5</x:v>
      </x:c>
      <x:c r="B9" s="604" t="str">
        <x:v>Recibe una recomendación priorizada.</x:v>
      </x:c>
      <x:c r="C9" s="604" t="str">
        <x:v>Traduce la lógica del motor a una explicación entendible.</x:v>
      </x:c>
      <x:c r="D9" s="604" t="str">
        <x:v>Selecciona una herramienta principal y hasta dos complementarias según reglas, dependencias y objetivo.</x:v>
      </x:c>
      <x:c r="E9" s="604" t="str">
        <x:v>05_REGLAS_RUTA + 07_DEPENDENCIAS + 28_RUTA_METODOLOGICA_FINAL</x:v>
      </x:c>
      <x:c r="F9" s="604" t="str">
        <x:v>Herramienta recomendada, razón, prerrequisitos y resultado esperado.</x:v>
      </x:c>
      <x:c r="G9" s="604" t="str">
        <x:v>Derivar si el problema no se resuelve con una plantilla.</x:v>
      </x:c>
      <x:c r="H9" s="604" t="str">
        <x:v>No recomendar por popularidad ni por coincidencia de palabras.</x:v>
      </x:c>
    </x:row>
    <x:row r="10">
      <x:c r="A10" s="607" t="n">
        <x:v>6</x:v>
      </x:c>
      <x:c r="B10" s="606" t="str">
        <x:v>Pregunta «¿qué es?» o «¿cómo la hago?».</x:v>
      </x:c>
      <x:c r="C10" s="606" t="str">
        <x:v>Explica la herramienta y acompaña paso a paso usando su ficha real.</x:v>
      </x:c>
      <x:c r="D10" s="606" t="str">
        <x:v>Consulta contenido de 01_HERRAMIENTAS y verifica prerrequisitos antes de avanzar.</x:v>
      </x:c>
      <x:c r="E10" s="606" t="str">
        <x:v>01_HERRAMIENTAS + 20_PRERREQUISITOS_EVIDENCIA</x:v>
      </x:c>
      <x:c r="F10" s="606" t="str">
        <x:v>Guía interactiva de aplicación.</x:v>
      </x:c>
      <x:c r="G10" s="606" t="str">
        <x:v>Taller/mentor si la herramienta requiere juicio experto.</x:v>
      </x:c>
      <x:c r="H10" s="606" t="str">
        <x:v>No volver a diagnosticar cuando el usuario hace una pregunta de seguimiento.</x:v>
      </x:c>
    </x:row>
    <x:row r="11">
      <x:c r="A11" s="605" t="n">
        <x:v>7</x:v>
      </x:c>
      <x:c r="B11" s="604" t="str">
        <x:v>Ejecuta una herramienta y registra el resultado.</x:v>
      </x:c>
      <x:c r="C11" s="604" t="str">
        <x:v>Ayuda a estructurar la respuesta del usuario sin fabricar datos.</x:v>
      </x:c>
      <x:c r="D11" s="604" t="str">
        <x:v>Registra la evidencia producida y la contrasta con el criterio de calidad/cierre.</x:v>
      </x:c>
      <x:c r="E11" s="604" t="str">
        <x:v>04_EVIDENCIAS + criterio de finalización de 01</x:v>
      </x:c>
      <x:c r="F11" s="604" t="str">
        <x:v>Evidencia nueva + estado: suficiente/parcial/insuficiente.</x:v>
      </x:c>
      <x:c r="G11" s="604" t="str">
        <x:v>Especialista si la evidencia es técnica/legal/regulatoria.</x:v>
      </x:c>
      <x:c r="H11" s="604" t="str">
        <x:v>Separar siempre dato observado, interpretación y recomendación.</x:v>
      </x:c>
    </x:row>
    <x:row r="12">
      <x:c r="A12" s="607" t="n">
        <x:v>8</x:v>
      </x:c>
      <x:c r="B12" s="606" t="str">
        <x:v>Ve qué cambió después de usar la herramienta.</x:v>
      </x:c>
      <x:c r="C12" s="606" t="str">
        <x:v>Resume el aprendizaje y el impacto sobre las brechas.</x:v>
      </x:c>
      <x:c r="D12" s="606" t="str">
        <x:v>Recalcula brechas; no avanza por lista fija.</x:v>
      </x:c>
      <x:c r="E12" s="606" t="str">
        <x:v>02_BRECHAS + 05_REGLAS_RUTA + 07_DEPENDENCIAS</x:v>
      </x:c>
      <x:c r="F12" s="606" t="str">
        <x:v>Brecha cerrada/abierta + siguiente mejor acción.</x:v>
      </x:c>
      <x:c r="G12" s="606" t="str">
        <x:v>—</x:v>
      </x:c>
      <x:c r="H12" s="606" t="str">
        <x:v>No obligar a ejecutar una herramienta antecedente si ya existe evidencia equivalente.</x:v>
      </x:c>
    </x:row>
    <x:row r="13">
      <x:c r="A13" s="605" t="n">
        <x:v>9</x:v>
      </x:c>
      <x:c r="B13" s="604" t="str">
        <x:v>Cuando corresponde, descubre apoyo de CEDIA.</x:v>
      </x:c>
      <x:c r="C13" s="604" t="str">
        <x:v>Explica por qué la necesidad supera una herramienta de autogestión.</x:v>
      </x:c>
      <x:c r="D13" s="604" t="str">
        <x:v>Relaciona la brecha con mentoría o servicio especializado disponible/validado.</x:v>
      </x:c>
      <x:c r="E13" s="604" t="str">
        <x:v>08_SERVICIOS_CEDIA + mapeo mentoría real</x:v>
      </x:c>
      <x:c r="F13" s="604" t="str">
        <x:v>Derivación: mentoría, PI, validación, conexión u otro servicio validado.</x:v>
      </x:c>
      <x:c r="G13" s="604" t="str">
        <x:v>Equipo CEDIA / mentoría / servicio especializado.</x:v>
      </x:c>
      <x:c r="H13" s="604" t="str">
        <x:v>No inventar servicios oficiales; marcar propuestas y disponibilidad por validar.</x:v>
      </x:c>
    </x:row>
    <x:row r="14">
      <x:c r="A14" s="607" t="n">
        <x:v>10</x:v>
      </x:c>
      <x:c r="B14" s="606" t="str">
        <x:v>Descarga/visualiza su resumen.</x:v>
      </x:c>
      <x:c r="C14" s="606" t="str">
        <x:v>Genera un resumen claro y accionable.</x:v>
      </x:c>
      <x:c r="D14" s="606" t="str">
        <x:v>Compila el estado metodológico sin alterar datos fuente.</x:v>
      </x:c>
      <x:c r="E14" s="606" t="str">
        <x:v>Proyecto + evidencia + brechas + ruta</x:v>
      </x:c>
      <x:c r="F14" s="606" t="str">
        <x:v>Pasaporte del Proyecto: estado, TRL/CRL, brecha, herramienta, evidencia y siguiente paso.</x:v>
      </x:c>
      <x:c r="G14" s="606" t="str">
        <x:v>Puede compartirse antes de mentoría.</x:v>
      </x:c>
      <x:c r="H14" s="606" t="str">
        <x:v>El pasaporte es prediagnóstico, no dictamen técnico/legal.</x:v>
      </x:c>
    </x:row>
    <x:row r="17">
      <x:c r="A17" s="587" t="str">
        <x:v>SALIDA ESTRELLA: PASAPORTE DEL PROYECTO</x:v>
      </x:c>
      <x:c r="B17" s="587" t="str">
        <x:v>SALIDA ESTRELLA: PASAPORTE DEL PROYECTO</x:v>
      </x:c>
      <x:c r="C17" s="587" t="str">
        <x:v>SALIDA ESTRELLA: PASAPORTE DEL PROYECTO</x:v>
      </x:c>
      <x:c r="D17" s="587" t="str">
        <x:v>SALIDA ESTRELLA: PASAPORTE DEL PROYECTO</x:v>
      </x:c>
      <x:c r="E17" s="587" t="str">
        <x:v>SALIDA ESTRELLA: PASAPORTE DEL PROYECTO</x:v>
      </x:c>
      <x:c r="F17" s="587" t="str">
        <x:v>SALIDA ESTRELLA: PASAPORTE DEL PROYECTO</x:v>
      </x:c>
      <x:c r="G17" s="587" t="str">
        <x:v>SALIDA ESTRELLA: PASAPORTE DEL PROYECTO</x:v>
      </x:c>
      <x:c r="H17" s="587" t="str">
        <x:v>SALIDA ESTRELLA: PASAPORTE DEL PROYECTO</x:v>
      </x:c>
    </x:row>
    <x:row r="18">
      <x:c r="A18" s="609" t="str">
        <x:v>Campo</x:v>
      </x:c>
      <x:c r="B18" s="609" t="str">
        <x:v>Contenido que genera la app</x:v>
      </x:c>
      <x:c r="C18" s="609" t="str">
        <x:v>Origen</x:v>
      </x:c>
    </x:row>
    <x:row r="19">
      <x:c r="A19" s="334" t="str">
        <x:v>Proyecto / resultado</x:v>
      </x:c>
      <x:c r="B19" s="334" t="str">
        <x:v>Nombre + descripción ejecutiva de lo que existe hoy.</x:v>
      </x:c>
      <x:c r="C19" s="334" t="str">
        <x:v>Usuario / IA</x:v>
      </x:c>
    </x:row>
    <x:row r="20">
      <x:c r="A20" s="334" t="str">
        <x:v>Objetivo actual</x:v>
      </x:c>
      <x:c r="B20" s="334" t="str">
        <x:v>Qué decisión o avance busca conseguir.</x:v>
      </x:c>
      <x:c r="C20" s="334" t="str">
        <x:v>Usuario</x:v>
      </x:c>
    </x:row>
    <x:row r="21">
      <x:c r="A21" s="334" t="str">
        <x:v>TRL / CRL</x:v>
      </x:c>
      <x:c r="B21" s="334" t="str">
        <x:v>Nivel estimado, evidencia que lo sustenta y limitaciones.</x:v>
      </x:c>
      <x:c r="C21" s="334" t="str">
        <x:v>Calculadora / evidencia</x:v>
      </x:c>
    </x:row>
    <x:row r="22">
      <x:c r="A22" s="334" t="str">
        <x:v>Brecha prioritaria</x:v>
      </x:c>
      <x:c r="B22" s="334" t="str">
        <x:v>La brecha que más bloquea el objetivo actual.</x:v>
      </x:c>
      <x:c r="C22" s="334" t="str">
        <x:v>Motor</x:v>
      </x:c>
    </x:row>
    <x:row r="23">
      <x:c r="A23" s="334" t="str">
        <x:v>Herramienta recomendada</x:v>
      </x:c>
      <x:c r="B23" s="334" t="str">
        <x:v>Una principal + complementarias si aportan valor.</x:v>
      </x:c>
      <x:c r="C23" s="334" t="str">
        <x:v>Motor</x:v>
      </x:c>
    </x:row>
    <x:row r="24">
      <x:c r="A24" s="334" t="str">
        <x:v>Evidencia esperada</x:v>
      </x:c>
      <x:c r="B24" s="334" t="str">
        <x:v>Qué debería existir al completar la acción.</x:v>
      </x:c>
      <x:c r="C24" s="334" t="str">
        <x:v>Diccionario de evidencias</x:v>
      </x:c>
    </x:row>
    <x:row r="25">
      <x:c r="A25" s="334" t="str">
        <x:v>Siguiente evaluación</x:v>
      </x:c>
      <x:c r="B25" s="334" t="str">
        <x:v>Qué se revisa después, sin asumir secuencia lineal.</x:v>
      </x:c>
      <x:c r="C25" s="334" t="str">
        <x:v>Reglas/dependencias</x:v>
      </x:c>
    </x:row>
    <x:row r="26">
      <x:c r="A26" s="334" t="str">
        <x:v>Apoyo CEDIA sugerido</x:v>
      </x:c>
      <x:c r="B26" s="334" t="str">
        <x:v>Mentoría o servicio validado cuando la brecha supera la autogestión.</x:v>
      </x:c>
      <x:c r="C26" s="334" t="str">
        <x:v>Catálogo de servicios</x:v>
      </x:c>
    </x:row>
    <x:row r="27">
      <x:c r="A27" s="334" t="str">
        <x:v>Estado de la recomendación</x:v>
      </x:c>
      <x:c r="B27" s="334" t="str">
        <x:v>Propuesta / validada / requiere especialista.</x:v>
      </x:c>
      <x:c r="C27" s="334" t="str">
        <x:v>Trazabilidad</x:v>
      </x:c>
    </x:row>
  </x:sheetData>
  <x:mergeCells>
    <x:mergeCell ref="A1:H1"/>
    <x:mergeCell ref="A2:H2"/>
    <x:mergeCell ref="A17:H17"/>
  </x:mergeCells>
  <x:pageMargins left="0.7" right="0.7" top="0.75" bottom="0.75" header="0.3" footer="0.3"/>
</x:worksheet>
</file>

<file path=xl/worksheets/sheet31.xml><?xml version="1.0" encoding="utf-8"?>
<x:worksheet xmlns:x="http://schemas.openxmlformats.org/spreadsheetml/2006/main">
  <x:sheetFormatPr defaultRowHeight="15"/>
  <x:cols>
    <x:col min="1" max="1" width="24" hidden="0" customWidth="1"/>
    <x:col min="2" max="2" width="26" hidden="0" customWidth="1"/>
    <x:col min="3" max="3" width="34" hidden="0" customWidth="1"/>
    <x:col min="4" max="4" width="36" hidden="0" customWidth="1"/>
    <x:col min="5" max="5" width="48" hidden="0" customWidth="1"/>
    <x:col min="6" max="6" width="24" hidden="0" customWidth="1"/>
    <x:col min="7" max="7" width="26" hidden="0" customWidth="1"/>
    <x:col min="8" max="8" width="26" hidden="0" customWidth="1"/>
    <x:col min="9" max="9" width="30" hidden="0" customWidth="1"/>
  </x:cols>
  <x:sheetData>
    <x:row r="1">
      <x:c r="A1" s="562" t="str">
        <x:v>30 — PLAN DE PROPUESTA PARA COMUNICACIÓN · RUTA CEDIA DIGITAL</x:v>
      </x:c>
      <x:c r="B1" s="562" t="str">
        <x:v>30 — PLAN DE PROPUESTA PARA COMUNICACIÓN · RUTA CEDIA DIGITAL</x:v>
      </x:c>
      <x:c r="C1" s="562" t="str">
        <x:v>30 — PLAN DE PROPUESTA PARA COMUNICACIÓN · RUTA CEDIA DIGITAL</x:v>
      </x:c>
      <x:c r="D1" s="562" t="str">
        <x:v>30 — PLAN DE PROPUESTA PARA COMUNICACIÓN · RUTA CEDIA DIGITAL</x:v>
      </x:c>
      <x:c r="E1" s="562" t="str">
        <x:v>30 — PLAN DE PROPUESTA PARA COMUNICACIÓN · RUTA CEDIA DIGITAL</x:v>
      </x:c>
      <x:c r="F1" s="562" t="str">
        <x:v>30 — PLAN DE PROPUESTA PARA COMUNICACIÓN · RUTA CEDIA DIGITAL</x:v>
      </x:c>
      <x:c r="G1" s="562" t="str">
        <x:v>30 — PLAN DE PROPUESTA PARA COMUNICACIÓN · RUTA CEDIA DIGITAL</x:v>
      </x:c>
      <x:c r="H1" s="562" t="str">
        <x:v>30 — PLAN DE PROPUESTA PARA COMUNICACIÓN · RUTA CEDIA DIGITAL</x:v>
      </x:c>
      <x:c r="I1" s="562" t="str">
        <x:v>30 — PLAN DE PROPUESTA PARA COMUNICACIÓN · RUTA CEDIA DIGITAL</x:v>
      </x:c>
    </x:row>
    <x:row r="2" ht="44" customHeight="1">
      <x:c r="A2" s="566" t="str">
        <x:v>Objetivo: preparar un brief listo para Comunicación una vez que el prototipo y la metodología sean aprobados. La campaña no vende 'una IA' aislada: comunica una puerta de entrada simple a herramientas, mentoría y servicios de innovación.</x:v>
      </x:c>
      <x:c r="B2" s="566" t="str">
        <x:v>Objetivo: preparar un brief listo para Comunicación una vez que el prototipo y la metodología sean aprobados. La campaña no vende 'una IA' aislada: comunica una puerta de entrada simple a herramientas, mentoría y servicios de innovación.</x:v>
      </x:c>
      <x:c r="C2" s="566" t="str">
        <x:v>Objetivo: preparar un brief listo para Comunicación una vez que el prototipo y la metodología sean aprobados. La campaña no vende 'una IA' aislada: comunica una puerta de entrada simple a herramientas, mentoría y servicios de innovación.</x:v>
      </x:c>
      <x:c r="D2" s="566" t="str">
        <x:v>Objetivo: preparar un brief listo para Comunicación una vez que el prototipo y la metodología sean aprobados. La campaña no vende 'una IA' aislada: comunica una puerta de entrada simple a herramientas, mentoría y servicios de innovación.</x:v>
      </x:c>
      <x:c r="E2" s="566" t="str">
        <x:v>Objetivo: preparar un brief listo para Comunicación una vez que el prototipo y la metodología sean aprobados. La campaña no vende 'una IA' aislada: comunica una puerta de entrada simple a herramientas, mentoría y servicios de innovación.</x:v>
      </x:c>
      <x:c r="F2" s="566" t="str">
        <x:v>Objetivo: preparar un brief listo para Comunicación una vez que el prototipo y la metodología sean aprobados. La campaña no vende 'una IA' aislada: comunica una puerta de entrada simple a herramientas, mentoría y servicios de innovación.</x:v>
      </x:c>
      <x:c r="G2" s="566" t="str">
        <x:v>Objetivo: preparar un brief listo para Comunicación una vez que el prototipo y la metodología sean aprobados. La campaña no vende 'una IA' aislada: comunica una puerta de entrada simple a herramientas, mentoría y servicios de innovación.</x:v>
      </x:c>
      <x:c r="H2" s="566" t="str">
        <x:v>Objetivo: preparar un brief listo para Comunicación una vez que el prototipo y la metodología sean aprobados. La campaña no vende 'una IA' aislada: comunica una puerta de entrada simple a herramientas, mentoría y servicios de innovación.</x:v>
      </x:c>
      <x:c r="I2" s="566" t="str">
        <x:v>Objetivo: preparar un brief listo para Comunicación una vez que el prototipo y la metodología sean aprobados. La campaña no vende 'una IA' aislada: comunica una puerta de entrada simple a herramientas, mentoría y servicios de innovación.</x:v>
      </x:c>
    </x:row>
    <x:row r="4">
      <x:c r="A4" s="570" t="str">
        <x:v>OBJETIVO</x:v>
      </x:c>
      <x:c r="B4" s="570" t="str">
        <x:v>PÚBLICO</x:v>
      </x:c>
      <x:c r="C4" s="570" t="str">
        <x:v>INSIGHT / PROBLEMA</x:v>
      </x:c>
      <x:c r="D4" s="570" t="str">
        <x:v>PROMESA</x:v>
      </x:c>
      <x:c r="E4" s="570" t="str">
        <x:v>MENSAJE CENTRAL</x:v>
      </x:c>
      <x:c r="F4" s="570" t="str">
        <x:v>CTA</x:v>
      </x:c>
      <x:c r="G4" s="570" t="str">
        <x:v>CANAL</x:v>
      </x:c>
      <x:c r="H4" s="570" t="str">
        <x:v>PIEZA</x:v>
      </x:c>
      <x:c r="I4" s="570" t="str">
        <x:v>ESTADO</x:v>
      </x:c>
    </x:row>
    <x:row r="5">
      <x:c r="A5" s="604" t="str">
        <x:v>Lanzamiento</x:v>
      </x:c>
      <x:c r="B5" s="604" t="str">
        <x:v>Investigadores y equipos de I+D+i</x:v>
      </x:c>
      <x:c r="C5" s="604" t="str">
        <x:v>Tengo un resultado, pero no sé cuál es el siguiente paso ni qué herramienta/servicio necesito.</x:v>
      </x:c>
      <x:c r="D5" s="604" t="str">
        <x:v>Orientación inicial rápida y personalizada.</x:v>
      </x:c>
      <x:c r="E5" s="604" t="str">
        <x:v>No necesitas conocer todas las herramientas. Cuéntanos en qué punto está tu proyecto y Ruta CEDIA te ayuda a encontrar el siguiente paso.</x:v>
      </x:c>
      <x:c r="F5" s="604" t="str">
        <x:v>Descubre tu siguiente paso</x:v>
      </x:c>
      <x:c r="G5" s="604" t="str">
        <x:v>Web CEDIA / landing</x:v>
      </x:c>
      <x:c r="H5" s="604" t="str">
        <x:v>Hero + landing + demo</x:v>
      </x:c>
      <x:c r="I5" s="604" t="str">
        <x:v>Propuesta</x:v>
      </x:c>
    </x:row>
    <x:row r="6">
      <x:c r="A6" s="606" t="str">
        <x:v>Activación</x:v>
      </x:c>
      <x:c r="B6" s="606" t="str">
        <x:v>Investigadores</x:v>
      </x:c>
      <x:c r="C6" s="606" t="str">
        <x:v>Hay demasiadas metodologías y no sé cuál usar.</x:v>
      </x:c>
      <x:c r="D6" s="606" t="str">
        <x:v>Una recomendación basada en brecha y evidencia, no en un catálogo estático.</x:v>
      </x:c>
      <x:c r="E6" s="606" t="str">
        <x:v>Deja de escoger herramientas al azar: identifica la brecha, genera evidencia y avanza con una ruta clara.</x:v>
      </x:c>
      <x:c r="F6" s="606" t="str">
        <x:v>Inicia diagnóstico</x:v>
      </x:c>
      <x:c r="G6" s="606" t="str">
        <x:v>LinkedIn / redes institucionales</x:v>
      </x:c>
      <x:c r="H6" s="606" t="str">
        <x:v>Carrusel problema→ruta</x:v>
      </x:c>
      <x:c r="I6" s="606" t="str">
        <x:v>Propuesta</x:v>
      </x:c>
    </x:row>
    <x:row r="7">
      <x:c r="A7" s="604" t="str">
        <x:v>Activación</x:v>
      </x:c>
      <x:c r="B7" s="604" t="str">
        <x:v>OTRIs / oficinas de innovación</x:v>
      </x:c>
      <x:c r="C7" s="604" t="str">
        <x:v>El tiempo de mentoría se consume levantando información básica.</x:v>
      </x:c>
      <x:c r="D7" s="604" t="str">
        <x:v>Prediagnóstico y evidencia organizada antes de la sesión.</x:v>
      </x:c>
      <x:c r="E7" s="604" t="str">
        <x:v>Ruta CEDIA prepara el proyecto para que la mentoría se concentre en decisiones de mayor valor.</x:v>
      </x:c>
      <x:c r="F7" s="604" t="str">
        <x:v>Conoce el flujo</x:v>
      </x:c>
      <x:c r="G7" s="604" t="str">
        <x:v>Email / webinar / reunión institucional</x:v>
      </x:c>
      <x:c r="H7" s="604" t="str">
        <x:v>One-pager + demo de 5 min</x:v>
      </x:c>
      <x:c r="I7" s="604" t="str">
        <x:v>Propuesta</x:v>
      </x:c>
    </x:row>
    <x:row r="8">
      <x:c r="A8" s="606" t="str">
        <x:v>Conversión</x:v>
      </x:c>
      <x:c r="B8" s="606" t="str">
        <x:v>Equipos con brechas especializadas</x:v>
      </x:c>
      <x:c r="C8" s="606" t="str">
        <x:v>Una herramienta no resuelve todos los bloqueos.</x:v>
      </x:c>
      <x:c r="D8" s="606" t="str">
        <x:v>Conexión con mentoría o servicio cuando corresponde.</x:v>
      </x:c>
      <x:c r="E8" s="606" t="str">
        <x:v>Si la brecha requiere apoyo especializado, Ruta CEDIA te ayuda a identificar qué necesitas llevar a la conversación con CEDIA.</x:v>
      </x:c>
      <x:c r="F8" s="606" t="str">
        <x:v>Solicita orientación</x:v>
      </x:c>
      <x:c r="G8" s="606" t="str">
        <x:v>Landing / dentro de la app</x:v>
      </x:c>
      <x:c r="H8" s="606" t="str">
        <x:v>CTA de derivación</x:v>
      </x:c>
      <x:c r="I8" s="606" t="str">
        <x:v>Propuesta</x:v>
      </x:c>
    </x:row>
    <x:row r="9">
      <x:c r="A9" s="604" t="str">
        <x:v>Prueba social</x:v>
      </x:c>
      <x:c r="B9" s="604" t="str">
        <x:v>Usuarios piloto</x:v>
      </x:c>
      <x:c r="C9" s="604" t="str">
        <x:v>No sé si realmente me servirá.</x:v>
      </x:c>
      <x:c r="D9" s="604" t="str">
        <x:v>Mostrar casos reales antes/después.</x:v>
      </x:c>
      <x:c r="E9" s="604" t="str">
        <x:v>De «no sé qué hacer» a una siguiente acción sustentada en evidencia.</x:v>
      </x:c>
      <x:c r="F9" s="604" t="str">
        <x:v>Ver caso</x:v>
      </x:c>
      <x:c r="G9" s="604" t="str">
        <x:v>LinkedIn / web</x:v>
      </x:c>
      <x:c r="H9" s="604" t="str">
        <x:v>Caso corto / testimonio cuando exista autorización</x:v>
      </x:c>
      <x:c r="I9" s="604" t="str">
        <x:v>Posterior al piloto</x:v>
      </x:c>
    </x:row>
    <x:row r="12">
      <x:c r="A12" s="587" t="str">
        <x:v>PAQUETE MÍNIMO PARA ENTREGAR A COMUNICACIÓN</x:v>
      </x:c>
      <x:c r="B12" s="587" t="str">
        <x:v>PAQUETE MÍNIMO PARA ENTREGAR A COMUNICACIÓN</x:v>
      </x:c>
      <x:c r="C12" s="587" t="str">
        <x:v>PAQUETE MÍNIMO PARA ENTREGAR A COMUNICACIÓN</x:v>
      </x:c>
      <x:c r="D12" s="587" t="str">
        <x:v>PAQUETE MÍNIMO PARA ENTREGAR A COMUNICACIÓN</x:v>
      </x:c>
      <x:c r="E12" s="587" t="str">
        <x:v>PAQUETE MÍNIMO PARA ENTREGAR A COMUNICACIÓN</x:v>
      </x:c>
      <x:c r="F12" s="587" t="str">
        <x:v>PAQUETE MÍNIMO PARA ENTREGAR A COMUNICACIÓN</x:v>
      </x:c>
      <x:c r="G12" s="587" t="str">
        <x:v>PAQUETE MÍNIMO PARA ENTREGAR A COMUNICACIÓN</x:v>
      </x:c>
      <x:c r="H12" s="587" t="str">
        <x:v>PAQUETE MÍNIMO PARA ENTREGAR A COMUNICACIÓN</x:v>
      </x:c>
      <x:c r="I12" s="587" t="str">
        <x:v>PAQUETE MÍNIMO PARA ENTREGAR A COMUNICACIÓN</x:v>
      </x:c>
    </x:row>
    <x:row r="13">
      <x:c r="A13" s="591" t="str">
        <x:v>PIEZA</x:v>
      </x:c>
      <x:c r="B13" s="591" t="str">
        <x:v>OBJETIVO</x:v>
      </x:c>
      <x:c r="C13" s="591" t="str">
        <x:v>FORMATO</x:v>
      </x:c>
      <x:c r="D13" s="591" t="str">
        <x:v>CONTENIDO CLAVE</x:v>
      </x:c>
      <x:c r="E13" s="591" t="str">
        <x:v>CTA</x:v>
      </x:c>
      <x:c r="F13" s="591" t="str">
        <x:v>INSUMO QUE ENTREGAMOS</x:v>
      </x:c>
      <x:c r="G13" s="591" t="str">
        <x:v>RESPONSABLE PROPUESTO</x:v>
      </x:c>
      <x:c r="H13" s="591" t="str">
        <x:v>PRIORIDAD</x:v>
      </x:c>
      <x:c r="I13" s="591" t="str">
        <x:v>CONDICIÓN DE PUBLICACIÓN</x:v>
      </x:c>
    </x:row>
    <x:row r="14">
      <x:c r="A14" s="334" t="str">
        <x:v>Landing / página</x:v>
      </x:c>
      <x:c r="B14" s="334" t="str">
        <x:v>Convertir interés en uso</x:v>
      </x:c>
      <x:c r="C14" s="334" t="str">
        <x:v>Web</x:v>
      </x:c>
      <x:c r="D14" s="334" t="str">
        <x:v>Qué es, para quién, cómo funciona, privacidad, 34 herramientas, mentoría/servicios, FAQ.</x:v>
      </x:c>
      <x:c r="E14" s="334" t="str">
        <x:v>Iniciar diagnóstico</x:v>
      </x:c>
      <x:c r="F14" s="334" t="str">
        <x:v>Copy + capturas + flujo + FAQs</x:v>
      </x:c>
      <x:c r="G14" s="334" t="str">
        <x:v>Comunicación + equipo de innovación [por definir]</x:v>
      </x:c>
      <x:c r="H14" s="334" t="str">
        <x:v>P1</x:v>
      </x:c>
      <x:c r="I14" s="334" t="str">
        <x:v>Prototipo estable + nomenclatura aprobada</x:v>
      </x:c>
    </x:row>
    <x:row r="15">
      <x:c r="A15" s="334" t="str">
        <x:v>Video demo</x:v>
      </x:c>
      <x:c r="B15" s="334" t="str">
        <x:v>Mostrar experiencia en menos de 60 s</x:v>
      </x:c>
      <x:c r="C15" s="334" t="str">
        <x:v>Video vertical/horizontal</x:v>
      </x:c>
      <x:c r="D15" s="334" t="str">
        <x:v>Usuario escribe problema → IA pregunta → recomienda → muestra pasaporte.</x:v>
      </x:c>
      <x:c r="E15" s="334" t="str">
        <x:v>Prueba la ruta</x:v>
      </x:c>
      <x:c r="F15" s="334" t="str">
        <x:v>Guion + grabación de pantalla</x:v>
      </x:c>
      <x:c r="G15" s="334" t="str">
        <x:v>Comunicación</x:v>
      </x:c>
      <x:c r="H15" s="334" t="str">
        <x:v>P1</x:v>
      </x:c>
      <x:c r="I15" s="334" t="str">
        <x:v>Demo funcional</x:v>
      </x:c>
    </x:row>
    <x:row r="16">
      <x:c r="A16" s="334" t="str">
        <x:v>Carrusel LinkedIn</x:v>
      </x:c>
      <x:c r="B16" s="334" t="str">
        <x:v>Generar curiosidad</x:v>
      </x:c>
      <x:c r="C16" s="334" t="str">
        <x:v>6–8 slides</x:v>
      </x:c>
      <x:c r="D16" s="334" t="str">
        <x:v>Problema real → por qué un catálogo no basta → cómo funciona → ejemplo → CTA.</x:v>
      </x:c>
      <x:c r="E16" s="334" t="str">
        <x:v>Descubre tu siguiente paso</x:v>
      </x:c>
      <x:c r="F16" s="334" t="str">
        <x:v>Texto por slide + visual route</x:v>
      </x:c>
      <x:c r="G16" s="334" t="str">
        <x:v>Comunicación</x:v>
      </x:c>
      <x:c r="H16" s="334" t="str">
        <x:v>P1</x:v>
      </x:c>
      <x:c r="I16" s="334" t="str">
        <x:v>Mensaje aprobado</x:v>
      </x:c>
    </x:row>
    <x:row r="17">
      <x:c r="A17" s="334" t="str">
        <x:v>Email a universidades</x:v>
      </x:c>
      <x:c r="B17" s="334" t="str">
        <x:v>Activar base institucional</x:v>
      </x:c>
      <x:c r="C17" s="334" t="str">
        <x:v>HTML / mailing</x:v>
      </x:c>
      <x:c r="D17" s="334" t="str">
        <x:v>Problema, beneficio, para quién, cómo acceder, qué no es.</x:v>
      </x:c>
      <x:c r="E17" s="334" t="str">
        <x:v>Iniciar diagnóstico</x:v>
      </x:c>
      <x:c r="F17" s="334" t="str">
        <x:v>Asunto + cuerpo + CTA</x:v>
      </x:c>
      <x:c r="G17" s="334" t="str">
        <x:v>Comunicación</x:v>
      </x:c>
      <x:c r="H17" s="334" t="str">
        <x:v>P1</x:v>
      </x:c>
      <x:c r="I17" s="334" t="str">
        <x:v>Landing disponible</x:v>
      </x:c>
    </x:row>
    <x:row r="18">
      <x:c r="A18" s="334" t="str">
        <x:v>One-pager</x:v>
      </x:c>
      <x:c r="B18" s="334" t="str">
        <x:v>Facilitar difusión interna</x:v>
      </x:c>
      <x:c r="C18" s="334" t="str">
        <x:v>PDF 1 página</x:v>
      </x:c>
      <x:c r="D18" s="334" t="str">
        <x:v>Propuesta de valor, flujo, resultados, integración con mentoría.</x:v>
      </x:c>
      <x:c r="E18" s="334" t="str">
        <x:v>Solicita demo / prueba</x:v>
      </x:c>
      <x:c r="F18" s="334" t="str">
        <x:v>Contenido ejecutivo</x:v>
      </x:c>
      <x:c r="G18" s="334" t="str">
        <x:v>Innovación + Comunicación</x:v>
      </x:c>
      <x:c r="H18" s="334" t="str">
        <x:v>P2</x:v>
      </x:c>
      <x:c r="I18" s="334" t="str">
        <x:v>Metodología congelada</x:v>
      </x:c>
    </x:row>
    <x:row r="19">
      <x:c r="A19" s="334" t="str">
        <x:v>Kit para OTRIs</x:v>
      </x:c>
      <x:c r="B19" s="334" t="str">
        <x:v>Facilitar adopción</x:v>
      </x:c>
      <x:c r="C19" s="334" t="str">
        <x:v>PDF + presentación corta</x:v>
      </x:c>
      <x:c r="D19" s="334" t="str">
        <x:v>Cómo usar antes de mentorías, qué evidencia preparar, cómo derivar.</x:v>
      </x:c>
      <x:c r="E19" s="334" t="str">
        <x:v>Compartir con investigadores</x:v>
      </x:c>
      <x:c r="F19" s="334" t="str">
        <x:v>Guía de uso + FAQs</x:v>
      </x:c>
      <x:c r="G19" s="334" t="str">
        <x:v>Innovación + Comunicación</x:v>
      </x:c>
      <x:c r="H19" s="334" t="str">
        <x:v>P2</x:v>
      </x:c>
      <x:c r="I19" s="334" t="str">
        <x:v>Piloto validado</x:v>
      </x:c>
    </x:row>
    <x:row r="22">
      <x:c r="A22" s="611" t="str">
        <x:v>MENSAJES LISTOS PARA BORRADOR DE CAMPAÑA</x:v>
      </x:c>
      <x:c r="B22" s="611" t="str">
        <x:v>MENSAJES LISTOS PARA BORRADOR DE CAMPAÑA</x:v>
      </x:c>
      <x:c r="C22" s="611" t="str">
        <x:v>MENSAJES LISTOS PARA BORRADOR DE CAMPAÑA</x:v>
      </x:c>
      <x:c r="D22" s="611" t="str">
        <x:v>MENSAJES LISTOS PARA BORRADOR DE CAMPAÑA</x:v>
      </x:c>
      <x:c r="E22" s="611" t="str">
        <x:v>MENSAJES LISTOS PARA BORRADOR DE CAMPAÑA</x:v>
      </x:c>
      <x:c r="F22" s="611" t="str">
        <x:v>MENSAJES LISTOS PARA BORRADOR DE CAMPAÑA</x:v>
      </x:c>
      <x:c r="G22" s="611" t="str">
        <x:v>MENSAJES LISTOS PARA BORRADOR DE CAMPAÑA</x:v>
      </x:c>
      <x:c r="H22" s="611" t="str">
        <x:v>MENSAJES LISTOS PARA BORRADOR DE CAMPAÑA</x:v>
      </x:c>
      <x:c r="I22" s="611" t="str">
        <x:v>MENSAJES LISTOS PARA BORRADOR DE CAMPAÑA</x:v>
      </x:c>
    </x:row>
    <x:row r="23">
      <x:c r="A23" s="207" t="str">
        <x:v>Mensaje paraguas</x:v>
      </x:c>
      <x:c r="B23" s="207" t="str">
        <x:v>¿Tienes un resultado de investigación y no sabes cuál es el siguiente paso? Cuéntaselo a Ruta CEDIA.</x:v>
      </x:c>
    </x:row>
    <x:row r="24">
      <x:c r="A24" s="207" t="str">
        <x:v>Submensaje</x:v>
      </x:c>
      <x:c r="B24" s="207" t="str">
        <x:v>Identifica brechas, encuentra herramientas pertinentes, organiza evidencia y descubre cuándo necesitas apoyo especializado.</x:v>
      </x:c>
    </x:row>
    <x:row r="25">
      <x:c r="A25" s="207" t="str">
        <x:v>Mensaje para OTRIs</x:v>
      </x:c>
      <x:c r="B25" s="207" t="str">
        <x:v>Menos tiempo levantando información básica. Más tiempo de mentoría dedicado a decisiones que hacen avanzar el proyecto.</x:v>
      </x:c>
    </x:row>
    <x:row r="26">
      <x:c r="A26" s="207" t="str">
        <x:v>Mensaje de confianza</x:v>
      </x:c>
      <x:c r="B26" s="207" t="str">
        <x:v>La IA orienta; la metodología decide. Las recomendaciones se sustentan en evidencia, reglas y trazabilidad.</x:v>
      </x:c>
    </x:row>
    <x:row r="27">
      <x:c r="A27" s="207" t="str">
        <x:v>CTA principal</x:v>
      </x:c>
      <x:c r="B27" s="207" t="str">
        <x:v>Descubre tu siguiente paso.</x:v>
      </x:c>
    </x:row>
  </x:sheetData>
  <x:mergeCells>
    <x:mergeCell ref="A1:I1"/>
    <x:mergeCell ref="A2:I2"/>
    <x:mergeCell ref="A12:I12"/>
    <x:mergeCell ref="A22:I22"/>
  </x:mergeCells>
  <x:pageMargins left="0.7" right="0.7" top="0.75" bottom="0.75" header="0.3" footer="0.3"/>
</x:worksheet>
</file>

<file path=xl/worksheets/sheet32.xml><?xml version="1.0" encoding="utf-8"?>
<x:worksheet xmlns:x="http://schemas.openxmlformats.org/spreadsheetml/2006/main">
  <x:sheetFormatPr defaultRowHeight="15"/>
  <x:cols>
    <x:col min="1" max="1" width="23" hidden="0" customWidth="1"/>
    <x:col min="2" max="2" width="37" hidden="0" customWidth="1"/>
    <x:col min="3" max="3" width="54" hidden="0" customWidth="1"/>
    <x:col min="4" max="4" width="32" hidden="0" customWidth="1"/>
    <x:col min="5" max="5" width="24" hidden="0" customWidth="1"/>
    <x:col min="6" max="6" width="36" hidden="0" customWidth="1"/>
  </x:cols>
  <x:sheetData>
    <x:row r="1">
      <x:c r="A1" s="562" t="str">
        <x:v>31 — BRIEF LISTO PARA ENVIAR A COMUNICACIÓN</x:v>
      </x:c>
      <x:c r="B1" s="562" t="str">
        <x:v>31 — BRIEF LISTO PARA ENVIAR A COMUNICACIÓN</x:v>
      </x:c>
      <x:c r="C1" s="562" t="str">
        <x:v>31 — BRIEF LISTO PARA ENVIAR A COMUNICACIÓN</x:v>
      </x:c>
      <x:c r="D1" s="562" t="str">
        <x:v>31 — BRIEF LISTO PARA ENVIAR A COMUNICACIÓN</x:v>
      </x:c>
      <x:c r="E1" s="562" t="str">
        <x:v>31 — BRIEF LISTO PARA ENVIAR A COMUNICACIÓN</x:v>
      </x:c>
      <x:c r="F1" s="562" t="str">
        <x:v>31 — BRIEF LISTO PARA ENVIAR A COMUNICACIÓN</x:v>
      </x:c>
    </x:row>
    <x:row r="3">
      <x:c r="A3" s="583" t="str">
        <x:v>Nombre de trabajo</x:v>
      </x:c>
      <x:c r="B3" s="207" t="str">
        <x:v>Ruta CEDIA Digital</x:v>
      </x:c>
    </x:row>
    <x:row r="4">
      <x:c r="A4" s="583" t="str">
        <x:v>Qué es</x:v>
      </x:c>
      <x:c r="B4" s="207" t="str">
        <x:v>Una capa digital con IA que orienta a investigadores y equipos de innovación para identificar brechas, encontrar herramientas pertinentes, organizar evidencia y reconocer cuándo necesitan mentoría o un servicio especializado.</x:v>
      </x:c>
    </x:row>
    <x:row r="5">
      <x:c r="A5" s="583" t="str">
        <x:v>Qué NO es</x:v>
      </x:c>
      <x:c r="B5" s="207" t="str">
        <x:v>No reemplaza al mentor, no emite dictámenes técnicos/legales y no asigna herramientas únicamente por TRL.</x:v>
      </x:c>
    </x:row>
    <x:row r="6">
      <x:c r="A6" s="583" t="str">
        <x:v>Problema que comunica</x:v>
      </x:c>
      <x:c r="B6" s="207" t="str">
        <x:v>Los investigadores suelen tener resultados o ideas, pero no siempre saben qué falta, qué herramienta usar ni cuál debería ser el siguiente paso.</x:v>
      </x:c>
    </x:row>
    <x:row r="7">
      <x:c r="A7" s="583" t="str">
        <x:v>Público prioritario</x:v>
      </x:c>
      <x:c r="B7" s="207" t="str">
        <x:v>Investigadores, equipos de I+D+i, OTRIs/oficinas de innovación y universidades miembros.</x:v>
      </x:c>
    </x:row>
    <x:row r="8">
      <x:c r="A8" s="583" t="str">
        <x:v>Promesa</x:v>
      </x:c>
      <x:c r="B8" s="207" t="str">
        <x:v>Convertir incertidumbre en un siguiente paso claro y sustentado en evidencia.</x:v>
      </x:c>
    </x:row>
    <x:row r="9">
      <x:c r="A9" s="583" t="str">
        <x:v>Mensaje central</x:v>
      </x:c>
      <x:c r="B9" s="207" t="str">
        <x:v>No necesitas conocer todas las herramientas. Cuéntanos en qué punto está tu proyecto y Ruta CEDIA te ayuda a encontrar el siguiente paso.</x:v>
      </x:c>
    </x:row>
    <x:row r="10">
      <x:c r="A10" s="583" t="str">
        <x:v>CTA</x:v>
      </x:c>
      <x:c r="B10" s="207" t="str">
        <x:v>Descubre tu siguiente paso.</x:v>
      </x:c>
    </x:row>
    <x:row r="11">
      <x:c r="A11" s="583" t="str">
        <x:v>Experiencia que debe mostrarse</x:v>
      </x:c>
      <x:c r="B11" s="207" t="str">
        <x:v>Problema en lenguaje natural → preguntas breves → brecha → herramienta recomendada → evidencia → pasaporte → posible derivación a CEDIA.</x:v>
      </x:c>
    </x:row>
    <x:row r="12">
      <x:c r="A12" s="583" t="str">
        <x:v>Prueba/credibilidad</x:v>
      </x:c>
      <x:c r="B12" s="207" t="str">
        <x:v>34 herramientas en el portafolio propuesto: 26 CEDIA actuales + 8 propuestas benchmark; reglas con trazabilidad y evidencia; TRL/CRL como contexto.</x:v>
      </x:c>
    </x:row>
    <x:row r="13">
      <x:c r="A13" s="583" t="str">
        <x:v>Tono</x:v>
      </x:c>
      <x:c r="B13" s="207" t="str">
        <x:v>Claro, técnico sin ser académico, útil, institucional y orientado a acción.</x:v>
      </x:c>
    </x:row>
    <x:row r="14">
      <x:c r="A14" s="583" t="str">
        <x:v>Evitar</x:v>
      </x:c>
      <x:c r="B14" s="207" t="str">
        <x:v>Prometer que la IA reemplaza expertos; decir que las 8 herramientas nuevas ya son oficiales; vender TRL como único criterio; afirmar servicios no validados.</x:v>
      </x:c>
    </x:row>
    <x:row r="15">
      <x:c r="A15" s="583" t="str">
        <x:v>Piezas P1</x:v>
      </x:c>
      <x:c r="B15" s="207" t="str">
        <x:v>Landing, video demo ≤60 s, carrusel LinkedIn, mailing institucional.</x:v>
      </x:c>
    </x:row>
    <x:row r="16">
      <x:c r="A16" s="583" t="str">
        <x:v>Piezas P2</x:v>
      </x:c>
      <x:c r="B16" s="207" t="str">
        <x:v>One-pager, FAQ, kit para OTRIs, caso piloto/testimonio cuando exista autorización.</x:v>
      </x:c>
    </x:row>
    <x:row r="17">
      <x:c r="A17" s="583" t="str">
        <x:v>Condición para publicar</x:v>
      </x:c>
      <x:c r="B17" s="207" t="str">
        <x:v>Prototipo funcional estable + aprobación de nombre/mensaje + revisión de servicios oficiales que pueden mostrarse + política de privacidad/datos definida.</x:v>
      </x:c>
    </x:row>
    <x:row r="20">
      <x:c r="A20" s="587" t="str">
        <x:v>GUION DE VIDEO DEMO · 45–60 SEGUNDOS</x:v>
      </x:c>
      <x:c r="B20" s="587" t="str">
        <x:v>GUION DE VIDEO DEMO · 45–60 SEGUNDOS</x:v>
      </x:c>
      <x:c r="C20" s="587" t="str">
        <x:v>GUION DE VIDEO DEMO · 45–60 SEGUNDOS</x:v>
      </x:c>
      <x:c r="D20" s="587" t="str">
        <x:v>GUION DE VIDEO DEMO · 45–60 SEGUNDOS</x:v>
      </x:c>
      <x:c r="E20" s="587" t="str">
        <x:v>GUION DE VIDEO DEMO · 45–60 SEGUNDOS</x:v>
      </x:c>
      <x:c r="F20" s="587" t="str">
        <x:v>GUION DE VIDEO DEMO · 45–60 SEGUNDOS</x:v>
      </x:c>
    </x:row>
    <x:row r="21">
      <x:c r="A21" s="591" t="str">
        <x:v>TIEMPO</x:v>
      </x:c>
      <x:c r="B21" s="591" t="str">
        <x:v>PANTALLA</x:v>
      </x:c>
      <x:c r="C21" s="591" t="str">
        <x:v>TEXTO / VOZ</x:v>
      </x:c>
      <x:c r="D21" s="591" t="str">
        <x:v>OBJETIVO</x:v>
      </x:c>
      <x:c r="E21" s="591" t="str">
        <x:v>CTA</x:v>
      </x:c>
      <x:c r="F21" s="591" t="str">
        <x:v>NOTA</x:v>
      </x:c>
    </x:row>
    <x:row r="22">
      <x:c r="A22" s="334" t="str">
        <x:v>0–7 s</x:v>
      </x:c>
      <x:c r="B22" s="334" t="str">
        <x:v>Pregunta inicial / home</x:v>
      </x:c>
      <x:c r="C22" s="334" t="str">
        <x:v>«¿Tienes un proyecto o resultado de investigación y no sabes cuál es el siguiente paso?»</x:v>
      </x:c>
      <x:c r="D22" s="334" t="str">
        <x:v>Abrir con dolor real</x:v>
      </x:c>
      <x:c r="E22" s="334" t="str">
        <x:v>—</x:v>
      </x:c>
      <x:c r="F22" s="334" t="str">
        <x:v>No empezar hablando de IA.</x:v>
      </x:c>
    </x:row>
    <x:row r="23">
      <x:c r="A23" s="334" t="str">
        <x:v>7–18 s</x:v>
      </x:c>
      <x:c r="B23" s="334" t="str">
        <x:v>Chat</x:v>
      </x:c>
      <x:c r="C23" s="334" t="str">
        <x:v>Usuario: «Tengo un prototipo, pero una empresa no sabe si funcionará».</x:v>
      </x:c>
      <x:c r="D23" s="334" t="str">
        <x:v>Mostrar lenguaje natural</x:v>
      </x:c>
      <x:c r="E23" s="334" t="str">
        <x:v>—</x:v>
      </x:c>
      <x:c r="F23" s="334" t="str">
        <x:v>Usar caso simple y creíble.</x:v>
      </x:c>
    </x:row>
    <x:row r="24">
      <x:c r="A24" s="334" t="str">
        <x:v>18–30 s</x:v>
      </x:c>
      <x:c r="B24" s="334" t="str">
        <x:v>Diagnóstico</x:v>
      </x:c>
      <x:c r="C24" s="334" t="str">
        <x:v>La app identifica brecha de validación técnica y evidencia faltante.</x:v>
      </x:c>
      <x:c r="D24" s="334" t="str">
        <x:v>Demostrar criterio</x:v>
      </x:c>
      <x:c r="E24" s="334" t="str">
        <x:v>—</x:v>
      </x:c>
      <x:c r="F24" s="334" t="str">
        <x:v>Mostrar que TRL es contexto, no respuesta única.</x:v>
      </x:c>
    </x:row>
    <x:row r="25">
      <x:c r="A25" s="334" t="str">
        <x:v>30–42 s</x:v>
      </x:c>
      <x:c r="B25" s="334" t="str">
        <x:v>Recomendación</x:v>
      </x:c>
      <x:c r="C25" s="334" t="str">
        <x:v>Tarjeta de Experimento / evidencia requerida / siguiente evaluación.</x:v>
      </x:c>
      <x:c r="D25" s="334" t="str">
        <x:v>Mostrar herramienta accionable</x:v>
      </x:c>
      <x:c r="E25" s="334" t="str">
        <x:v>—</x:v>
      </x:c>
      <x:c r="F25" s="334" t="str">
        <x:v>Una recomendación principal.</x:v>
      </x:c>
    </x:row>
    <x:row r="26">
      <x:c r="A26" s="334" t="str">
        <x:v>42–52 s</x:v>
      </x:c>
      <x:c r="B26" s="334" t="str">
        <x:v>Pasaporte</x:v>
      </x:c>
      <x:c r="C26" s="334" t="str">
        <x:v>TRL/CRL + brecha + herramienta + evidencia + apoyo CEDIA sugerido.</x:v>
      </x:c>
      <x:c r="D26" s="334" t="str">
        <x:v>Mostrar valor acumulado</x:v>
      </x:c>
      <x:c r="E26" s="334" t="str">
        <x:v>—</x:v>
      </x:c>
      <x:c r="F26" s="334" t="str">
        <x:v>Visual limpio.</x:v>
      </x:c>
    </x:row>
    <x:row r="27">
      <x:c r="A27" s="334" t="str">
        <x:v>52–60 s</x:v>
      </x:c>
      <x:c r="B27" s="334" t="str">
        <x:v>Pantalla final</x:v>
      </x:c>
      <x:c r="C27" s="334" t="str">
        <x:v>«Ruta CEDIA. Descubre tu siguiente paso.»</x:v>
      </x:c>
      <x:c r="D27" s="334" t="str">
        <x:v>Cerrar con marca/CTA</x:v>
      </x:c>
      <x:c r="E27" s="334" t="str">
        <x:v>Iniciar diagnóstico</x:v>
      </x:c>
      <x:c r="F27" s="334" t="str">
        <x:v>Añadir aprobación institucional antes de publicar.</x:v>
      </x:c>
    </x:row>
  </x:sheetData>
  <x:mergeCells>
    <x:mergeCell ref="A1:F1"/>
    <x:mergeCell ref="A20:F20"/>
  </x:mergeCells>
  <x:pageMargins left="0.7" right="0.7" top="0.75" bottom="0.75" header="0.3" footer="0.3"/>
</x:worksheet>
</file>

<file path=xl/worksheets/sheet33.xml><?xml version="1.0" encoding="utf-8"?>
<x:worksheet xmlns:x="http://schemas.openxmlformats.org/spreadsheetml/2006/main">
  <x:sheetFormatPr defaultRowHeight="15"/>
  <x:cols>
    <x:col min="1" max="1" width="16" hidden="0" customWidth="1"/>
    <x:col min="2" max="2" width="21" hidden="0" customWidth="1"/>
    <x:col min="3" max="3" width="35" hidden="0" customWidth="1"/>
    <x:col min="4" max="4" width="17" hidden="0" customWidth="1"/>
    <x:col min="5" max="5" width="33" hidden="0" customWidth="1"/>
    <x:col min="6" max="6" width="16" hidden="0" customWidth="1"/>
    <x:col min="7" max="7" width="18" hidden="0" customWidth="1"/>
    <x:col min="8" max="8" width="34" hidden="0" customWidth="1"/>
  </x:cols>
  <x:sheetData>
    <x:row r="1">
      <x:c r="A1" s="562" t="str">
        <x:v>32 — PASAPORTE DEL PROYECTO · MOCKUP DE SALIDA FINAL</x:v>
      </x:c>
      <x:c r="B1" s="562" t="str">
        <x:v>32 — PASAPORTE DEL PROYECTO · MOCKUP DE SALIDA FINAL</x:v>
      </x:c>
      <x:c r="C1" s="562" t="str">
        <x:v>32 — PASAPORTE DEL PROYECTO · MOCKUP DE SALIDA FINAL</x:v>
      </x:c>
      <x:c r="D1" s="562" t="str">
        <x:v>32 — PASAPORTE DEL PROYECTO · MOCKUP DE SALIDA FINAL</x:v>
      </x:c>
      <x:c r="E1" s="562" t="str">
        <x:v>32 — PASAPORTE DEL PROYECTO · MOCKUP DE SALIDA FINAL</x:v>
      </x:c>
      <x:c r="F1" s="562" t="str">
        <x:v>32 — PASAPORTE DEL PROYECTO · MOCKUP DE SALIDA FINAL</x:v>
      </x:c>
      <x:c r="G1" s="562" t="str">
        <x:v>32 — PASAPORTE DEL PROYECTO · MOCKUP DE SALIDA FINAL</x:v>
      </x:c>
      <x:c r="H1" s="562" t="str">
        <x:v>32 — PASAPORTE DEL PROYECTO · MOCKUP DE SALIDA FINAL</x:v>
      </x:c>
    </x:row>
    <x:row r="2">
      <x:c r="A2" s="566" t="str">
        <x:v>Mockup de la salida que puede generar la IA antes de una mentoría. Ejemplo ilustrativo; no constituye dictamen técnico ni reemplaza revisión especializada.</x:v>
      </x:c>
      <x:c r="B2" s="566" t="str">
        <x:v>Mockup de la salida que puede generar la IA antes de una mentoría. Ejemplo ilustrativo; no constituye dictamen técnico ni reemplaza revisión especializada.</x:v>
      </x:c>
      <x:c r="C2" s="566" t="str">
        <x:v>Mockup de la salida que puede generar la IA antes de una mentoría. Ejemplo ilustrativo; no constituye dictamen técnico ni reemplaza revisión especializada.</x:v>
      </x:c>
      <x:c r="D2" s="566" t="str">
        <x:v>Mockup de la salida que puede generar la IA antes de una mentoría. Ejemplo ilustrativo; no constituye dictamen técnico ni reemplaza revisión especializada.</x:v>
      </x:c>
      <x:c r="E2" s="566" t="str">
        <x:v>Mockup de la salida que puede generar la IA antes de una mentoría. Ejemplo ilustrativo; no constituye dictamen técnico ni reemplaza revisión especializada.</x:v>
      </x:c>
      <x:c r="F2" s="566" t="str">
        <x:v>Mockup de la salida que puede generar la IA antes de una mentoría. Ejemplo ilustrativo; no constituye dictamen técnico ni reemplaza revisión especializada.</x:v>
      </x:c>
      <x:c r="G2" s="566" t="str">
        <x:v>Mockup de la salida que puede generar la IA antes de una mentoría. Ejemplo ilustrativo; no constituye dictamen técnico ni reemplaza revisión especializada.</x:v>
      </x:c>
      <x:c r="H2" s="566" t="str">
        <x:v>Mockup de la salida que puede generar la IA antes de una mentoría. Ejemplo ilustrativo; no constituye dictamen técnico ni reemplaza revisión especializada.</x:v>
      </x:c>
    </x:row>
    <x:row r="4">
      <x:c r="A4" s="613" t="str">
        <x:v>PROYECTO</x:v>
      </x:c>
      <x:c r="B4" s="616" t="str">
        <x:v>Envase biodegradable para alimentos</x:v>
      </x:c>
      <x:c r="D4" s="613" t="str">
        <x:v>OBJETIVO ACTUAL</x:v>
      </x:c>
      <x:c r="E4" s="616" t="str">
        <x:v>Demostrar funcionamiento fuera del laboratorio</x:v>
      </x:c>
      <x:c r="G4" s="613" t="str">
        <x:v>ESTADO</x:v>
      </x:c>
      <x:c r="H4" s="616" t="str">
        <x:v>Prediagnóstico</x:v>
      </x:c>
    </x:row>
    <x:row r="7">
      <x:c r="A7" s="613" t="str">
        <x:v>TRL ESTIMADO</x:v>
      </x:c>
      <x:c r="B7" s="616" t="str">
        <x:v>4 (ejemplo)</x:v>
      </x:c>
      <x:c r="D7" s="613" t="str">
        <x:v>EVIDENCIA ACTUAL</x:v>
      </x:c>
      <x:c r="E7" s="616" t="str">
        <x:v>Documento + prototipo/prueba de laboratorio</x:v>
      </x:c>
      <x:c r="G7" s="613" t="str">
        <x:v>CONFIANZA</x:v>
      </x:c>
      <x:c r="H7" s="616" t="str">
        <x:v>Media; requiere verificación</x:v>
      </x:c>
    </x:row>
    <x:row r="10">
      <x:c r="A10" s="613" t="str">
        <x:v>BRECHA PRIORITARIA</x:v>
      </x:c>
      <x:c r="B10" s="616" t="str">
        <x:v>Validación técnica en entorno relevante</x:v>
      </x:c>
      <x:c r="D10" s="613" t="str">
        <x:v>HERRAMIENTA PRINCIPAL</x:v>
      </x:c>
      <x:c r="E10" s="616" t="str">
        <x:v>Tarjeta de Experimento</x:v>
      </x:c>
      <x:c r="G10" s="613" t="str">
        <x:v>ETAPA</x:v>
      </x:c>
      <x:c r="H10" s="616" t="str">
        <x:v>Validar y aprender</x:v>
      </x:c>
    </x:row>
    <x:row r="13">
      <x:c r="A13" s="613" t="str">
        <x:v>QUÉ DEBE PRODUCIR</x:v>
      </x:c>
      <x:c r="B13" s="616" t="str">
        <x:v>Prueba con hipótesis, métrica y umbral definidos</x:v>
      </x:c>
      <x:c r="D13" s="613" t="str">
        <x:v>EVIDENCIA ESPERADA</x:v>
      </x:c>
      <x:c r="E13" s="616" t="str">
        <x:v>Resultados documentados bajo condiciones representativas</x:v>
      </x:c>
      <x:c r="G13" s="613" t="str">
        <x:v>SIGUIENTE REVISIÓN</x:v>
      </x:c>
      <x:c r="H13" s="616" t="str">
        <x:v>¿La evidencia permite avanzar de madurez?</x:v>
      </x:c>
    </x:row>
    <x:row r="16">
      <x:c r="A16" s="613" t="str">
        <x:v>APOYO CEDIA</x:v>
      </x:c>
      <x:c r="B16" s="616" t="str">
        <x:v>Mentoría / apoyo especializado según disponibilidad</x:v>
      </x:c>
      <x:c r="D16" s="613" t="str">
        <x:v>NOTA</x:v>
      </x:c>
      <x:c r="E16" s="616" t="str">
        <x:v>La herramienta prepara la evidencia; si la validación requiere laboratorio, ingeniería o especialista, la app debe derivar y no simular ese trabajo.</x:v>
      </x:c>
    </x:row>
    <x:row r="20">
      <x:c r="A20" s="617" t="str">
        <x:v>RUTA VISUAL DEL CASO</x:v>
      </x:c>
      <x:c r="B20" s="617" t="str">
        <x:v>RUTA VISUAL DEL CASO</x:v>
      </x:c>
      <x:c r="C20" s="617" t="str">
        <x:v>RUTA VISUAL DEL CASO</x:v>
      </x:c>
      <x:c r="D20" s="617" t="str">
        <x:v>RUTA VISUAL DEL CASO</x:v>
      </x:c>
      <x:c r="E20" s="617" t="str">
        <x:v>RUTA VISUAL DEL CASO</x:v>
      </x:c>
      <x:c r="F20" s="617" t="str">
        <x:v>RUTA VISUAL DEL CASO</x:v>
      </x:c>
      <x:c r="G20" s="617" t="str">
        <x:v>RUTA VISUAL DEL CASO</x:v>
      </x:c>
      <x:c r="H20" s="617" t="str">
        <x:v>RUTA VISUAL DEL CASO</x:v>
      </x:c>
    </x:row>
    <x:row r="22">
      <x:c r="A22" s="620" t="str">
        <x:v>1</x:v>
      </x:c>
      <x:c r="B22" s="622" t="str">
        <x:v>Situación</x:v>
      </x:c>
      <x:c r="C22" s="623" t="str">
        <x:v>Prototipo + incertidumbre sobre funcionamiento</x:v>
      </x:c>
    </x:row>
    <x:row r="23">
      <x:c r="A23" s="620" t="str">
        <x:v>2</x:v>
      </x:c>
      <x:c r="B23" s="622" t="str">
        <x:v>Brecha</x:v>
      </x:c>
      <x:c r="C23" s="623" t="str">
        <x:v>Falta evidencia en entorno relevante</x:v>
      </x:c>
    </x:row>
    <x:row r="24">
      <x:c r="A24" s="620" t="str">
        <x:v>3</x:v>
      </x:c>
      <x:c r="B24" s="622" t="str">
        <x:v>Herramienta</x:v>
      </x:c>
      <x:c r="C24" s="623" t="str">
        <x:v>Tarjeta de Experimento</x:v>
      </x:c>
    </x:row>
    <x:row r="25">
      <x:c r="A25" s="620" t="str">
        <x:v>4</x:v>
      </x:c>
      <x:c r="B25" s="622" t="str">
        <x:v>Evidencia</x:v>
      </x:c>
      <x:c r="C25" s="623" t="str">
        <x:v>Resultado de prueba con métrica/umbral</x:v>
      </x:c>
    </x:row>
    <x:row r="26">
      <x:c r="A26" s="620" t="str">
        <x:v>5</x:v>
      </x:c>
      <x:c r="B26" s="622" t="str">
        <x:v>Decisión</x:v>
      </x:c>
      <x:c r="C26" s="623" t="str">
        <x:v>Reevaluar TRL y siguiente brecha</x:v>
      </x:c>
    </x:row>
    <x:row r="27">
      <x:c r="A27" s="620" t="str">
        <x:v>6</x:v>
      </x:c>
      <x:c r="B27" s="622" t="str">
        <x:v>Derivación</x:v>
      </x:c>
      <x:c r="C27" s="623" t="str">
        <x:v>Mentoría/servicio especializado si corresponde</x:v>
      </x:c>
    </x:row>
  </x:sheetData>
  <x:mergeCells>
    <x:mergeCell ref="A1:H1"/>
    <x:mergeCell ref="A2:H2"/>
    <x:mergeCell ref="E16:H16"/>
    <x:mergeCell ref="A20:H20"/>
  </x:mergeCells>
  <x:pageMargins left="0.7" right="0.7" top="0.75" bottom="0.75" header="0.3" footer="0.3"/>
</x:worksheet>
</file>